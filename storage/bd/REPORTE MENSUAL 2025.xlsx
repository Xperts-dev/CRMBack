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52542734-AB8F-4679-A3F0-5DFF635CB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ACIÓN DE RESULTADOS" sheetId="31" r:id="rId1"/>
    <sheet name="Producto" sheetId="22" r:id="rId2"/>
    <sheet name="Acido hialuronico" sheetId="15" r:id="rId3"/>
    <sheet name="Depilación" sheetId="14" r:id="rId4"/>
    <sheet name="Emsculpt" sheetId="13" r:id="rId5"/>
    <sheet name="Emtone" sheetId="12" r:id="rId6"/>
    <sheet name="Exilis" sheetId="11" r:id="rId7"/>
    <sheet name="Exfoliación" sheetId="10" r:id="rId8"/>
    <sheet name="Facial purificante" sheetId="9" r:id="rId9"/>
    <sheet name="Hifu" sheetId="8" r:id="rId10"/>
    <sheet name="Hydrafacial" sheetId="7" r:id="rId11"/>
    <sheet name="Laboratorios" sheetId="6" r:id="rId12"/>
    <sheet name="Masaje linfatico" sheetId="5" r:id="rId13"/>
    <sheet name="Mesoterapia" sheetId="4" r:id="rId14"/>
    <sheet name="Morpheus" sheetId="3" r:id="rId15"/>
    <sheet name="Pico-láser" sheetId="2" r:id="rId16"/>
    <sheet name="Profhilo" sheetId="1" r:id="rId17"/>
    <sheet name="PRP" sheetId="17" r:id="rId18"/>
    <sheet name="Radiofrecuencia" sheetId="16" r:id="rId19"/>
    <sheet name="Ultrasonido" sheetId="21" r:id="rId20"/>
    <sheet name="Velo de acido hialuronico" sheetId="20" r:id="rId21"/>
    <sheet name="Velox" sheetId="19" r:id="rId22"/>
    <sheet name="Vitamina C intravenosa" sheetId="23" r:id="rId23"/>
    <sheet name="Ciclo coolsculpting" sheetId="25" r:id="rId24"/>
    <sheet name="Dermapen" sheetId="27" r:id="rId25"/>
    <sheet name="Láser CO2" sheetId="28" r:id="rId26"/>
    <sheet name="Masaje relajante" sheetId="29" r:id="rId27"/>
    <sheet name="Oligoelementos" sheetId="30" r:id="rId28"/>
    <sheet name="Grow" sheetId="34" r:id="rId29"/>
    <sheet name="Abonos a tratamientos" sheetId="33" r:id="rId30"/>
    <sheet name="Celulas madre" sheetId="32" r:id="rId31"/>
    <sheet name="Peeling" sheetId="36" r:id="rId32"/>
    <sheet name="Spectra ginecologico" sheetId="37" r:id="rId33"/>
    <sheet name="Eliminación de lunares" sheetId="39" r:id="rId34"/>
    <sheet name="Botox" sheetId="40" r:id="rId35"/>
    <sheet name="Encimas" sheetId="42" r:id="rId36"/>
    <sheet name="Cambio de tratamiento" sheetId="43" r:id="rId37"/>
    <sheet name="Microdermoabrasión" sheetId="44" r:id="rId38"/>
    <sheet name="Terapia Luminica" sheetId="45" r:id="rId39"/>
    <sheet name="Oscilación" sheetId="46" r:id="rId40"/>
    <sheet name="Sueros" sheetId="47" r:id="rId41"/>
    <sheet name="Presoterapia" sheetId="48" r:id="rId42"/>
    <sheet name="Nioo" sheetId="49" r:id="rId43"/>
    <sheet name="Sedación" sheetId="50" r:id="rId44"/>
    <sheet name="Masaje reflexologia" sheetId="51" r:id="rId45"/>
    <sheet name="Intrasure post-operatorio" sheetId="52" r:id="rId46"/>
    <sheet name="Mascarilla" sheetId="53" r:id="rId47"/>
    <sheet name="Hifu Ultra-forme" sheetId="54" r:id="rId48"/>
    <sheet name="Powershape" sheetId="55" r:id="rId49"/>
    <sheet name="Emsculpt NEO" sheetId="56" r:id="rId50"/>
    <sheet name="Exion" sheetId="57" r:id="rId51"/>
  </sheets>
  <externalReferences>
    <externalReference r:id="rId52"/>
    <externalReference r:id="rId53"/>
    <externalReference r:id="rId54"/>
    <externalReference r:id="rId55"/>
  </externalReferences>
  <definedNames>
    <definedName name="_xlnm._FilterDatabase" localSheetId="29" hidden="1">'Abonos a tratamientos'!$A$1:$A$7</definedName>
    <definedName name="_xlnm._FilterDatabase" localSheetId="2" hidden="1">'Acido hialuronico'!$A$1:$A$29</definedName>
    <definedName name="_xlnm._FilterDatabase" localSheetId="34" hidden="1">Botox!$A$1:$H$365</definedName>
    <definedName name="_xlnm._FilterDatabase" localSheetId="36" hidden="1">'Cambio de tratamiento'!$A$1:$H$8</definedName>
    <definedName name="_xlnm._FilterDatabase" localSheetId="30" hidden="1">'Celulas madre'!$A$1:$A$6</definedName>
    <definedName name="_xlnm._FilterDatabase" localSheetId="23" hidden="1">'Ciclo coolsculpting'!$A$1:$A$6</definedName>
    <definedName name="_xlnm._FilterDatabase" localSheetId="3" hidden="1">Depilación!$A$1:$H$97</definedName>
    <definedName name="_xlnm._FilterDatabase" localSheetId="24" hidden="1">Dermapen!$A$1:$A$24</definedName>
    <definedName name="_xlnm._FilterDatabase" localSheetId="33" hidden="1">'Eliminación de lunares'!$A$1:$A$5</definedName>
    <definedName name="_xlnm._FilterDatabase" localSheetId="4" hidden="1">Emsculpt!$B$1:$H$5</definedName>
    <definedName name="_xlnm._FilterDatabase" localSheetId="49" hidden="1">'Emsculpt NEO'!$A$1:$A$70</definedName>
    <definedName name="_xlnm._FilterDatabase" localSheetId="35" hidden="1">Encimas!$A$1:$H$4</definedName>
    <definedName name="_xlnm._FilterDatabase" localSheetId="6" hidden="1">Exilis!$B$1:$H$78</definedName>
    <definedName name="_xlnm._FilterDatabase" localSheetId="50" hidden="1">Exion!$A$1:$A$5</definedName>
    <definedName name="_xlnm._FilterDatabase" localSheetId="8" hidden="1">'Facial purificante'!$A$1:$H$58</definedName>
    <definedName name="_xlnm._FilterDatabase" localSheetId="28" hidden="1">Grow!$A$1:$A$44</definedName>
    <definedName name="_xlnm._FilterDatabase" localSheetId="47" hidden="1">'Hifu Ultra-forme'!$A$1:$A$20</definedName>
    <definedName name="_xlnm._FilterDatabase" localSheetId="45" hidden="1">'Intrasure post-operatorio'!$A$1:$A$77</definedName>
    <definedName name="_xlnm._FilterDatabase" localSheetId="25" hidden="1">'Láser CO2'!$A$1:$A$8</definedName>
    <definedName name="_xlnm._FilterDatabase" localSheetId="12" hidden="1">'Masaje linfatico'!$A$1:$H$32</definedName>
    <definedName name="_xlnm._FilterDatabase" localSheetId="44" hidden="1">'Masaje reflexologia'!$A$1:$A$5</definedName>
    <definedName name="_xlnm._FilterDatabase" localSheetId="26" hidden="1">'Masaje relajante'!$A$1:$A$17</definedName>
    <definedName name="_xlnm._FilterDatabase" localSheetId="46" hidden="1">Mascarilla!$A$1:$A$15</definedName>
    <definedName name="_xlnm._FilterDatabase" localSheetId="37" hidden="1">Microdermoabrasión!$A$1:$A$6</definedName>
    <definedName name="_xlnm._FilterDatabase" localSheetId="14" hidden="1">Morpheus!$B$1:$H$127</definedName>
    <definedName name="_xlnm._FilterDatabase" localSheetId="42" hidden="1">Nioo!$A$1:$A$6</definedName>
    <definedName name="_xlnm._FilterDatabase" localSheetId="27" hidden="1">Oligoelementos!$A$1:$A$7</definedName>
    <definedName name="_xlnm._FilterDatabase" localSheetId="39" hidden="1">Oscilación!$A$1:$A$58</definedName>
    <definedName name="_xlnm._FilterDatabase" localSheetId="31" hidden="1">Peeling!$A$1:$A$12</definedName>
    <definedName name="_xlnm._FilterDatabase" localSheetId="48" hidden="1">Powershape!$A$1:$A$23</definedName>
    <definedName name="_xlnm._FilterDatabase" localSheetId="41" hidden="1">Presoterapia!$A$1:$A$5</definedName>
    <definedName name="_xlnm._FilterDatabase" localSheetId="1" hidden="1">Producto!$B$1:$H$300</definedName>
    <definedName name="_xlnm._FilterDatabase" localSheetId="16" hidden="1">Profhilo!$B$1:$H$79</definedName>
    <definedName name="_xlnm._FilterDatabase" localSheetId="17" hidden="1">PRP!$A$1:$H$125</definedName>
    <definedName name="_xlnm._FilterDatabase" localSheetId="18" hidden="1">Radiofrecuencia!$B$1:$H$48</definedName>
    <definedName name="_xlnm._FilterDatabase" localSheetId="43" hidden="1">Sedación!$A$1:$A$13</definedName>
    <definedName name="_xlnm._FilterDatabase" localSheetId="32" hidden="1">'Spectra ginecologico'!$A$1:$A$9</definedName>
    <definedName name="_xlnm._FilterDatabase" localSheetId="40" hidden="1">Sueros!$B$1:$H$68</definedName>
    <definedName name="_xlnm._FilterDatabase" localSheetId="38" hidden="1">'Terapia Luminica'!$A$1:$A$5</definedName>
    <definedName name="_xlnm._FilterDatabase" localSheetId="19" hidden="1">Ultrasonido!$A$1:$H$23</definedName>
    <definedName name="_xlnm._FilterDatabase" localSheetId="22" hidden="1">'Vitamina C intravenosa'!$B$1:$H$139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31" l="1"/>
  <c r="M54" i="31"/>
  <c r="M46" i="31" l="1"/>
  <c r="M48" i="31"/>
  <c r="M47" i="31"/>
  <c r="M44" i="31"/>
  <c r="M41" i="31"/>
  <c r="M40" i="31"/>
  <c r="M29" i="31"/>
  <c r="M27" i="31"/>
  <c r="M25" i="31"/>
  <c r="M23" i="31"/>
  <c r="M20" i="31"/>
  <c r="M19" i="31"/>
  <c r="M18" i="31"/>
  <c r="M17" i="31"/>
  <c r="M15" i="31"/>
  <c r="M13" i="31"/>
  <c r="M11" i="31"/>
  <c r="M9" i="31"/>
  <c r="M7" i="31"/>
  <c r="M6" i="31"/>
  <c r="M4" i="31"/>
  <c r="M3" i="31"/>
  <c r="M2" i="31"/>
  <c r="H300" i="22"/>
  <c r="L23" i="31" l="1"/>
  <c r="L26" i="31"/>
  <c r="L54" i="31"/>
  <c r="L50" i="31" l="1"/>
  <c r="L49" i="31"/>
  <c r="L47" i="31"/>
  <c r="L46" i="31"/>
  <c r="L44" i="31"/>
  <c r="K44" i="31"/>
  <c r="L41" i="31"/>
  <c r="L40" i="31"/>
  <c r="L37" i="31"/>
  <c r="L35" i="31"/>
  <c r="L31" i="31" l="1"/>
  <c r="L30" i="31"/>
  <c r="L28" i="31"/>
  <c r="L25" i="31"/>
  <c r="L20" i="31"/>
  <c r="L19" i="31"/>
  <c r="L18" i="31"/>
  <c r="L17" i="31"/>
  <c r="L15" i="31"/>
  <c r="L14" i="31"/>
  <c r="L13" i="31"/>
  <c r="L12" i="31"/>
  <c r="L11" i="31"/>
  <c r="L9" i="31"/>
  <c r="L7" i="31"/>
  <c r="L4" i="31"/>
  <c r="L2" i="31"/>
  <c r="L3" i="31"/>
  <c r="J28" i="31" l="1"/>
  <c r="K54" i="31"/>
  <c r="K50" i="31" l="1"/>
  <c r="H69" i="56"/>
  <c r="K47" i="31"/>
  <c r="K46" i="31"/>
  <c r="K41" i="31"/>
  <c r="K40" i="31"/>
  <c r="K38" i="31"/>
  <c r="K35" i="31"/>
  <c r="K32" i="31"/>
  <c r="K31" i="31"/>
  <c r="K28" i="31"/>
  <c r="H6" i="30"/>
  <c r="K29" i="31"/>
  <c r="K27" i="31"/>
  <c r="K25" i="31"/>
  <c r="K23" i="31"/>
  <c r="K20" i="31"/>
  <c r="K19" i="31"/>
  <c r="K18" i="31"/>
  <c r="K15" i="31"/>
  <c r="K13" i="31"/>
  <c r="K12" i="31"/>
  <c r="K11" i="31"/>
  <c r="K9" i="31"/>
  <c r="K7" i="31"/>
  <c r="K6" i="31"/>
  <c r="K4" i="31"/>
  <c r="K3" i="31"/>
  <c r="K2" i="31"/>
  <c r="J54" i="31" l="1"/>
  <c r="I15" i="31"/>
  <c r="J50" i="31" l="1"/>
  <c r="J49" i="31"/>
  <c r="H22" i="55"/>
  <c r="J46" i="31" l="1"/>
  <c r="J44" i="31"/>
  <c r="J41" i="31"/>
  <c r="J40" i="31"/>
  <c r="J35" i="31"/>
  <c r="J32" i="31"/>
  <c r="J30" i="31"/>
  <c r="H6" i="33"/>
  <c r="J29" i="31"/>
  <c r="J27" i="31"/>
  <c r="J25" i="31"/>
  <c r="J23" i="31"/>
  <c r="J20" i="31"/>
  <c r="J19" i="31"/>
  <c r="J18" i="31"/>
  <c r="J17" i="31"/>
  <c r="J15" i="31"/>
  <c r="J14" i="31"/>
  <c r="J13" i="31"/>
  <c r="J9" i="31"/>
  <c r="J7" i="31"/>
  <c r="J6" i="31"/>
  <c r="J4" i="31"/>
  <c r="J3" i="31"/>
  <c r="J2" i="31"/>
  <c r="I2" i="31" l="1"/>
  <c r="I26" i="31"/>
  <c r="I47" i="31"/>
  <c r="I7" i="31"/>
  <c r="I54" i="31"/>
  <c r="I50" i="31" l="1"/>
  <c r="I49" i="31"/>
  <c r="I48" i="31"/>
  <c r="I46" i="31"/>
  <c r="I43" i="31"/>
  <c r="I41" i="31"/>
  <c r="I40" i="31"/>
  <c r="I33" i="31"/>
  <c r="I29" i="31"/>
  <c r="I27" i="31"/>
  <c r="I25" i="31"/>
  <c r="I23" i="31"/>
  <c r="I20" i="31"/>
  <c r="I19" i="31"/>
  <c r="I18" i="31"/>
  <c r="I17" i="31"/>
  <c r="I14" i="31"/>
  <c r="I11" i="31"/>
  <c r="I9" i="31"/>
  <c r="I6" i="31"/>
  <c r="I4" i="31"/>
  <c r="I53" i="31" l="1"/>
  <c r="G54" i="31"/>
  <c r="H54" i="31"/>
  <c r="H50" i="31"/>
  <c r="H46" i="31"/>
  <c r="H41" i="31"/>
  <c r="H40" i="31"/>
  <c r="H37" i="31"/>
  <c r="H35" i="31"/>
  <c r="H32" i="31"/>
  <c r="H29" i="31"/>
  <c r="H27" i="31"/>
  <c r="H23" i="31"/>
  <c r="H20" i="31"/>
  <c r="H19" i="31"/>
  <c r="H18" i="31"/>
  <c r="H17" i="31"/>
  <c r="H15" i="31"/>
  <c r="H14" i="31"/>
  <c r="H13" i="31"/>
  <c r="H11" i="31"/>
  <c r="H9" i="31"/>
  <c r="H7" i="31"/>
  <c r="H6" i="31"/>
  <c r="H4" i="31"/>
  <c r="H3" i="31"/>
  <c r="H2" i="31"/>
  <c r="H23" i="27"/>
  <c r="G40" i="31" l="1"/>
  <c r="G7" i="31"/>
  <c r="F54" i="31"/>
  <c r="F39" i="31" l="1"/>
  <c r="H4" i="45"/>
  <c r="F26" i="31"/>
  <c r="G50" i="31"/>
  <c r="F50" i="31"/>
  <c r="F49" i="31"/>
  <c r="G48" i="31"/>
  <c r="G46" i="31"/>
  <c r="F46" i="31"/>
  <c r="G41" i="31"/>
  <c r="F41" i="31"/>
  <c r="F40" i="31"/>
  <c r="G37" i="31"/>
  <c r="G33" i="31"/>
  <c r="F33" i="31"/>
  <c r="G32" i="31"/>
  <c r="G29" i="31"/>
  <c r="F29" i="31"/>
  <c r="F27" i="31"/>
  <c r="G25" i="31"/>
  <c r="G23" i="31"/>
  <c r="F23" i="31"/>
  <c r="G20" i="31"/>
  <c r="G19" i="31"/>
  <c r="F19" i="31"/>
  <c r="G18" i="31"/>
  <c r="F18" i="31"/>
  <c r="G17" i="31"/>
  <c r="F17" i="31"/>
  <c r="G15" i="31"/>
  <c r="F15" i="31"/>
  <c r="G14" i="31"/>
  <c r="F14" i="31"/>
  <c r="G13" i="31"/>
  <c r="F13" i="31"/>
  <c r="G11" i="31"/>
  <c r="F11" i="31"/>
  <c r="G9" i="31"/>
  <c r="F9" i="31"/>
  <c r="G8" i="31"/>
  <c r="F8" i="31"/>
  <c r="F7" i="31"/>
  <c r="G6" i="31"/>
  <c r="F6" i="31"/>
  <c r="G5" i="31"/>
  <c r="G4" i="31"/>
  <c r="F4" i="31"/>
  <c r="G2" i="31"/>
  <c r="F2" i="31"/>
  <c r="G3" i="31"/>
  <c r="F3" i="31"/>
  <c r="G53" i="31" l="1"/>
  <c r="G55" i="31" s="1"/>
  <c r="F53" i="31"/>
  <c r="F55" i="31" s="1"/>
  <c r="E44" i="31" l="1"/>
  <c r="E48" i="31"/>
  <c r="E54" i="31"/>
  <c r="E14" i="31" l="1"/>
  <c r="E7" i="31"/>
  <c r="E50" i="31"/>
  <c r="E49" i="31"/>
  <c r="E46" i="31" l="1"/>
  <c r="E41" i="31"/>
  <c r="E40" i="31"/>
  <c r="E29" i="31"/>
  <c r="E24" i="31"/>
  <c r="E23" i="31"/>
  <c r="E20" i="31"/>
  <c r="E19" i="31"/>
  <c r="E18" i="31"/>
  <c r="E17" i="31"/>
  <c r="E15" i="31"/>
  <c r="E13" i="31"/>
  <c r="E11" i="31"/>
  <c r="E9" i="31"/>
  <c r="E8" i="31"/>
  <c r="H7" i="10"/>
  <c r="E6" i="31"/>
  <c r="E5" i="31"/>
  <c r="E4" i="31"/>
  <c r="E2" i="31"/>
  <c r="D38" i="31" l="1"/>
  <c r="D54" i="31"/>
  <c r="D50" i="31" l="1"/>
  <c r="D49" i="31"/>
  <c r="D48" i="31"/>
  <c r="D47" i="31"/>
  <c r="D46" i="31"/>
  <c r="D44" i="31"/>
  <c r="D41" i="31"/>
  <c r="D35" i="31"/>
  <c r="D32" i="31"/>
  <c r="D29" i="31"/>
  <c r="D27" i="31"/>
  <c r="D23" i="31"/>
  <c r="D19" i="31"/>
  <c r="D18" i="31"/>
  <c r="D17" i="31"/>
  <c r="D15" i="31"/>
  <c r="D14" i="31"/>
  <c r="D13" i="31"/>
  <c r="D11" i="31"/>
  <c r="D9" i="31"/>
  <c r="D7" i="31"/>
  <c r="D6" i="31"/>
  <c r="D4" i="31"/>
  <c r="D3" i="31"/>
  <c r="D2" i="31"/>
  <c r="C47" i="31" l="1"/>
  <c r="C54" i="31" l="1"/>
  <c r="C50" i="31"/>
  <c r="C49" i="31"/>
  <c r="C46" i="31"/>
  <c r="C41" i="31"/>
  <c r="C40" i="31"/>
  <c r="C37" i="31"/>
  <c r="C29" i="31"/>
  <c r="C25" i="31"/>
  <c r="C23" i="31"/>
  <c r="C20" i="31"/>
  <c r="C19" i="31"/>
  <c r="C18" i="31"/>
  <c r="C17" i="31"/>
  <c r="C15" i="31"/>
  <c r="C14" i="31"/>
  <c r="C13" i="31"/>
  <c r="C11" i="31"/>
  <c r="C9" i="31"/>
  <c r="C7" i="31"/>
  <c r="C6" i="31"/>
  <c r="C4" i="31"/>
  <c r="C3" i="31"/>
  <c r="C2" i="31"/>
  <c r="B2" i="31" l="1"/>
  <c r="B54" i="31"/>
  <c r="B50" i="31" l="1"/>
  <c r="B49" i="31"/>
  <c r="B48" i="31"/>
  <c r="B46" i="31"/>
  <c r="B44" i="31"/>
  <c r="B41" i="31"/>
  <c r="B40" i="31"/>
  <c r="B33" i="31"/>
  <c r="B29" i="31"/>
  <c r="B23" i="31"/>
  <c r="B20" i="31"/>
  <c r="B19" i="31"/>
  <c r="B18" i="31"/>
  <c r="B17" i="31"/>
  <c r="B15" i="31"/>
  <c r="B13" i="31"/>
  <c r="B11" i="31"/>
  <c r="B9" i="31"/>
  <c r="B7" i="31"/>
  <c r="B6" i="31"/>
  <c r="B4" i="31"/>
  <c r="B3" i="31"/>
  <c r="H78" i="11" l="1"/>
  <c r="H365" i="40" l="1"/>
  <c r="H76" i="52" l="1"/>
  <c r="H79" i="1" l="1"/>
  <c r="J53" i="31" l="1"/>
  <c r="H5" i="13" l="1"/>
  <c r="O5" i="31" s="1"/>
  <c r="H4" i="57" l="1"/>
  <c r="N51" i="31" l="1"/>
  <c r="O51" i="31"/>
  <c r="P51" i="31" l="1"/>
  <c r="N50" i="31"/>
  <c r="O50" i="31"/>
  <c r="P50" i="31" l="1"/>
  <c r="H28" i="15"/>
  <c r="H12" i="50" l="1"/>
  <c r="H19" i="54" l="1"/>
  <c r="N44" i="31"/>
  <c r="O44" i="31"/>
  <c r="N49" i="31" l="1"/>
  <c r="O49" i="31"/>
  <c r="H11" i="36"/>
  <c r="N48" i="31" l="1"/>
  <c r="D53" i="31" l="1"/>
  <c r="N47" i="31"/>
  <c r="O48" i="31"/>
  <c r="P48" i="31" s="1"/>
  <c r="C53" i="31" l="1"/>
  <c r="C55" i="31" s="1"/>
  <c r="N46" i="31"/>
  <c r="H14" i="53"/>
  <c r="O47" i="31" s="1"/>
  <c r="P47" i="31" s="1"/>
  <c r="N45" i="31"/>
  <c r="O46" i="31"/>
  <c r="H4" i="51"/>
  <c r="O45" i="31" s="1"/>
  <c r="P44" i="31" l="1"/>
  <c r="P45" i="31"/>
  <c r="P46" i="31"/>
  <c r="N39" i="31" l="1"/>
  <c r="N36" i="31"/>
  <c r="N34" i="31"/>
  <c r="N32" i="31"/>
  <c r="N28" i="31"/>
  <c r="N8" i="31"/>
  <c r="M53" i="31"/>
  <c r="M55" i="31" s="1"/>
  <c r="L53" i="31" l="1"/>
  <c r="L55" i="31" s="1"/>
  <c r="K53" i="31"/>
  <c r="K55" i="31" s="1"/>
  <c r="J55" i="31"/>
  <c r="I55" i="31"/>
  <c r="H43" i="34" l="1"/>
  <c r="O29" i="31" s="1"/>
  <c r="O35" i="31"/>
  <c r="P49" i="31"/>
  <c r="H5" i="49"/>
  <c r="O43" i="31" s="1"/>
  <c r="H4" i="48"/>
  <c r="O42" i="31" s="1"/>
  <c r="H68" i="47"/>
  <c r="O41" i="31" s="1"/>
  <c r="H57" i="46"/>
  <c r="O40" i="31" s="1"/>
  <c r="O39" i="31"/>
  <c r="P39" i="31" s="1"/>
  <c r="H5" i="44"/>
  <c r="O38" i="31" s="1"/>
  <c r="H8" i="43"/>
  <c r="O37" i="31" s="1"/>
  <c r="O30" i="31"/>
  <c r="H4" i="42"/>
  <c r="O36" i="31" s="1"/>
  <c r="P36" i="31" s="1"/>
  <c r="H4" i="39"/>
  <c r="H8" i="37"/>
  <c r="O33" i="31" s="1"/>
  <c r="O32" i="31"/>
  <c r="P32" i="31" s="1"/>
  <c r="H5" i="32"/>
  <c r="O31" i="31" s="1"/>
  <c r="O28" i="31"/>
  <c r="P28" i="31" s="1"/>
  <c r="H16" i="29"/>
  <c r="O27" i="31" s="1"/>
  <c r="H7" i="28"/>
  <c r="O26" i="31" s="1"/>
  <c r="O25" i="31"/>
  <c r="H5" i="25"/>
  <c r="O24" i="31" s="1"/>
  <c r="H139" i="23"/>
  <c r="O23" i="31" s="1"/>
  <c r="H4" i="19"/>
  <c r="O22" i="31" s="1"/>
  <c r="H4" i="20"/>
  <c r="O21" i="31" s="1"/>
  <c r="H23" i="21"/>
  <c r="O20" i="31" s="1"/>
  <c r="H48" i="16"/>
  <c r="O19" i="31" s="1"/>
  <c r="H125" i="17"/>
  <c r="O18" i="31" s="1"/>
  <c r="O17" i="31"/>
  <c r="H4" i="2"/>
  <c r="O16" i="31" s="1"/>
  <c r="H127" i="3"/>
  <c r="O15" i="31" s="1"/>
  <c r="H45" i="4"/>
  <c r="O14" i="31" s="1"/>
  <c r="H32" i="5"/>
  <c r="O13" i="31" s="1"/>
  <c r="H5" i="6"/>
  <c r="O12" i="31" s="1"/>
  <c r="H52" i="7"/>
  <c r="O11" i="31" s="1"/>
  <c r="H4" i="8"/>
  <c r="O10" i="31" s="1"/>
  <c r="H58" i="9"/>
  <c r="O9" i="31" s="1"/>
  <c r="O8" i="31"/>
  <c r="P8" i="31" s="1"/>
  <c r="O7" i="31"/>
  <c r="H27" i="12"/>
  <c r="O6" i="31" s="1"/>
  <c r="H97" i="14"/>
  <c r="O4" i="31" s="1"/>
  <c r="O3" i="31"/>
  <c r="O2" i="31"/>
  <c r="N35" i="31"/>
  <c r="O34" i="31"/>
  <c r="P34" i="31" s="1"/>
  <c r="N30" i="31"/>
  <c r="O53" i="31" l="1"/>
  <c r="N31" i="31"/>
  <c r="P31" i="31" s="1"/>
  <c r="N38" i="31"/>
  <c r="P38" i="31" s="1"/>
  <c r="N22" i="31"/>
  <c r="P22" i="31" s="1"/>
  <c r="N21" i="31"/>
  <c r="P21" i="31" s="1"/>
  <c r="N16" i="31"/>
  <c r="P16" i="31" s="1"/>
  <c r="N12" i="31"/>
  <c r="P12" i="31" s="1"/>
  <c r="N33" i="31"/>
  <c r="P33" i="31" s="1"/>
  <c r="N29" i="31"/>
  <c r="P29" i="31" s="1"/>
  <c r="N40" i="31"/>
  <c r="P40" i="31" s="1"/>
  <c r="N41" i="31"/>
  <c r="P41" i="31" s="1"/>
  <c r="N42" i="31"/>
  <c r="P42" i="31" s="1"/>
  <c r="N43" i="31"/>
  <c r="P43" i="31" s="1"/>
  <c r="N37" i="31"/>
  <c r="P37" i="31" s="1"/>
  <c r="N27" i="31"/>
  <c r="P27" i="31" s="1"/>
  <c r="N5" i="31"/>
  <c r="P5" i="31" s="1"/>
  <c r="P35" i="31"/>
  <c r="P52" i="31"/>
  <c r="H53" i="31"/>
  <c r="H55" i="31" s="1"/>
  <c r="B53" i="31"/>
  <c r="B55" i="31" s="1"/>
  <c r="P30" i="31"/>
  <c r="E53" i="31"/>
  <c r="E55" i="31" s="1"/>
  <c r="N17" i="31" l="1"/>
  <c r="P17" i="31" s="1"/>
  <c r="N25" i="31" l="1"/>
  <c r="P25" i="31" s="1"/>
  <c r="N19" i="31"/>
  <c r="P19" i="31" s="1"/>
  <c r="N9" i="31" l="1"/>
  <c r="P9" i="31" s="1"/>
  <c r="N26" i="31" l="1"/>
  <c r="P26" i="31" s="1"/>
  <c r="N11" i="31"/>
  <c r="P11" i="31" s="1"/>
  <c r="N24" i="31"/>
  <c r="P24" i="31" s="1"/>
  <c r="N14" i="31"/>
  <c r="P14" i="31" s="1"/>
  <c r="N13" i="31"/>
  <c r="P13" i="31" s="1"/>
  <c r="N15" i="31"/>
  <c r="P15" i="31" s="1"/>
  <c r="N18" i="31" l="1"/>
  <c r="P18" i="31" s="1"/>
  <c r="N23" i="31"/>
  <c r="P23" i="31" s="1"/>
  <c r="N20" i="31"/>
  <c r="P20" i="31" s="1"/>
  <c r="N10" i="31"/>
  <c r="P10" i="31" s="1"/>
  <c r="N6" i="31"/>
  <c r="P6" i="31" s="1"/>
  <c r="N7" i="31"/>
  <c r="P7" i="31" s="1"/>
  <c r="N4" i="31"/>
  <c r="P4" i="31" s="1"/>
  <c r="N3" i="31"/>
  <c r="P3" i="31" s="1"/>
  <c r="N2" i="31"/>
  <c r="P2" i="31" l="1"/>
  <c r="N53" i="31"/>
  <c r="P53" i="31" s="1"/>
</calcChain>
</file>

<file path=xl/sharedStrings.xml><?xml version="1.0" encoding="utf-8"?>
<sst xmlns="http://schemas.openxmlformats.org/spreadsheetml/2006/main" count="6587" uniqueCount="1276">
  <si>
    <t>Fecha</t>
  </si>
  <si>
    <t>No. de Factura</t>
  </si>
  <si>
    <t>Cantidad</t>
  </si>
  <si>
    <t>Nombre del Paciente</t>
  </si>
  <si>
    <t>Forma de 
Pago</t>
  </si>
  <si>
    <t>Total</t>
  </si>
  <si>
    <t>Credomatic</t>
  </si>
  <si>
    <t>Visa</t>
  </si>
  <si>
    <t>Tratamiento</t>
  </si>
  <si>
    <t>Acido hialuronico</t>
  </si>
  <si>
    <t>Deposito</t>
  </si>
  <si>
    <t>Efectivo</t>
  </si>
  <si>
    <t>Depilación</t>
  </si>
  <si>
    <t>Cheque</t>
  </si>
  <si>
    <t>Emsculpt</t>
  </si>
  <si>
    <t>Emtone</t>
  </si>
  <si>
    <t>Exfoliación</t>
  </si>
  <si>
    <t>Exilis</t>
  </si>
  <si>
    <t>Facial purificante</t>
  </si>
  <si>
    <t>Visa L.</t>
  </si>
  <si>
    <t>Hifu</t>
  </si>
  <si>
    <t>Hydrafacial</t>
  </si>
  <si>
    <t>Laboratorios</t>
  </si>
  <si>
    <t>Masaje linfatico</t>
  </si>
  <si>
    <t>Mesoterapia</t>
  </si>
  <si>
    <t>Morpheus rostro y cuello</t>
  </si>
  <si>
    <t>Morpheus</t>
  </si>
  <si>
    <t>Pico-láser</t>
  </si>
  <si>
    <t>Porfhilo</t>
  </si>
  <si>
    <t>PRP rostro y cuello</t>
  </si>
  <si>
    <t>PRP</t>
  </si>
  <si>
    <t>Radiofrecuencia</t>
  </si>
  <si>
    <t>Ultrasonido post-operatorio</t>
  </si>
  <si>
    <t>Velo de acido hialuronico</t>
  </si>
  <si>
    <t>Velox</t>
  </si>
  <si>
    <t>Vitamina C intravenosa</t>
  </si>
  <si>
    <t>Producto</t>
  </si>
  <si>
    <t>Ciclo coolsculpting</t>
  </si>
  <si>
    <t>Dermapen</t>
  </si>
  <si>
    <t>Láser CO2</t>
  </si>
  <si>
    <t>Masaje relajante</t>
  </si>
  <si>
    <t>Oligoelementos</t>
  </si>
  <si>
    <t>Tratamiendo</t>
  </si>
  <si>
    <t xml:space="preserve">Exilis </t>
  </si>
  <si>
    <t xml:space="preserve">Exfoliación </t>
  </si>
  <si>
    <t>Profhilo</t>
  </si>
  <si>
    <t>Ultrasonido</t>
  </si>
  <si>
    <t xml:space="preserve">Masaje relajante </t>
  </si>
  <si>
    <t xml:space="preserve">Dermapen </t>
  </si>
  <si>
    <t>Celulas Madre</t>
  </si>
  <si>
    <t>Abono</t>
  </si>
  <si>
    <t>Grow</t>
  </si>
  <si>
    <t>Abonos</t>
  </si>
  <si>
    <t>Celulas madre</t>
  </si>
  <si>
    <t>Enero</t>
  </si>
  <si>
    <t>Claudia Arrecis</t>
  </si>
  <si>
    <t>Peeling</t>
  </si>
  <si>
    <t>Spectra ginecologico</t>
  </si>
  <si>
    <t>Eliminación de lunares</t>
  </si>
  <si>
    <t>Elimación de lunares</t>
  </si>
  <si>
    <t>Botox</t>
  </si>
  <si>
    <t>Encimas</t>
  </si>
  <si>
    <t>Cambio de tratamiento</t>
  </si>
  <si>
    <t>Microdermoabrasión</t>
  </si>
  <si>
    <t xml:space="preserve">Terapia Luminica </t>
  </si>
  <si>
    <t>Terapia Luminica</t>
  </si>
  <si>
    <t>Oscilación</t>
  </si>
  <si>
    <t>Oscilacion</t>
  </si>
  <si>
    <t>Oscilación profunda</t>
  </si>
  <si>
    <t>Sueros</t>
  </si>
  <si>
    <t>Suero glutation</t>
  </si>
  <si>
    <t>Presoterapia</t>
  </si>
  <si>
    <t>Febrero</t>
  </si>
  <si>
    <t>Aplicación de vitamina C intravenosa</t>
  </si>
  <si>
    <t>Julia Sapper</t>
  </si>
  <si>
    <t>Diferencia por cambio de tratamiento</t>
  </si>
  <si>
    <t>Nioo</t>
  </si>
  <si>
    <t>Marzo</t>
  </si>
  <si>
    <t>Norma De Barquin</t>
  </si>
  <si>
    <t>Rosa Maria Miralles</t>
  </si>
  <si>
    <t>Abril</t>
  </si>
  <si>
    <t>Servicios prestados recepcionista</t>
  </si>
  <si>
    <t>Servicios prestados asistente administrativo</t>
  </si>
  <si>
    <t>Tere De Bolaños</t>
  </si>
  <si>
    <t>Bessy Chan</t>
  </si>
  <si>
    <t xml:space="preserve">Junio </t>
  </si>
  <si>
    <t>Julio</t>
  </si>
  <si>
    <t>Aplicación de profhilo</t>
  </si>
  <si>
    <t>Sedación</t>
  </si>
  <si>
    <t>Vanessa Smith De Vargas</t>
  </si>
  <si>
    <t>Agosto</t>
  </si>
  <si>
    <t>Septiembre</t>
  </si>
  <si>
    <t>Octubre</t>
  </si>
  <si>
    <t xml:space="preserve">Noviembre </t>
  </si>
  <si>
    <t>Diciembre</t>
  </si>
  <si>
    <t>---</t>
  </si>
  <si>
    <t>Beauty collagen advanced (Protocol)</t>
  </si>
  <si>
    <t>Depilación axila</t>
  </si>
  <si>
    <t>Depilación bikini</t>
  </si>
  <si>
    <t>Mariela Saravia</t>
  </si>
  <si>
    <t>Edgar Muñoz</t>
  </si>
  <si>
    <t>Marcela Barquin</t>
  </si>
  <si>
    <t>Aplicación de acido hialuronico</t>
  </si>
  <si>
    <t>Emtone medias piernas completas</t>
  </si>
  <si>
    <t>Morpheus corporal</t>
  </si>
  <si>
    <t>Gisela Castillo</t>
  </si>
  <si>
    <t>PRP rostro</t>
  </si>
  <si>
    <t>Yaneth De Velez</t>
  </si>
  <si>
    <t>Masaje reflexologia</t>
  </si>
  <si>
    <t>Intrasure post-operatorio</t>
  </si>
  <si>
    <t>Hifu Ultra-forme</t>
  </si>
  <si>
    <t>Depilación piernas</t>
  </si>
  <si>
    <t>Wendy Gonzalez</t>
  </si>
  <si>
    <t>Silvia Canella</t>
  </si>
  <si>
    <t xml:space="preserve">Mascarilla </t>
  </si>
  <si>
    <t>Exilis abdomen, cintura y espalda baja</t>
  </si>
  <si>
    <t>Exilis abdomen, cintura, espalda y brazos</t>
  </si>
  <si>
    <t>Masaje linfatico facial</t>
  </si>
  <si>
    <t>Por servicio de sedación</t>
  </si>
  <si>
    <t>Powershape</t>
  </si>
  <si>
    <t>Mascarilla</t>
  </si>
  <si>
    <t>Emtone abdomen, cintura y espalda baja</t>
  </si>
  <si>
    <t>Wendy Lopez</t>
  </si>
  <si>
    <t>Rocio Molina</t>
  </si>
  <si>
    <t xml:space="preserve">Quimica Industrial Guatemalteca, S.A. </t>
  </si>
  <si>
    <t>Linea telefonica</t>
  </si>
  <si>
    <t>Veronica Jimenez</t>
  </si>
  <si>
    <t>Sandra Jimenez</t>
  </si>
  <si>
    <t>Powershape abdomen, cintura y piernas</t>
  </si>
  <si>
    <t>Zoila Valencia Marroquin</t>
  </si>
  <si>
    <t>Sol Lopez</t>
  </si>
  <si>
    <t>Hifu microson</t>
  </si>
  <si>
    <t>Powershape medias piernas completas</t>
  </si>
  <si>
    <t>Mary Contreras</t>
  </si>
  <si>
    <t>Vivian Dougherty</t>
  </si>
  <si>
    <t>Alisson Batres</t>
  </si>
  <si>
    <t>Arturo Salvatierra</t>
  </si>
  <si>
    <t>Emsculpt NEO</t>
  </si>
  <si>
    <t>Exion</t>
  </si>
  <si>
    <t>Vinicio Suchini</t>
  </si>
  <si>
    <t>Emsculpt neo glúteos</t>
  </si>
  <si>
    <t>Gabriela Cuellar</t>
  </si>
  <si>
    <t>Miriam Vanessa Castillo</t>
  </si>
  <si>
    <t>Emsculpt neo</t>
  </si>
  <si>
    <t>Dabalash</t>
  </si>
  <si>
    <t>Alejandra Quinto</t>
  </si>
  <si>
    <t>Claudia Maria De Leon</t>
  </si>
  <si>
    <t>Patricia Galvez</t>
  </si>
  <si>
    <t>Telma Maldonado</t>
  </si>
  <si>
    <t>Cancelación Dabalash</t>
  </si>
  <si>
    <t>Lucia Torres</t>
  </si>
  <si>
    <t>Urea 10% loción reparadora BABÉ</t>
  </si>
  <si>
    <t>Claudia Chinchilla</t>
  </si>
  <si>
    <t>Vivian Flores</t>
  </si>
  <si>
    <t>Carla De Zelaya</t>
  </si>
  <si>
    <t>Leslie Esposito</t>
  </si>
  <si>
    <t>Emtone abdomen y espalda baja</t>
  </si>
  <si>
    <t>Ana Longo De Arias</t>
  </si>
  <si>
    <t>Maria De Los Angeles Paz</t>
  </si>
  <si>
    <t>Ana Raquel Rios</t>
  </si>
  <si>
    <t>Emtone abdomen, cintura y piernas</t>
  </si>
  <si>
    <t>Exilis abdomen, cintura y espalda completa</t>
  </si>
  <si>
    <t>Edwin Solares</t>
  </si>
  <si>
    <t xml:space="preserve">Facial purificante </t>
  </si>
  <si>
    <t>Alvaro Florido</t>
  </si>
  <si>
    <t>Jaqueline Barillas</t>
  </si>
  <si>
    <t xml:space="preserve">Francisco Manzo </t>
  </si>
  <si>
    <t>Berenice Urzua</t>
  </si>
  <si>
    <t>Ilse Eckstein</t>
  </si>
  <si>
    <t>Ramon Canek</t>
  </si>
  <si>
    <t>Diana Ayala</t>
  </si>
  <si>
    <t>Juan Carlos Eguizabal</t>
  </si>
  <si>
    <t>Kristalh Fuentes</t>
  </si>
  <si>
    <t>Ana Isabel Figueroa</t>
  </si>
  <si>
    <t>Abono aplicación de profhilo</t>
  </si>
  <si>
    <t>Emma De Leon</t>
  </si>
  <si>
    <t>Carolina Ibarra</t>
  </si>
  <si>
    <t>Ana Riera De Orellana</t>
  </si>
  <si>
    <t>Radiofrecuecia rosro y cuello</t>
  </si>
  <si>
    <t>Lissete Cifuentes</t>
  </si>
  <si>
    <t>Jossleine Rodriguez</t>
  </si>
  <si>
    <t>Abono Dabalash</t>
  </si>
  <si>
    <t>Carlos Arnoldo Rodriguez</t>
  </si>
  <si>
    <t>Glenda Lopez</t>
  </si>
  <si>
    <t>Papeleria y utiles</t>
  </si>
  <si>
    <t>Adriana Marroquin</t>
  </si>
  <si>
    <t>Silvia Manzo</t>
  </si>
  <si>
    <t>Oscilación profunda facial</t>
  </si>
  <si>
    <t>Yesenia Garcia</t>
  </si>
  <si>
    <t>Federico Salazar</t>
  </si>
  <si>
    <t>Hif ultraformer ovalo facial</t>
  </si>
  <si>
    <t>Hif ultraformer ovalo cuello</t>
  </si>
  <si>
    <t>Powershape abdomen completo, cintura y espalda completa</t>
  </si>
  <si>
    <t>Powershape abodmen, cintura, espalda alta, entrepierna y parte posterior de la pierna</t>
  </si>
  <si>
    <t>Powershape abdomen, cintura y espalda baja</t>
  </si>
  <si>
    <t>Powershape abdomen, cintura, espalda alta y chaparrera</t>
  </si>
  <si>
    <t>Lara Lojo</t>
  </si>
  <si>
    <t>Emsculpt neo abdomen</t>
  </si>
  <si>
    <t>Ana Rebeca Higueros</t>
  </si>
  <si>
    <t>Mascara by DabaLash</t>
  </si>
  <si>
    <t>Teresa Pineda</t>
  </si>
  <si>
    <t>Fillerina 12 HA - / Desifying filler</t>
  </si>
  <si>
    <t>Hilda Violeta Peralta</t>
  </si>
  <si>
    <t>Hyperoil gel tubo 30ml</t>
  </si>
  <si>
    <t>Heidi Garcia</t>
  </si>
  <si>
    <t>Patricia Vila De Mejicanos</t>
  </si>
  <si>
    <t>Crema nutritiva tensage (ENDOCARE)</t>
  </si>
  <si>
    <t>Beauty collagen advanced (protocol)</t>
  </si>
  <si>
    <t>Ada Salguero</t>
  </si>
  <si>
    <t>Fillerina 12 HA - / Desifying lip contour cream</t>
  </si>
  <si>
    <t>Silvia Cabrera De Rivera</t>
  </si>
  <si>
    <t>Fillerina 12HA - / Densifying day cream</t>
  </si>
  <si>
    <t>dabalash</t>
  </si>
  <si>
    <t>Analy Galindo</t>
  </si>
  <si>
    <t>Active whey &amp; collagen</t>
  </si>
  <si>
    <t>Ana Lucrecia Garcia</t>
  </si>
  <si>
    <t>Urea 10% loción reparadora BABE</t>
  </si>
  <si>
    <t>Norma De Castellanos</t>
  </si>
  <si>
    <t>Mayde Sanabria de Moscoso</t>
  </si>
  <si>
    <t>Fillerina 12 HA -/ Densifyng day cream</t>
  </si>
  <si>
    <t>Fillerina 12 HA -/ Densifyng night cream</t>
  </si>
  <si>
    <t>Balsamo en aceite BABE</t>
  </si>
  <si>
    <t>Rinna Mejia</t>
  </si>
  <si>
    <t>Protector solar compacto (HELIOCARE)</t>
  </si>
  <si>
    <t>Jabon dapzon (rice glycol)</t>
  </si>
  <si>
    <t>Contorno de ojos iluminador (ENDOCARE)</t>
  </si>
  <si>
    <t>Serum (Endocare)</t>
  </si>
  <si>
    <t>Fillerina 12 HA -/ Desifying eye contour cream</t>
  </si>
  <si>
    <t>Karen Alebon</t>
  </si>
  <si>
    <t>Crema multi-regeneradora (Germaine)</t>
  </si>
  <si>
    <t>Maria Fernanda Mejia</t>
  </si>
  <si>
    <t>Mascarilla megadosis de vitamina C (Germaine)</t>
  </si>
  <si>
    <t>Mario Moscoso</t>
  </si>
  <si>
    <t>Protector solar spray (HELIOCARE)</t>
  </si>
  <si>
    <t>Fotoprotector fusionWater color (ISDIN)</t>
  </si>
  <si>
    <t>Karla Sapper</t>
  </si>
  <si>
    <t>Ileana De Carrera</t>
  </si>
  <si>
    <t>Pro60 50+hayal 3d KIT (Germaine)</t>
  </si>
  <si>
    <t>Ana Llarena De Escobar</t>
  </si>
  <si>
    <t>Mascara by Dabalash</t>
  </si>
  <si>
    <t>Aplicación acido hialuronico labios</t>
  </si>
  <si>
    <t>Ruth Sazo</t>
  </si>
  <si>
    <t>Aplicación acido hialuronico manos</t>
  </si>
  <si>
    <t>Aplicación acido hialuronico</t>
  </si>
  <si>
    <t>Julio Matheu</t>
  </si>
  <si>
    <t>Depilación barbilla y bigote</t>
  </si>
  <si>
    <t>Debora Cividanis De Garrido</t>
  </si>
  <si>
    <t>Emtone abdomen, cintura, brazos, chaparrera, entrepierna y parte posterior de la pierna</t>
  </si>
  <si>
    <t>Surisaddai Garcia</t>
  </si>
  <si>
    <t xml:space="preserve">Emtone abdomen, cintura, brazos y parte posterior de la pierna </t>
  </si>
  <si>
    <t>Carmen Liliana Rivera</t>
  </si>
  <si>
    <t>Emtone brazos</t>
  </si>
  <si>
    <t>Astrid De Leon</t>
  </si>
  <si>
    <t>Exilis cuello</t>
  </si>
  <si>
    <t>Betania Goncalves</t>
  </si>
  <si>
    <t>Exilis glúteos</t>
  </si>
  <si>
    <t>Myriam Mijangos De Weller</t>
  </si>
  <si>
    <t>Ricardo Weller</t>
  </si>
  <si>
    <t>Exilis abodmen y cintura</t>
  </si>
  <si>
    <t>Exilis corporal</t>
  </si>
  <si>
    <t xml:space="preserve">Ricardo Moreno </t>
  </si>
  <si>
    <t>Exilis abdomen, cintura, pectoral, aletas y espalda baja</t>
  </si>
  <si>
    <t xml:space="preserve">Exilis abdomen, cintura, espalda alta, brazos y parte posterior de la pierna  </t>
  </si>
  <si>
    <t>Exilis rostro y cuello</t>
  </si>
  <si>
    <t>Ninoshtka Vargas</t>
  </si>
  <si>
    <t>Abono exilis abdomen, cintura, espalda y brazos</t>
  </si>
  <si>
    <t>Cancelación exilis abdomen, cintura, espalda y brazos</t>
  </si>
  <si>
    <t>Marilyn Ivonne Barascout</t>
  </si>
  <si>
    <t>Exilis abdomen, cintura y espalda alta</t>
  </si>
  <si>
    <t>Jorge Daniel Cifuentes</t>
  </si>
  <si>
    <t>Exilis abdomen completo, cintura y espalda media</t>
  </si>
  <si>
    <t>Libni Hernandez</t>
  </si>
  <si>
    <t>Rita Castillo</t>
  </si>
  <si>
    <t>Aida Lopez</t>
  </si>
  <si>
    <t>Marcos Aquino</t>
  </si>
  <si>
    <t>Isabela Gabriel Castillo</t>
  </si>
  <si>
    <t>Elien Escobar</t>
  </si>
  <si>
    <t>Claudia Soch</t>
  </si>
  <si>
    <t>Ana Maria Martinez</t>
  </si>
  <si>
    <t>Reishell Barillas</t>
  </si>
  <si>
    <t>Mesoterapia abdomen y cintura</t>
  </si>
  <si>
    <t>Mesoterapia chaparreras</t>
  </si>
  <si>
    <t>Mesoterapia brazos y espalda</t>
  </si>
  <si>
    <t>Mariana Hernandez</t>
  </si>
  <si>
    <t>Mesoterpia reductora abdomen y cintura</t>
  </si>
  <si>
    <t>Abono mesoterapia  reductora abdomen y cintura</t>
  </si>
  <si>
    <t>Fracisco Arce</t>
  </si>
  <si>
    <t>Mesoterapia reductora y reafirmante abdomen, cintura y espalda baja</t>
  </si>
  <si>
    <t>Astrid Alvarado De Quan</t>
  </si>
  <si>
    <t xml:space="preserve">Rocio Molina </t>
  </si>
  <si>
    <t>Hector Ponciano</t>
  </si>
  <si>
    <t>Benjamin De León</t>
  </si>
  <si>
    <t>Maziel Arango</t>
  </si>
  <si>
    <t>Annie Dougherty</t>
  </si>
  <si>
    <t>Morpheus rostro, cuello y escote</t>
  </si>
  <si>
    <t>Clara Conde De Bacaro</t>
  </si>
  <si>
    <t>Paola Gudiel De Sandoval</t>
  </si>
  <si>
    <t>Antonella Ricci</t>
  </si>
  <si>
    <t>Ivone Martinez</t>
  </si>
  <si>
    <t>Aplicición de profhilo</t>
  </si>
  <si>
    <t>Samira Massis</t>
  </si>
  <si>
    <t>Virginia Castillo</t>
  </si>
  <si>
    <t>PRP escote</t>
  </si>
  <si>
    <t>PRP manos</t>
  </si>
  <si>
    <t>PRP rodillas</t>
  </si>
  <si>
    <t>Valeria Meany</t>
  </si>
  <si>
    <t>Radiofrecuencia abdomen, cintura y espalda</t>
  </si>
  <si>
    <t>Radiofrecuencia rostro y cuello</t>
  </si>
  <si>
    <t>Maria Fernanda Martinez</t>
  </si>
  <si>
    <t>Radiofrecuencia abdomen completo, cintura y espalda baja</t>
  </si>
  <si>
    <t>Juan Jose Mata</t>
  </si>
  <si>
    <t>Gabriela Saenz</t>
  </si>
  <si>
    <t>Francis Cuellar</t>
  </si>
  <si>
    <t>Gabriela Morales</t>
  </si>
  <si>
    <t>Irma Pivaral</t>
  </si>
  <si>
    <t>Romeo Arturo Sandoval</t>
  </si>
  <si>
    <t>Diana Linares</t>
  </si>
  <si>
    <t>Maria Jose Alvarez</t>
  </si>
  <si>
    <t>Dermapen rostro y cuello</t>
  </si>
  <si>
    <t>Química Industrial Guatemalteca, S.A.</t>
  </si>
  <si>
    <t>Línea telefonica</t>
  </si>
  <si>
    <t>Por matenimiento</t>
  </si>
  <si>
    <t>Claudia Maria De León</t>
  </si>
  <si>
    <t>Patricia Gaitan</t>
  </si>
  <si>
    <t>Anabella Toriello</t>
  </si>
  <si>
    <t>Fiama Soledad Perez</t>
  </si>
  <si>
    <t>Evelyn Pamela Lara</t>
  </si>
  <si>
    <t>Powershape abdomen, cintura, espalda, chaparrera y parte posterior de la pierna</t>
  </si>
  <si>
    <t>Powershape abdomen, cintura, espalda y parte posterior de la pierna</t>
  </si>
  <si>
    <t>Monica Gonzalez De Garcia</t>
  </si>
  <si>
    <t>Francisco Arce</t>
  </si>
  <si>
    <t>Ana Rebeca Higueros del Carro</t>
  </si>
  <si>
    <t>Abono emsculpt neo</t>
  </si>
  <si>
    <t>Lisa Maria Fernanda Figueroa</t>
  </si>
  <si>
    <t>Frasco de protocol colageno con acido hialuronico</t>
  </si>
  <si>
    <t>Nuria Vargas</t>
  </si>
  <si>
    <t>Loraine Bouscayrol</t>
  </si>
  <si>
    <t>Marta Juarez</t>
  </si>
  <si>
    <t>Zoila Valencia</t>
  </si>
  <si>
    <t>Jose Benjamin De León</t>
  </si>
  <si>
    <t>Leslie Mendez</t>
  </si>
  <si>
    <t>Fidel Santos</t>
  </si>
  <si>
    <t>Protector solar spray (Heliocare)</t>
  </si>
  <si>
    <t>Debbie Richter</t>
  </si>
  <si>
    <t>Filomena Salazar</t>
  </si>
  <si>
    <t>Manuel Fuentes</t>
  </si>
  <si>
    <t>Bloqueador solar (eclipsol) mineral SPF 50</t>
  </si>
  <si>
    <t>Mayde Sanabria</t>
  </si>
  <si>
    <t>Balsamo en aceite BABÉ</t>
  </si>
  <si>
    <t>Iveth Bojorquez</t>
  </si>
  <si>
    <t>Claudia Turcios</t>
  </si>
  <si>
    <t>Marcela Escobar</t>
  </si>
  <si>
    <t>Serum liposomado resveraderm (Sesderma)</t>
  </si>
  <si>
    <t>Dysli Melnia Lainfiesta</t>
  </si>
  <si>
    <t>Crema facial hydraderm (Sesderma)</t>
  </si>
  <si>
    <t>Ana Carolina Via</t>
  </si>
  <si>
    <t>Fillerina 12 HA - / Densifying lip contour cream</t>
  </si>
  <si>
    <t>Vanessa Smith De argas</t>
  </si>
  <si>
    <t>Fillerina 12 HA - / Densifying night cream</t>
  </si>
  <si>
    <t>Mariela Azuaje</t>
  </si>
  <si>
    <t>Fillerina 12 HA - / Densifying day cream</t>
  </si>
  <si>
    <t>Wendy Giron De Barrientos</t>
  </si>
  <si>
    <t>Alcira Echeverria De Torres</t>
  </si>
  <si>
    <t>Lifting crema (Dermix)</t>
  </si>
  <si>
    <t>Ingrid Rivera</t>
  </si>
  <si>
    <t>Johana Ajin Chamale</t>
  </si>
  <si>
    <t>Depilación bigote</t>
  </si>
  <si>
    <t>Depilación barbilla</t>
  </si>
  <si>
    <t>Anika Maria Lozano</t>
  </si>
  <si>
    <t>Emtone corporal</t>
  </si>
  <si>
    <t>Exilis reafirmante abdomen completo, cintura y espalda</t>
  </si>
  <si>
    <t>Exilis piernas, abdomen y cintura</t>
  </si>
  <si>
    <t>Ruth Noemi Valdez</t>
  </si>
  <si>
    <t>Brenda Zaldaña</t>
  </si>
  <si>
    <t>Ana Gabriela Linares</t>
  </si>
  <si>
    <t>Ana Isabella Ruiz</t>
  </si>
  <si>
    <t>Ivonne Rodas De Gonzalez</t>
  </si>
  <si>
    <t>Victoria Silva</t>
  </si>
  <si>
    <t>Dessire Oaxaca</t>
  </si>
  <si>
    <t>Ethia Hurtado</t>
  </si>
  <si>
    <t>Mesoterapia vitamina C gluteos</t>
  </si>
  <si>
    <t>Mesoterapia reductora abdomen y cintura</t>
  </si>
  <si>
    <t>Cancelación mesoterapia  reductora abdomen y cintura</t>
  </si>
  <si>
    <t>Mesoterapia  reductora abdomen y cintura</t>
  </si>
  <si>
    <t>Maria Regina Palma</t>
  </si>
  <si>
    <t xml:space="preserve">Janneth Zablah </t>
  </si>
  <si>
    <t>Beatriz Cerezo De Ayescas</t>
  </si>
  <si>
    <t>Morpheus espalda</t>
  </si>
  <si>
    <t>Mariana Marquez</t>
  </si>
  <si>
    <t>Morpheus rostro, cuello y escote en "V"</t>
  </si>
  <si>
    <t>Karla Gutierrez</t>
  </si>
  <si>
    <t>Claudia Castillo De Zimeri</t>
  </si>
  <si>
    <t>Luis Galindo</t>
  </si>
  <si>
    <t>Ana Carolina Viau</t>
  </si>
  <si>
    <t>Silvia Fernanda Chacon De Sandoval</t>
  </si>
  <si>
    <t>Morpheus abdomen</t>
  </si>
  <si>
    <t>Morpheus banana roll</t>
  </si>
  <si>
    <t>Gabriela Toledo</t>
  </si>
  <si>
    <t>Claudia Eugenia Alburez</t>
  </si>
  <si>
    <t>Miguel Angel Martinez</t>
  </si>
  <si>
    <t>Cancelación aplicación de profhilo</t>
  </si>
  <si>
    <t>Lorein Rinze</t>
  </si>
  <si>
    <t>Gloria Ralda</t>
  </si>
  <si>
    <t>Josseline Rodriguez</t>
  </si>
  <si>
    <t>Karen Wantaland</t>
  </si>
  <si>
    <t>Cesibel Alejos</t>
  </si>
  <si>
    <t>Rocio Martinez</t>
  </si>
  <si>
    <t>Ana Gisela Castillo</t>
  </si>
  <si>
    <t>Fabiola Xep</t>
  </si>
  <si>
    <t>Radiofrecuencia abdomen, cintura, espalda alta y brazos</t>
  </si>
  <si>
    <t>Ernesto Salvador Guzman</t>
  </si>
  <si>
    <t>Masaje corporal exfoliante</t>
  </si>
  <si>
    <t>Luis Garrido</t>
  </si>
  <si>
    <t>Jhoana De Leon</t>
  </si>
  <si>
    <t>Peeling despigmentante rostro</t>
  </si>
  <si>
    <t>Ana Luisa Martinez</t>
  </si>
  <si>
    <t>Caro Vasquez</t>
  </si>
  <si>
    <t>Aplicación de botox</t>
  </si>
  <si>
    <t>Maria Jose Gonzalez</t>
  </si>
  <si>
    <t>Monica Cruz</t>
  </si>
  <si>
    <t>Ana Lorena Meyer</t>
  </si>
  <si>
    <t>Margarita Dominguez</t>
  </si>
  <si>
    <t>Victor Hugo Morales</t>
  </si>
  <si>
    <t>Andrea Meany</t>
  </si>
  <si>
    <t>Maria Patricia Sierra</t>
  </si>
  <si>
    <t>Samara Toledo</t>
  </si>
  <si>
    <t>Marianne Bachmann</t>
  </si>
  <si>
    <t>Maria Fernandez De Asturias</t>
  </si>
  <si>
    <t>Adriana Chaverri</t>
  </si>
  <si>
    <t xml:space="preserve">Noris Cifuentes </t>
  </si>
  <si>
    <t>Lorena Arzu</t>
  </si>
  <si>
    <t>Patrica Arzu</t>
  </si>
  <si>
    <t>Efectivo $</t>
  </si>
  <si>
    <t>Mabby Morales</t>
  </si>
  <si>
    <t>Evelyn Orantes</t>
  </si>
  <si>
    <t>Monica De Sieveking</t>
  </si>
  <si>
    <t>Carlos Folgar</t>
  </si>
  <si>
    <t>Paulina Ralda</t>
  </si>
  <si>
    <t>Carmen Monroy</t>
  </si>
  <si>
    <t>Aura Barrera</t>
  </si>
  <si>
    <t>Monica Clavedia De Arce</t>
  </si>
  <si>
    <t>Maria Cristina Quiñonez</t>
  </si>
  <si>
    <t>Maria Dacosta</t>
  </si>
  <si>
    <t>Cristina Chavez</t>
  </si>
  <si>
    <t>Gissell Sanzgni</t>
  </si>
  <si>
    <t>Aime Ovalle</t>
  </si>
  <si>
    <t>Roberto Enriquez</t>
  </si>
  <si>
    <t>Delia Chour</t>
  </si>
  <si>
    <t>Ninoshtka Meany</t>
  </si>
  <si>
    <t xml:space="preserve">Patricia Espigares </t>
  </si>
  <si>
    <t>Teresa De Jesus Pineda</t>
  </si>
  <si>
    <t>Ana Marina Martinez</t>
  </si>
  <si>
    <t>Amelia Arriola</t>
  </si>
  <si>
    <t>Martha Perez De Chen</t>
  </si>
  <si>
    <t>Cecilia Gil De Castillo</t>
  </si>
  <si>
    <t>Ana Carolina Flores</t>
  </si>
  <si>
    <t>Lorena Castillo</t>
  </si>
  <si>
    <t>Stefani Maul</t>
  </si>
  <si>
    <t>Ingrid Moscoso</t>
  </si>
  <si>
    <t>Lidia Coronado</t>
  </si>
  <si>
    <t>Anelly Arroyave</t>
  </si>
  <si>
    <t>Elizabeth Molina De Castillo</t>
  </si>
  <si>
    <t>Diego Castillo</t>
  </si>
  <si>
    <t>Maria Mercedes Zelaya</t>
  </si>
  <si>
    <t>Marlene Meany</t>
  </si>
  <si>
    <t>Xiomara Arriola</t>
  </si>
  <si>
    <t>Marcela Ayala</t>
  </si>
  <si>
    <t>Ana Cristina Rios</t>
  </si>
  <si>
    <t>Alma Judit Merida</t>
  </si>
  <si>
    <t>Aldo Bocaletti</t>
  </si>
  <si>
    <t>Maria Teresa Gomez</t>
  </si>
  <si>
    <t>Karla Bocaletti De Enriquez</t>
  </si>
  <si>
    <t>Margarita Alvarado</t>
  </si>
  <si>
    <t>Nora Seng</t>
  </si>
  <si>
    <t>Marco Silva</t>
  </si>
  <si>
    <t>Carolina Ballesteros</t>
  </si>
  <si>
    <t>Silvia Fernandez De Castellanos</t>
  </si>
  <si>
    <t>Karen Illescas</t>
  </si>
  <si>
    <t>Allison Batres</t>
  </si>
  <si>
    <t>Lorena De Gomez</t>
  </si>
  <si>
    <t>Lorena Abularach</t>
  </si>
  <si>
    <t>Liza Santisteban</t>
  </si>
  <si>
    <t>Dunia Ramirez</t>
  </si>
  <si>
    <t>Julio Quan</t>
  </si>
  <si>
    <t>Ilse De Leon Motta</t>
  </si>
  <si>
    <t>Mariela Cruz</t>
  </si>
  <si>
    <t>Thelma Del Cid</t>
  </si>
  <si>
    <t>Virginia Morales</t>
  </si>
  <si>
    <t xml:space="preserve">Karena Wantland </t>
  </si>
  <si>
    <t>Sara Spennemann</t>
  </si>
  <si>
    <t>Lucia Arrivillaga</t>
  </si>
  <si>
    <t>Irene Martense De Granados</t>
  </si>
  <si>
    <t>Belisario Diaz</t>
  </si>
  <si>
    <t>Virginia Bran Morataya</t>
  </si>
  <si>
    <t>Juan Manuel Funes</t>
  </si>
  <si>
    <t>Michelle Leonardo</t>
  </si>
  <si>
    <t>Gabriela Bagnasco</t>
  </si>
  <si>
    <t>Ivonne Olivares</t>
  </si>
  <si>
    <t>Claudia Maria Giron</t>
  </si>
  <si>
    <t xml:space="preserve">Ana Morales </t>
  </si>
  <si>
    <t>Ada Briceño</t>
  </si>
  <si>
    <t>Bianca Conte</t>
  </si>
  <si>
    <t>Loraine Rinze</t>
  </si>
  <si>
    <t>Jaqueline Villagran</t>
  </si>
  <si>
    <t>Karen Villagran</t>
  </si>
  <si>
    <t>Betty De Villagran</t>
  </si>
  <si>
    <t>Regina Merida</t>
  </si>
  <si>
    <t>Danury Samayoa</t>
  </si>
  <si>
    <t>Stefany Raque Salguero</t>
  </si>
  <si>
    <t>Vanessa De Mancilla</t>
  </si>
  <si>
    <t>Hifu ultraformer contorno facial</t>
  </si>
  <si>
    <t>Hifu ultraformer papada</t>
  </si>
  <si>
    <t>Hifu ultraformer frente y ojos</t>
  </si>
  <si>
    <t>Powershape corporal</t>
  </si>
  <si>
    <t>Lisbeth Estrada</t>
  </si>
  <si>
    <t>Abraham Esquivel</t>
  </si>
  <si>
    <t>Marilu Pierri</t>
  </si>
  <si>
    <t>Sissel Morales</t>
  </si>
  <si>
    <t>Vitamina c - cevilat</t>
  </si>
  <si>
    <t>Atache C vital</t>
  </si>
  <si>
    <t>Avene agua termal</t>
  </si>
  <si>
    <t>Olga Pantaleon</t>
  </si>
  <si>
    <t>Leonel Morales</t>
  </si>
  <si>
    <t>Claudia Chag</t>
  </si>
  <si>
    <t xml:space="preserve">Paulina Rios </t>
  </si>
  <si>
    <t>Aura Estela Herrera</t>
  </si>
  <si>
    <t>Depilación dedos los pies</t>
  </si>
  <si>
    <t>Depilación bigote y menton</t>
  </si>
  <si>
    <t>Depilación piernas completas</t>
  </si>
  <si>
    <t>Luisa Fernanda Lemus</t>
  </si>
  <si>
    <t>Ana Rebeca Higueros Del Carro</t>
  </si>
  <si>
    <t>Emsculpt biceps</t>
  </si>
  <si>
    <t>Gloria Carrion</t>
  </si>
  <si>
    <t xml:space="preserve">Emtone medias chaparreras, entrepierna y parte posterior </t>
  </si>
  <si>
    <t>Marisol Coronado</t>
  </si>
  <si>
    <t>Exilis abodmen, cintura, gorditos espaldal alta y brazos</t>
  </si>
  <si>
    <t>Olga De Sosa</t>
  </si>
  <si>
    <t>Exilis abodmen completo, cintura, espaldal y brazos</t>
  </si>
  <si>
    <t>Alejandro Castellanos</t>
  </si>
  <si>
    <t>Patricia Chew</t>
  </si>
  <si>
    <t>Exilis piernas</t>
  </si>
  <si>
    <t>Isabella Garrido</t>
  </si>
  <si>
    <t>Melvy Paola Gutierrez</t>
  </si>
  <si>
    <t>Exfoliación corporal</t>
  </si>
  <si>
    <t>Velkis Santos</t>
  </si>
  <si>
    <t>Karla Jordan</t>
  </si>
  <si>
    <t>Cristina Avila</t>
  </si>
  <si>
    <t>Ana Lucia Conde</t>
  </si>
  <si>
    <t>Julianne Cummings</t>
  </si>
  <si>
    <t>Astrid Ordoñez</t>
  </si>
  <si>
    <t>Mesoterapia espalda y cara posterior del brazo</t>
  </si>
  <si>
    <t>Luis Araya</t>
  </si>
  <si>
    <t>Mesoterapia reductora</t>
  </si>
  <si>
    <t xml:space="preserve">Maria Josee Solares </t>
  </si>
  <si>
    <t xml:space="preserve">Mesoterapia </t>
  </si>
  <si>
    <t>Mesoterapia corporal</t>
  </si>
  <si>
    <t>Celso Cerezo</t>
  </si>
  <si>
    <t>Vanessa De Leon</t>
  </si>
  <si>
    <t>Pablo Palma</t>
  </si>
  <si>
    <t xml:space="preserve">Karla Bocaletti </t>
  </si>
  <si>
    <t>Maria Jose Garcia Coutiño</t>
  </si>
  <si>
    <t>Elien Flores</t>
  </si>
  <si>
    <t>Morpheus brazos</t>
  </si>
  <si>
    <t>Maria Jose Enriquez De Ruata</t>
  </si>
  <si>
    <t>Aplicación de profhilo rostro</t>
  </si>
  <si>
    <t>Aplicación profhilo rostro</t>
  </si>
  <si>
    <t>Ana Mariana Herrera</t>
  </si>
  <si>
    <t>PRP capilar</t>
  </si>
  <si>
    <t>Ninett Vargas</t>
  </si>
  <si>
    <t>Radiofrecuencia rostro, cuello y escote</t>
  </si>
  <si>
    <t>Pilar Iglesias</t>
  </si>
  <si>
    <t>Cesibel Alejos De Velez</t>
  </si>
  <si>
    <t>Wanda Serovic</t>
  </si>
  <si>
    <t>Ciclos coolsculpting</t>
  </si>
  <si>
    <t>Zully Rodriguez De Cerezo</t>
  </si>
  <si>
    <t>Quimica Industrial Guatemalteca, S.A.</t>
  </si>
  <si>
    <t xml:space="preserve">Leslie Chilin </t>
  </si>
  <si>
    <t>Claudia Romero</t>
  </si>
  <si>
    <t>Marlene Patricia Lemus</t>
  </si>
  <si>
    <t>Elsa Vargas</t>
  </si>
  <si>
    <t xml:space="preserve">Maria Rene Galvez </t>
  </si>
  <si>
    <t>Vilma Muñoz</t>
  </si>
  <si>
    <t>Mesoterapia abdomen, cintura, espalda alta y brazos</t>
  </si>
  <si>
    <t>hifu ultraforme ojos</t>
  </si>
  <si>
    <t>Hifu ultraforme cuello</t>
  </si>
  <si>
    <t>Elida Sepulveda</t>
  </si>
  <si>
    <t>Mayo</t>
  </si>
  <si>
    <t>Claudia Leon De Castillo</t>
  </si>
  <si>
    <t>Complete collagen (protocol)</t>
  </si>
  <si>
    <t>Eva Mansilla</t>
  </si>
  <si>
    <t>Jannet Zablah</t>
  </si>
  <si>
    <t>Tratamiento labial con acido hialuronico (Germaine)</t>
  </si>
  <si>
    <t xml:space="preserve">protector solar spray (HELIOCARE) </t>
  </si>
  <si>
    <t>Sabrina Caputo</t>
  </si>
  <si>
    <t>Ingrid Rivera Meza</t>
  </si>
  <si>
    <t>Julieanne Cummings</t>
  </si>
  <si>
    <t>Olga Pantalaleon</t>
  </si>
  <si>
    <t>Karen Wantland</t>
  </si>
  <si>
    <t>Mascarilla de hidrogel (ATOMY)</t>
  </si>
  <si>
    <t>Radiance C + pure C10 concentrado 15ml (Germaine)</t>
  </si>
  <si>
    <t>Melanie Azurdia</t>
  </si>
  <si>
    <t>Protocol collagen skin plus (empaque rosado)</t>
  </si>
  <si>
    <t>Masacarilla de hidrogel (ATOMY)</t>
  </si>
  <si>
    <t>Laura Guisela Juarez De Samayoa</t>
  </si>
  <si>
    <t>Maria Josee Solares</t>
  </si>
  <si>
    <t>Maria Jose De León</t>
  </si>
  <si>
    <t>Ampollas flash (MARTIDERM)</t>
  </si>
  <si>
    <t>Guisela Ruiz</t>
  </si>
  <si>
    <t>Jennifer Lima</t>
  </si>
  <si>
    <t>Olga De Tercero</t>
  </si>
  <si>
    <t>Mariela Garcia</t>
  </si>
  <si>
    <t>Sun balsamo ensencial SPF50 (Germaine de Capuccini cod. 360055)</t>
  </si>
  <si>
    <t>Expert collagen peptide (Germaine de Capuccini cod. 370013)</t>
  </si>
  <si>
    <t>Timexpert radiance (Germaine de Capuccini cod. 380060)</t>
  </si>
  <si>
    <t>Sun fluido SPF50 protector solar (Germaine de Capuccini cod. 360011)</t>
  </si>
  <si>
    <t>Timexpert radiance ojos + emulsión antioxidante (Germaine de Capuccini cod. 380061)</t>
  </si>
  <si>
    <t>Aplicación de ampolla (Germaine de Capuccini)</t>
  </si>
  <si>
    <t>Hydraluronic hyaluronic 3D force (Germaine de Capuccini cod. 350000)</t>
  </si>
  <si>
    <t>Purex ser especial 1-2-3 piel grasa (Germaine de Capuccini cod. 440099)</t>
  </si>
  <si>
    <t>Bonna Marroquin</t>
  </si>
  <si>
    <t>Vilma De Muñoz</t>
  </si>
  <si>
    <t>Ana Maria Teran</t>
  </si>
  <si>
    <t>Karla Pinto De Caballeros</t>
  </si>
  <si>
    <t>Crema sodermix</t>
  </si>
  <si>
    <t>Elizabeth Jordan</t>
  </si>
  <si>
    <t>Booster renovador intensivo (Germaine de Capuccini cod. 370012)</t>
  </si>
  <si>
    <t>Ana Virgina Cappa</t>
  </si>
  <si>
    <t>Ana Patricia Rivera</t>
  </si>
  <si>
    <t>Ana Robersi Gonzalez</t>
  </si>
  <si>
    <t>Kit facial reestruturante lif therapy (ATACHE)</t>
  </si>
  <si>
    <t>Tratamiento labial con acido hialuronico</t>
  </si>
  <si>
    <t>Maria Jose De Leon</t>
  </si>
  <si>
    <t>Controno de ojo (Dermix)</t>
  </si>
  <si>
    <t>Anabella Dominguez de Franco</t>
  </si>
  <si>
    <t>Melina Fischer Bolaños</t>
  </si>
  <si>
    <t xml:space="preserve">Aplicación acido hialuronico </t>
  </si>
  <si>
    <t>Carmen Estela Pinto</t>
  </si>
  <si>
    <t>Ximena Morales</t>
  </si>
  <si>
    <t>Depilación medio rostro</t>
  </si>
  <si>
    <t>Paola Calderon</t>
  </si>
  <si>
    <t>Depilación Interglutea</t>
  </si>
  <si>
    <t>Rita De Castillo</t>
  </si>
  <si>
    <t xml:space="preserve">642206101
</t>
  </si>
  <si>
    <t>Guillermo Mendoza</t>
  </si>
  <si>
    <t>Emsculpt brazos</t>
  </si>
  <si>
    <t>Debora Sinibaldi De Garrido</t>
  </si>
  <si>
    <t>Patricia Lemus</t>
  </si>
  <si>
    <t>Maria Fernanda Chavez</t>
  </si>
  <si>
    <t>Ismenia Del Val Herrera</t>
  </si>
  <si>
    <t>Emtone abdomen, cintura y medias piernas completas</t>
  </si>
  <si>
    <t>Monica Melina Pocasangre</t>
  </si>
  <si>
    <t>Exilis abdomen, cintura, espalda alta y cara interna de brazos</t>
  </si>
  <si>
    <t>Exilis abdomen, cintura, espalda, brazos y entrepierna</t>
  </si>
  <si>
    <t>Carmen Maria De Zimeri</t>
  </si>
  <si>
    <t>Exilis abdomen completo, cintura y espalda baja</t>
  </si>
  <si>
    <t>Wendy Michelle Villatorio</t>
  </si>
  <si>
    <t>Exilis abdomen, cintura, espalda y medias piernas completas</t>
  </si>
  <si>
    <t>Mayra Acajabon Sian</t>
  </si>
  <si>
    <t>Concepcion Palma</t>
  </si>
  <si>
    <t>Monica Zimeri</t>
  </si>
  <si>
    <t>Silvia Crowe</t>
  </si>
  <si>
    <t>Rossana Crowe</t>
  </si>
  <si>
    <t>Muriel Perez</t>
  </si>
  <si>
    <t>Astrid Minondo</t>
  </si>
  <si>
    <t>Gabriela Paiz Palma</t>
  </si>
  <si>
    <t>Hany Caballero</t>
  </si>
  <si>
    <t>Karla Pineda</t>
  </si>
  <si>
    <t>Silvia De Rivera</t>
  </si>
  <si>
    <t>Dina Soto</t>
  </si>
  <si>
    <t>Coral Granado</t>
  </si>
  <si>
    <t>Patricia Gonzalez</t>
  </si>
  <si>
    <t>Norma Pineda</t>
  </si>
  <si>
    <t>Nancy Mendoza</t>
  </si>
  <si>
    <t>Leslie Chilin</t>
  </si>
  <si>
    <t>Abono masaje linfatico</t>
  </si>
  <si>
    <t>Cancelación masaje linfatico</t>
  </si>
  <si>
    <t>Michelle Villatoro Gonzalez</t>
  </si>
  <si>
    <t>Mesoterapia vitamina C glúteos</t>
  </si>
  <si>
    <t>Rebeca Del Carro</t>
  </si>
  <si>
    <t>Rene De Fumagalli</t>
  </si>
  <si>
    <t>Mesoterapia reductora banana roll y chaparreras</t>
  </si>
  <si>
    <t>Bibi Reyes De Chiu</t>
  </si>
  <si>
    <t>Barbara Mansilla</t>
  </si>
  <si>
    <t>Norma Elena Rodriguez</t>
  </si>
  <si>
    <t>Yesenia Larrazabal</t>
  </si>
  <si>
    <t>Monica Chang</t>
  </si>
  <si>
    <t>Evelyn Hernandez</t>
  </si>
  <si>
    <t>Sofia Muñoz</t>
  </si>
  <si>
    <t>Alva Noelia Torres</t>
  </si>
  <si>
    <t>Ana Lucia Armas</t>
  </si>
  <si>
    <t xml:space="preserve">Edna De Solares </t>
  </si>
  <si>
    <t>Maria Roxana Gabriel</t>
  </si>
  <si>
    <t>Silvia Yolanda Arevalo Castillo</t>
  </si>
  <si>
    <t>Bertha Fabiola Hernandez</t>
  </si>
  <si>
    <t>Luis Arrriola</t>
  </si>
  <si>
    <t>Diana Solis De Ritz</t>
  </si>
  <si>
    <t>Ana Ligia Mancilla</t>
  </si>
  <si>
    <t>Ana Victoria Morales Mancilla</t>
  </si>
  <si>
    <t>Maria Eugenia Gandara</t>
  </si>
  <si>
    <t>PRP antebrazo</t>
  </si>
  <si>
    <t>Carolyn De Santis</t>
  </si>
  <si>
    <t>Ana Maria Herbruger</t>
  </si>
  <si>
    <t>Karina Martinez</t>
  </si>
  <si>
    <t>Radifrecuencia coporal</t>
  </si>
  <si>
    <t>Radiofrecuencia brazos</t>
  </si>
  <si>
    <t>Helen Escaler</t>
  </si>
  <si>
    <t>Graciela Fernanda Margañon</t>
  </si>
  <si>
    <t>Aplicación vitamina C intravenosa</t>
  </si>
  <si>
    <t>Betania Goncalvez</t>
  </si>
  <si>
    <t>Victoria Morales</t>
  </si>
  <si>
    <t>Cebsibel Alejos</t>
  </si>
  <si>
    <t>Claudia Eugenia Alvurez</t>
  </si>
  <si>
    <t>Alexa Caballero</t>
  </si>
  <si>
    <t>Patrica Chew</t>
  </si>
  <si>
    <t>Línea telefononica</t>
  </si>
  <si>
    <t>Maritza Lopez</t>
  </si>
  <si>
    <t>Abono a peeling despigmentante</t>
  </si>
  <si>
    <t>Peeling despigmentate axila</t>
  </si>
  <si>
    <t>Peeling despigmentate codos</t>
  </si>
  <si>
    <t xml:space="preserve">Paola Gudiel de Sandoval </t>
  </si>
  <si>
    <t>Mariela Carolina Vargas</t>
  </si>
  <si>
    <t>Andrea Corona</t>
  </si>
  <si>
    <t>Ana Maria Rosales</t>
  </si>
  <si>
    <t>Oscilación producto</t>
  </si>
  <si>
    <t>Ana Cruz Tovar Ossa</t>
  </si>
  <si>
    <t>Ernesto Urcuyo</t>
  </si>
  <si>
    <t>Jose Miguel Rosa</t>
  </si>
  <si>
    <t>Isis Fiallos</t>
  </si>
  <si>
    <t>Hifu ultraformer rostro y cuello</t>
  </si>
  <si>
    <t>Powershape abdomen, cintura, espalda, brazos y medias piernas</t>
  </si>
  <si>
    <t>Stella Los</t>
  </si>
  <si>
    <t>Emsculpt neo gluteos</t>
  </si>
  <si>
    <t>Laser Co2</t>
  </si>
  <si>
    <t>Terapia luminica</t>
  </si>
  <si>
    <t>Elizabth Vega</t>
  </si>
  <si>
    <t>Hyalurox, hyalurinic acid precursor (skymedic)</t>
  </si>
  <si>
    <t>Myda Vides</t>
  </si>
  <si>
    <t>Beauty collagen (protocol advanced)</t>
  </si>
  <si>
    <t>Protocol collagen skin plus (empaque rasador)</t>
  </si>
  <si>
    <t>Olga Garcia Pantaleon</t>
  </si>
  <si>
    <t>Protector solar gel oil free 360 con color (Heliocare)</t>
  </si>
  <si>
    <t>Rony Alvarado</t>
  </si>
  <si>
    <t>Crema Sodermix</t>
  </si>
  <si>
    <t>Crema antioxidante iluminadora (Germaine)</t>
  </si>
  <si>
    <t>Elisa Gil</t>
  </si>
  <si>
    <t>Atache Cvital</t>
  </si>
  <si>
    <t>Ernesto Guzman</t>
  </si>
  <si>
    <t>Macara by Dabalash</t>
  </si>
  <si>
    <t>Claudia Aragon</t>
  </si>
  <si>
    <t>Samanta Cordon Morales</t>
  </si>
  <si>
    <t>Crema fluido luminoso RU (Sesderma)</t>
  </si>
  <si>
    <t>Fillerina 12HA - /Desifying day cream</t>
  </si>
  <si>
    <t>Debora De Garrido</t>
  </si>
  <si>
    <t>Protector solar compacto (Heliocare)</t>
  </si>
  <si>
    <t>Lilian Cobox</t>
  </si>
  <si>
    <t>Dina Soto Villagran</t>
  </si>
  <si>
    <t>C Ferulic edafense serum</t>
  </si>
  <si>
    <t>Contorno de ojos (Germaine de Capuccinni)</t>
  </si>
  <si>
    <t>Claudia Amado De Bregel</t>
  </si>
  <si>
    <t xml:space="preserve">kit facial (ATACHE) </t>
  </si>
  <si>
    <t>Silvia Paz Sandoval</t>
  </si>
  <si>
    <t>Maria Gabriela Salles</t>
  </si>
  <si>
    <t>Multi renovador peeling noite (BABE)</t>
  </si>
  <si>
    <t>Mayra Sian</t>
  </si>
  <si>
    <t>Mineral sunscreen for body and face</t>
  </si>
  <si>
    <t>Yenny Marcela Cardona</t>
  </si>
  <si>
    <t>Glenda López Villalobos</t>
  </si>
  <si>
    <t>Jose Antonio Arzu</t>
  </si>
  <si>
    <t>Depilación barba y cuello</t>
  </si>
  <si>
    <t>Camila Sandoval</t>
  </si>
  <si>
    <t>Depilación brazos</t>
  </si>
  <si>
    <t>Kristell Rocio Olivares Lopez</t>
  </si>
  <si>
    <t>Monika De Kong</t>
  </si>
  <si>
    <t>Monica Garcia</t>
  </si>
  <si>
    <t>Emtone abdomen, cintura, espalda baja y cara interna de brazos</t>
  </si>
  <si>
    <t>Elisa Mazzarello</t>
  </si>
  <si>
    <t>Maggie Villela</t>
  </si>
  <si>
    <t>Emtone abdomen, cintura, espalda baja y brazos</t>
  </si>
  <si>
    <t>Paola Gutierrez</t>
  </si>
  <si>
    <t>Exilis abdomen, cintura, brazos, espalda alta, entrepierna y parte posterior de la pierna</t>
  </si>
  <si>
    <t>Exilis banana roll, chaparrera y parte posterior de la pierna - glúteos</t>
  </si>
  <si>
    <t>Exilis abdomen, cintura, espalda y cara interna de brazos</t>
  </si>
  <si>
    <t>Exilis abdomen, cintura, espalda alta y brazos</t>
  </si>
  <si>
    <t>Vivian Prera</t>
  </si>
  <si>
    <t>Exilis ojos</t>
  </si>
  <si>
    <t>Carmen Maria Fernandez De Zimeri</t>
  </si>
  <si>
    <t>Isabel Dedet</t>
  </si>
  <si>
    <t>Karin Dougherty</t>
  </si>
  <si>
    <t xml:space="preserve">Andrea Corado De Melendez </t>
  </si>
  <si>
    <t>Maria Fernanda Martinez Giron</t>
  </si>
  <si>
    <t>Mesoterapia manos</t>
  </si>
  <si>
    <t>Rossana De Morales</t>
  </si>
  <si>
    <t>Morpheus rodilla</t>
  </si>
  <si>
    <t>Wendy Carias</t>
  </si>
  <si>
    <t>Sofia Garcia</t>
  </si>
  <si>
    <t>Alejandra Ruiz De Fernandez</t>
  </si>
  <si>
    <t>Irit Azar Samayoa</t>
  </si>
  <si>
    <t>Janeth Zablah</t>
  </si>
  <si>
    <t xml:space="preserve">Ericka Mancilla de Ponciano </t>
  </si>
  <si>
    <t>Maria Eugenia Sandoval De Paz</t>
  </si>
  <si>
    <t>Aplicación de profhilo cuello</t>
  </si>
  <si>
    <t>Beverly Cordon</t>
  </si>
  <si>
    <t>PRP rostro, cuello y escote</t>
  </si>
  <si>
    <t>Maria Del Rosario Santa Cruz</t>
  </si>
  <si>
    <t>Patricia Espigares</t>
  </si>
  <si>
    <t>Abono radiofrecuencia abdomen, cintura, espalda alta, cara interna de brazos y medias piernas</t>
  </si>
  <si>
    <t>Cancelación radiofrecuencia abdomen, cintura, espalda alta, cara interna de brazos y medias piernas</t>
  </si>
  <si>
    <t>Radiofrecuencia corporal</t>
  </si>
  <si>
    <t>Radiofrecuencia manos</t>
  </si>
  <si>
    <t>Luisa Maria Palma</t>
  </si>
  <si>
    <t>Karla Sarti De Bonatti</t>
  </si>
  <si>
    <t>Jose Eduardo Rivera</t>
  </si>
  <si>
    <t>Silvia Villanueva</t>
  </si>
  <si>
    <t>Francisco Arche</t>
  </si>
  <si>
    <t>Papeleria y utilies</t>
  </si>
  <si>
    <t>Peeling manos</t>
  </si>
  <si>
    <t>Ligia Mansilla</t>
  </si>
  <si>
    <t>Saramaria Estrada</t>
  </si>
  <si>
    <t>Raquel Calderon</t>
  </si>
  <si>
    <t>Wendy Villafuerte</t>
  </si>
  <si>
    <t>Ana Patricia Gaitan</t>
  </si>
  <si>
    <t>Claudia Salvatierra</t>
  </si>
  <si>
    <t>Jessica Cazalli</t>
  </si>
  <si>
    <t>Jose Fernando Morales</t>
  </si>
  <si>
    <t>Lucia Vasquez</t>
  </si>
  <si>
    <t>Jessi Tefel</t>
  </si>
  <si>
    <t>Maria Amalia Rodriguez</t>
  </si>
  <si>
    <t>Maria Olga De Cohen</t>
  </si>
  <si>
    <t>Barbara Mijangos</t>
  </si>
  <si>
    <t>Dalia Diaz De Diaz (mamá)</t>
  </si>
  <si>
    <t>Dalia Diaz (hija)</t>
  </si>
  <si>
    <t>Monica Paiz</t>
  </si>
  <si>
    <t>Carmen Alicia Jerez</t>
  </si>
  <si>
    <t>Ana Maria Paz Saravia</t>
  </si>
  <si>
    <t>Esther Sierra</t>
  </si>
  <si>
    <t>Silvia Fernanda Chacon Sandoval</t>
  </si>
  <si>
    <t>Sandy Martinez</t>
  </si>
  <si>
    <t>Noris Cifuentes</t>
  </si>
  <si>
    <t>Norma Jeannette Meza</t>
  </si>
  <si>
    <t>Crista Moreno</t>
  </si>
  <si>
    <t>Brenda Sanchinello</t>
  </si>
  <si>
    <t>Paulina Andrade</t>
  </si>
  <si>
    <t>Thelma Alvarez</t>
  </si>
  <si>
    <t>Beatriz Cerezo De Ayestas</t>
  </si>
  <si>
    <t>Carola Brol</t>
  </si>
  <si>
    <t>Mayte Tellez De Solares</t>
  </si>
  <si>
    <t>Ligia Aguirre</t>
  </si>
  <si>
    <t>Rosio Chavarria</t>
  </si>
  <si>
    <t>Anabella Campollo</t>
  </si>
  <si>
    <t>Guissela Ricci</t>
  </si>
  <si>
    <t>Waleska Melara</t>
  </si>
  <si>
    <t>Carolina Guzman</t>
  </si>
  <si>
    <t>Mariam Hernandez</t>
  </si>
  <si>
    <t>Iris Hernandez</t>
  </si>
  <si>
    <t>Maria Jose Juarez</t>
  </si>
  <si>
    <t>Alejandra Juarez</t>
  </si>
  <si>
    <t>Claudia Castillo</t>
  </si>
  <si>
    <t>Maria Renee Solares</t>
  </si>
  <si>
    <t>Marlenne Meany</t>
  </si>
  <si>
    <t>Miriam Avalos</t>
  </si>
  <si>
    <t>Diana Castillo</t>
  </si>
  <si>
    <t>Linda Mejia De Muñoz</t>
  </si>
  <si>
    <t>Vivian Morales</t>
  </si>
  <si>
    <t>Rosa Maria Santos</t>
  </si>
  <si>
    <t xml:space="preserve">Nidia Portillo </t>
  </si>
  <si>
    <t>Wendy Giron</t>
  </si>
  <si>
    <t>Rodolfo Barrientos</t>
  </si>
  <si>
    <t>Veronica De Sagastume</t>
  </si>
  <si>
    <t>Victor Sagastume</t>
  </si>
  <si>
    <t>Evelyn Vega De Garcia</t>
  </si>
  <si>
    <t>Melany Muñoz</t>
  </si>
  <si>
    <t>Elisa Reyes</t>
  </si>
  <si>
    <t>Ana Mariana Martinez</t>
  </si>
  <si>
    <t>Ilse De León</t>
  </si>
  <si>
    <t>Karla Pinto Portillo</t>
  </si>
  <si>
    <t>Emsculpt neo femoral</t>
  </si>
  <si>
    <t>Emsculpt neo cuadriceps</t>
  </si>
  <si>
    <t>Abono emsculpt neo abdomen</t>
  </si>
  <si>
    <t>Tratamiento labia con acido hialuronico (Germaine)</t>
  </si>
  <si>
    <t>Bloqueador tizo mineral stick - non tinted</t>
  </si>
  <si>
    <t>Diego Brol Lima</t>
  </si>
  <si>
    <t>Alejandra Ruiz</t>
  </si>
  <si>
    <t>Cristian Esquivel</t>
  </si>
  <si>
    <t>Gabriela Estrada</t>
  </si>
  <si>
    <t xml:space="preserve">Guillermo Adolfo Wilhelm </t>
  </si>
  <si>
    <t>Biotopix advanced</t>
  </si>
  <si>
    <t>Ana Patricia Quiñones de Aparicio</t>
  </si>
  <si>
    <t>Andrea Maria Linares</t>
  </si>
  <si>
    <t>Bloqueador tizo 3 primer sunscreen - tinted</t>
  </si>
  <si>
    <t>Yessenia Garcia</t>
  </si>
  <si>
    <t>Marta Castellanos</t>
  </si>
  <si>
    <t>Colágeno optimum (ZafireLabs)</t>
  </si>
  <si>
    <t>Gel anti-imperfecciones tri-active (Biretix)</t>
  </si>
  <si>
    <t>Gel anti-imperfecciones duo (Biretix)</t>
  </si>
  <si>
    <t>Monica Maria Ruiz Lopez</t>
  </si>
  <si>
    <t>Kit daeses serum y crema lifting (sesderma)</t>
  </si>
  <si>
    <t>Frasco de capsulas heliocare ultra-D</t>
  </si>
  <si>
    <t>Valentina Escobar</t>
  </si>
  <si>
    <t>Depilación piernas completa</t>
  </si>
  <si>
    <t>Rene De Gumagalli</t>
  </si>
  <si>
    <t>Andrea Cristina Vivas Ortega</t>
  </si>
  <si>
    <t>Evangelina Solis Flores</t>
  </si>
  <si>
    <t>Amelia Pivaral</t>
  </si>
  <si>
    <t>Gilma Ixchel Valdez Valdez</t>
  </si>
  <si>
    <t>Exilis abdomen completo, cintura y espalda alta</t>
  </si>
  <si>
    <t>Virginia Fernandez Alvarado</t>
  </si>
  <si>
    <t>Diego Diaz</t>
  </si>
  <si>
    <t>Monica Lorena Martinez</t>
  </si>
  <si>
    <t>Susy Villas</t>
  </si>
  <si>
    <t>Cancelación facial purificante</t>
  </si>
  <si>
    <t>Gabriela Ruano</t>
  </si>
  <si>
    <t>Marcela Murga</t>
  </si>
  <si>
    <t>Vivi Prera</t>
  </si>
  <si>
    <t>Ruby Giron</t>
  </si>
  <si>
    <t>Mesoterapia reductora gorditos entre pierna, gorditos espalda media y gorditos abdomen superior</t>
  </si>
  <si>
    <t>Lidia Morena Orantes</t>
  </si>
  <si>
    <t>Morphues rostro y cuello</t>
  </si>
  <si>
    <t>Ingrid Margarita Samayoa</t>
  </si>
  <si>
    <t>Gladys De Marti</t>
  </si>
  <si>
    <t>Abono profhilo rostro</t>
  </si>
  <si>
    <t>Rita Stella Roesch Diaz</t>
  </si>
  <si>
    <t>Flor Padilla</t>
  </si>
  <si>
    <t>Andrea Corado De Melendez</t>
  </si>
  <si>
    <t>Diana De Ritz</t>
  </si>
  <si>
    <t xml:space="preserve">Silvana Giono de Suger </t>
  </si>
  <si>
    <t>Astrid Ramirez Pinto</t>
  </si>
  <si>
    <t>Andrea Insua</t>
  </si>
  <si>
    <t>Janneth Zablah</t>
  </si>
  <si>
    <t>Dermapen rostro y cuello ADN de salmon</t>
  </si>
  <si>
    <t>Alejandro Castellanos Castillo</t>
  </si>
  <si>
    <t>Oscar Catu</t>
  </si>
  <si>
    <t>Jose Gonalez Toj</t>
  </si>
  <si>
    <t>Sabrina Garcia Granados</t>
  </si>
  <si>
    <t>Carlos Arturo Batres Gil</t>
  </si>
  <si>
    <t>Jose Mario Castejon</t>
  </si>
  <si>
    <t>Mildred Noneth Santos Ramirez</t>
  </si>
  <si>
    <t xml:space="preserve">Luis Antonio Vasquez </t>
  </si>
  <si>
    <t>Suero comple B</t>
  </si>
  <si>
    <t xml:space="preserve">Gabriela Toledo </t>
  </si>
  <si>
    <t>Ems-eletroestimulación</t>
  </si>
  <si>
    <t xml:space="preserve">Claudia Maria De Leon </t>
  </si>
  <si>
    <t>Hifu ultraformer ovalo facial</t>
  </si>
  <si>
    <t>Hifu ultraformer cuello</t>
  </si>
  <si>
    <t>Hifu ultraformer ojos y frente</t>
  </si>
  <si>
    <t>Jackeline Rottman</t>
  </si>
  <si>
    <t>Laser CO2</t>
  </si>
  <si>
    <t>Serum liposomado RESVERADERM (Sesderma)</t>
  </si>
  <si>
    <t>Olga Garcia</t>
  </si>
  <si>
    <t>Frida Salazar</t>
  </si>
  <si>
    <t>BLOQUEADOR TIZO 2 primer sunscreen - NON TINTED</t>
  </si>
  <si>
    <t xml:space="preserve">Maria Mercedes Cifuentes </t>
  </si>
  <si>
    <t>Nancy Cifuentes Monroy</t>
  </si>
  <si>
    <t>Lydia Reyes</t>
  </si>
  <si>
    <t>Orquidia Giron</t>
  </si>
  <si>
    <t>Biotopix specific eyes</t>
  </si>
  <si>
    <t>Olga Garcia Pantaleón</t>
  </si>
  <si>
    <t>Serun liposomado RESVERADERM (Sesderma)</t>
  </si>
  <si>
    <t>Odilia Hernandez</t>
  </si>
  <si>
    <t>Beauty collagen (Protocol advanced)</t>
  </si>
  <si>
    <t>Maria Isabel Font</t>
  </si>
  <si>
    <t>protocol collagen skin plus (empaque rosado)</t>
  </si>
  <si>
    <t>complete collagen (protocol)</t>
  </si>
  <si>
    <t>Aplicación acido hialuronico pomulos</t>
  </si>
  <si>
    <t>Depilación línea de abdomen</t>
  </si>
  <si>
    <t>Depilación dedos de pies</t>
  </si>
  <si>
    <t>Paulina Gamez Arroyo</t>
  </si>
  <si>
    <t>Mariana Contreras</t>
  </si>
  <si>
    <t>Depilación espalda</t>
  </si>
  <si>
    <t>Alejandro Quinto</t>
  </si>
  <si>
    <t>Dora De La Cruz</t>
  </si>
  <si>
    <t>Abono a exilis corporal</t>
  </si>
  <si>
    <t>Andrea Dougherty</t>
  </si>
  <si>
    <t>Exilis parte frente de la pierna</t>
  </si>
  <si>
    <t>Monica Iveth Cruz</t>
  </si>
  <si>
    <t>Exilis abdomen, cintura y espalda Alta</t>
  </si>
  <si>
    <t>Betsy Garcia Rivas</t>
  </si>
  <si>
    <t xml:space="preserve">Exilis abdomen completo, cintura, espalda alta y cara interna de brazos </t>
  </si>
  <si>
    <t>Raul Cario</t>
  </si>
  <si>
    <t>Norma Jeaneth Meza</t>
  </si>
  <si>
    <t>Freddy Pernillo</t>
  </si>
  <si>
    <t>Luz Herrera</t>
  </si>
  <si>
    <t>Mesoterapia rejuvenecimiento manos</t>
  </si>
  <si>
    <t>mesoterapia rejuvenecimiento manos</t>
  </si>
  <si>
    <t>Mesoterapia abodmen y cintura</t>
  </si>
  <si>
    <t>Mesoterapia espalda y brazo</t>
  </si>
  <si>
    <t>Mesoterapia pantorrilla</t>
  </si>
  <si>
    <t>Elizabeth Paz</t>
  </si>
  <si>
    <t>Blanca Cuellar</t>
  </si>
  <si>
    <t>Dinora Esmeralda Cifuentes</t>
  </si>
  <si>
    <t>Marisol Padilla</t>
  </si>
  <si>
    <t>Norma De Rodriguez</t>
  </si>
  <si>
    <t>Maria Jose Solares</t>
  </si>
  <si>
    <t>Profhilo estructura rostro</t>
  </si>
  <si>
    <t>Erika Aguilar De Rangel</t>
  </si>
  <si>
    <t xml:space="preserve">PRP capilar </t>
  </si>
  <si>
    <t>Cristina Palacios</t>
  </si>
  <si>
    <t>Niama Werren</t>
  </si>
  <si>
    <t>Nicole Kristman</t>
  </si>
  <si>
    <t>Ultasonido post-operatorio</t>
  </si>
  <si>
    <t>Mia Kristman</t>
  </si>
  <si>
    <t>Janeth Zabalah</t>
  </si>
  <si>
    <t>Karin Obregon</t>
  </si>
  <si>
    <t>Jose De León</t>
  </si>
  <si>
    <t>Fernando Melville</t>
  </si>
  <si>
    <t>Vanessa Smtih De Vargas</t>
  </si>
  <si>
    <t>Dermapen rostro y cuello ADN de Salmon</t>
  </si>
  <si>
    <t>Gilma Valdez</t>
  </si>
  <si>
    <t>Norma De Melville</t>
  </si>
  <si>
    <t>Abono a tratamiento</t>
  </si>
  <si>
    <t>Evelyn Sofia Zelaya</t>
  </si>
  <si>
    <t>peeling manos</t>
  </si>
  <si>
    <t>Rene Pineda</t>
  </si>
  <si>
    <t xml:space="preserve">Berenice Urzua </t>
  </si>
  <si>
    <t>Olga Valentina Terre</t>
  </si>
  <si>
    <t>Luis Vasquez</t>
  </si>
  <si>
    <t>Luis Valladares</t>
  </si>
  <si>
    <t>Kattia Medrano Cajas</t>
  </si>
  <si>
    <t>Bernadette Laimer</t>
  </si>
  <si>
    <t>Carlos Arturo Batres</t>
  </si>
  <si>
    <t xml:space="preserve">Vivian Adriana Morales González de Cordon </t>
  </si>
  <si>
    <t>Suero complejo B</t>
  </si>
  <si>
    <t>Guillermo Salazar Murga</t>
  </si>
  <si>
    <t>Monica Begoña De Zimeri</t>
  </si>
  <si>
    <t>Aplicación de oligoelementos</t>
  </si>
  <si>
    <t>Dionara Esmeralda Cifuentes</t>
  </si>
  <si>
    <t>Marcela Salazar</t>
  </si>
  <si>
    <t>Gel anti-imperfecciones Tri-Active (BIRETIX)</t>
  </si>
  <si>
    <t>Colageno optimun (ZafireLabs)</t>
  </si>
  <si>
    <t>Mirna Iglesias</t>
  </si>
  <si>
    <t>Abono fillerona 12 HA- / Densifying dermo cosmetic KIT</t>
  </si>
  <si>
    <t>Cancelación fillerona 12 HA- / Densifying dermo cosmetic KIT</t>
  </si>
  <si>
    <t>Irit Azar</t>
  </si>
  <si>
    <t xml:space="preserve">Active whey &amp; collagen </t>
  </si>
  <si>
    <t>Rony Caballeros</t>
  </si>
  <si>
    <t>Protector solar FusionWater Magic (ISDIN)</t>
  </si>
  <si>
    <t>Mayra Menjivar</t>
  </si>
  <si>
    <t>Melissa Pineda</t>
  </si>
  <si>
    <t>Regenerative cream (Sesderma)</t>
  </si>
  <si>
    <t>Regina Bandow</t>
  </si>
  <si>
    <t>Caja de ampoBooster renovador intensivo (Germaine de Capuccini cod. 370012)llas (Germaine)</t>
  </si>
  <si>
    <t>Erika Mancilla De Ponciano</t>
  </si>
  <si>
    <t>Aplicación de acido hialuronico pomulos</t>
  </si>
  <si>
    <t>Aplicación de acido hialuronico area malar</t>
  </si>
  <si>
    <t>Aplicación de acido hialuronico labios</t>
  </si>
  <si>
    <t>Virginia Fernandez de Alvarado</t>
  </si>
  <si>
    <t>Gissell Sanzogni</t>
  </si>
  <si>
    <t>Maria Cristina Segovia Aguirre</t>
  </si>
  <si>
    <t>Dayrin Maria Jose Ramirez León</t>
  </si>
  <si>
    <t xml:space="preserve">Exilis abdomen, cintura, espalda alta y brazos  </t>
  </si>
  <si>
    <t>Aida Cecilia Gamboa Ordoñez</t>
  </si>
  <si>
    <t>Melanie Nigrin Haeusssler</t>
  </si>
  <si>
    <t>Boris Garza</t>
  </si>
  <si>
    <t>Agnes Castillo</t>
  </si>
  <si>
    <t>Mayra Vasquez Alvarado</t>
  </si>
  <si>
    <t>Laboratorios pre-celulas</t>
  </si>
  <si>
    <t>Silvia Johanna Gonzalez</t>
  </si>
  <si>
    <t>Abono morpheus rostro y cuello</t>
  </si>
  <si>
    <t>Cancelación morpheus rostro y cuello</t>
  </si>
  <si>
    <t>Evelyn Cordon Padilla De Urrutia</t>
  </si>
  <si>
    <t>Debie Maite Medrano</t>
  </si>
  <si>
    <t>Cynthia Mercedes Hernandez Sanchez</t>
  </si>
  <si>
    <t>Jose Batres</t>
  </si>
  <si>
    <t>Astrid Oliva Calderon</t>
  </si>
  <si>
    <t>Virignia Castillo Lascoutx</t>
  </si>
  <si>
    <t>Ana Maria Teran Valero</t>
  </si>
  <si>
    <t>Radiofrecuencia abdomen, cintura, espalda alta, brazos y piernas</t>
  </si>
  <si>
    <t>Nancy Luna</t>
  </si>
  <si>
    <t>Maria Mercedes Cifuentes</t>
  </si>
  <si>
    <t>Ana Luz Segura</t>
  </si>
  <si>
    <t>Monica Mijangos</t>
  </si>
  <si>
    <t>Cafeteria y limpieza</t>
  </si>
  <si>
    <t>Aplicación oligoelementos</t>
  </si>
  <si>
    <t>Procedimiento celulas madres</t>
  </si>
  <si>
    <t>Peeling despigmente glúteos</t>
  </si>
  <si>
    <t>Sandra De Lopez</t>
  </si>
  <si>
    <t xml:space="preserve">Efectivo </t>
  </si>
  <si>
    <t>Mirna Floridalma Arita</t>
  </si>
  <si>
    <t>Aura Azucena Giron Perez</t>
  </si>
  <si>
    <t xml:space="preserve">Maria Del Rosario Santa Cruz </t>
  </si>
  <si>
    <t>Por servicion de sedación</t>
  </si>
  <si>
    <t>Francisco Samayoa</t>
  </si>
  <si>
    <t>Cheque $</t>
  </si>
  <si>
    <t>Jose Estuardo Galvez Morales</t>
  </si>
  <si>
    <t>Mariana Obregon</t>
  </si>
  <si>
    <t>Ylla Palenque</t>
  </si>
  <si>
    <t>Proto-col radiance collagen</t>
  </si>
  <si>
    <t>Eyebrow and lash - suero cejas y pestañas</t>
  </si>
  <si>
    <t>Diana Velasquez</t>
  </si>
  <si>
    <t>BLOQUEADOR TIZO mineral stick - TINTED</t>
  </si>
  <si>
    <t>BLOQUEADOR TIZO PHOTOCEUTICAL AM REPLENISH NON-TINDED</t>
  </si>
  <si>
    <t>BLOQUEADOR TIZO PHOTOCEUTICAL AM REPLENISH TINDED</t>
  </si>
  <si>
    <t>Fillerina 12HA Densifying nigth cream grado 5</t>
  </si>
  <si>
    <t>Luisa De Asturias</t>
  </si>
  <si>
    <t>Dalia Diaz (mamá)</t>
  </si>
  <si>
    <t>BLOQUEADOR TIZO 3 primer sunscreen - TINTED</t>
  </si>
  <si>
    <t>Edna Suchite</t>
  </si>
  <si>
    <t>Fillerina cleansing facial cleansing mousse</t>
  </si>
  <si>
    <t>Fillerina cleansing purifying natural scrub</t>
  </si>
  <si>
    <t>Anneliese Von</t>
  </si>
  <si>
    <t>Fillerina 12HA Densifying eye contour cream grado 5</t>
  </si>
  <si>
    <t>Leydi Johana Tamayo</t>
  </si>
  <si>
    <t>Rosa Romero (Hija)</t>
  </si>
  <si>
    <t>Fillerina 12HA Densifying nigth cream grado 3</t>
  </si>
  <si>
    <t>Fillerina 12HA -/ Densifying eye contour cream 3</t>
  </si>
  <si>
    <t>BLOQUEADOR TIZO ultra zinc- TINTED</t>
  </si>
  <si>
    <t>Fillerina cleansing white clay clarifying mask</t>
  </si>
  <si>
    <t xml:space="preserve">Fillerina cleansing purifying natural scrub </t>
  </si>
  <si>
    <t>protector solar gel oil-free 360 (Heliocare)</t>
  </si>
  <si>
    <t>Ingrid Brolo</t>
  </si>
  <si>
    <t>Booster renovador intensivo (Germaine de capuccini cod 370012)</t>
  </si>
  <si>
    <t>Rossana Vesco</t>
  </si>
  <si>
    <t>Radiance C + pure concetrado 15ml (Germaine)</t>
  </si>
  <si>
    <t>Frasco de capsulas heliocare Ultra-D</t>
  </si>
  <si>
    <t>Fillerina 12HA Densifying cream grado 4</t>
  </si>
  <si>
    <t xml:space="preserve">Maria Elisa De León </t>
  </si>
  <si>
    <t>Karina Gaytan</t>
  </si>
  <si>
    <t>Depilación rostro completo</t>
  </si>
  <si>
    <t>Fernanda De León</t>
  </si>
  <si>
    <t xml:space="preserve">Depilación piernas </t>
  </si>
  <si>
    <t>Rocio Reyna Rodriguez</t>
  </si>
  <si>
    <t>Adriana Gonzalez</t>
  </si>
  <si>
    <t>Depilación interglútea</t>
  </si>
  <si>
    <t>Ana Paola Solares</t>
  </si>
  <si>
    <t>Karla Leonor Romero Alarcon</t>
  </si>
  <si>
    <t>Exilis abdomen, cintura, entrepierna, chaparrera y parte posterior de la pierna</t>
  </si>
  <si>
    <t>Ana Lucia Valencia Juarez</t>
  </si>
  <si>
    <t xml:space="preserve">Exilis abdomen, cintura y espalda baja </t>
  </si>
  <si>
    <t>Mildred Roxana Barrientos</t>
  </si>
  <si>
    <t>Cancelación exilis corporal</t>
  </si>
  <si>
    <t>Abono exilis rostro y cuello</t>
  </si>
  <si>
    <t>Yaravi Morales</t>
  </si>
  <si>
    <t>Katia Dougherty</t>
  </si>
  <si>
    <t>Gia Fiallos</t>
  </si>
  <si>
    <t xml:space="preserve">Claudia Soch </t>
  </si>
  <si>
    <t>Zarina Portillo</t>
  </si>
  <si>
    <t>Maria Jose Molina</t>
  </si>
  <si>
    <t>Carolina Castillo</t>
  </si>
  <si>
    <t>Kattia Medrano</t>
  </si>
  <si>
    <t>Olga Veronica Suarez</t>
  </si>
  <si>
    <t>Claudia Peredes</t>
  </si>
  <si>
    <t>Silvia Villatoro Calderon</t>
  </si>
  <si>
    <t>Aplicación de profhilo structura</t>
  </si>
  <si>
    <t>Regina Palma</t>
  </si>
  <si>
    <t>Monica Palomar</t>
  </si>
  <si>
    <t>PRP rostro y cuello con anestesia topica</t>
  </si>
  <si>
    <t>PRP rostro y cuello con sedación</t>
  </si>
  <si>
    <t xml:space="preserve">Claudia Castillo </t>
  </si>
  <si>
    <t>Mirna Garrido De Arroyave</t>
  </si>
  <si>
    <t xml:space="preserve">Claudia De Leon </t>
  </si>
  <si>
    <t xml:space="preserve">PRP cuello y escote </t>
  </si>
  <si>
    <t>Radiofrecuencia ovalo facial, cuello y escote</t>
  </si>
  <si>
    <t>Andrea Batres</t>
  </si>
  <si>
    <t>Apliación de vitamina C intravenosa</t>
  </si>
  <si>
    <t xml:space="preserve">Rita Roesch </t>
  </si>
  <si>
    <t>Brenda De Hurtado</t>
  </si>
  <si>
    <t xml:space="preserve">Adriana Picon </t>
  </si>
  <si>
    <t>Kristel Abigail Lopez Cappa</t>
  </si>
  <si>
    <t>Liz De Arana</t>
  </si>
  <si>
    <t>Isabel Medina</t>
  </si>
  <si>
    <t>Margarita Lucia Jerez Gonzalez</t>
  </si>
  <si>
    <t>Rocio Rebulli</t>
  </si>
  <si>
    <t xml:space="preserve">Cecilia Gil </t>
  </si>
  <si>
    <t>Johanna Rodriguez Aguilar</t>
  </si>
  <si>
    <t>Jeny Sanchez</t>
  </si>
  <si>
    <t>Juan Jose Rubio</t>
  </si>
  <si>
    <t>Carolina Flores</t>
  </si>
  <si>
    <t>Andrea Diaz</t>
  </si>
  <si>
    <t>Orquidea Giron Lopez</t>
  </si>
  <si>
    <t>Patricia Arzu</t>
  </si>
  <si>
    <t>Virginia De Gandara</t>
  </si>
  <si>
    <t>Daniela Gandara</t>
  </si>
  <si>
    <t>Paulina Gandara</t>
  </si>
  <si>
    <t xml:space="preserve">Stella Matheu </t>
  </si>
  <si>
    <t>Delma Vasquez</t>
  </si>
  <si>
    <t>Luis Arriola</t>
  </si>
  <si>
    <t>Silvia Crow</t>
  </si>
  <si>
    <t xml:space="preserve">Marina Morales </t>
  </si>
  <si>
    <t>Sergio Avila</t>
  </si>
  <si>
    <t>Karia Dougherty</t>
  </si>
  <si>
    <t>Nineth Arvizu</t>
  </si>
  <si>
    <t>Annie Estrada</t>
  </si>
  <si>
    <t>Veronica De Davila</t>
  </si>
  <si>
    <t>Ximena De BonattI</t>
  </si>
  <si>
    <t>Karla Bocaletti</t>
  </si>
  <si>
    <t>Fredy Muñoz</t>
  </si>
  <si>
    <t xml:space="preserve">Evelyn Orantes </t>
  </si>
  <si>
    <t>Emilio Enriquez</t>
  </si>
  <si>
    <t>Luis Leonel Morales</t>
  </si>
  <si>
    <t>Mayte De Solares</t>
  </si>
  <si>
    <t>Fernanda Chacon De Sandoval</t>
  </si>
  <si>
    <t xml:space="preserve">Angela Fueyo </t>
  </si>
  <si>
    <t>Michelle Melvielle</t>
  </si>
  <si>
    <t>Jackeline Villagran</t>
  </si>
  <si>
    <t>Claudia De Bregel</t>
  </si>
  <si>
    <t>Aime Jasmin Ovalle Vasquez</t>
  </si>
  <si>
    <t>Michelle Dehesa</t>
  </si>
  <si>
    <t>Silvia Castillo</t>
  </si>
  <si>
    <t>Ana Cecilia Asencio</t>
  </si>
  <si>
    <t>Martha Romelia Perez De Chen</t>
  </si>
  <si>
    <t>Estefania Cabrera</t>
  </si>
  <si>
    <t>Isabel Garzouzi</t>
  </si>
  <si>
    <t>Keyla Morales</t>
  </si>
  <si>
    <t>Carla Granados</t>
  </si>
  <si>
    <t>Maria Andrea Portillo</t>
  </si>
  <si>
    <t>Carlos Heussler</t>
  </si>
  <si>
    <t>Melina Muñoz</t>
  </si>
  <si>
    <t>Ingrid Berganza</t>
  </si>
  <si>
    <t>Paola Sanchez</t>
  </si>
  <si>
    <t>Brenda Morales</t>
  </si>
  <si>
    <t>Paullina Andrade</t>
  </si>
  <si>
    <t>Beatriz Asturias</t>
  </si>
  <si>
    <t>Silvia De Castellanos</t>
  </si>
  <si>
    <t>Astrid Alvarado</t>
  </si>
  <si>
    <t>Alejandra Gonzalez</t>
  </si>
  <si>
    <t>Brenda Castañeda</t>
  </si>
  <si>
    <t>Ana Belen Ramirez</t>
  </si>
  <si>
    <t>Marcela Alaya</t>
  </si>
  <si>
    <t>Maria Jose Ruano</t>
  </si>
  <si>
    <t>Giovanna Viñolo</t>
  </si>
  <si>
    <t>Mariana De La Cruz</t>
  </si>
  <si>
    <t>Maria Andree Gaitan</t>
  </si>
  <si>
    <t>Rosa Virginia Cappa</t>
  </si>
  <si>
    <t>Aura Giron</t>
  </si>
  <si>
    <t>Dharma Maldonado</t>
  </si>
  <si>
    <t>Maria Sucely Duarte</t>
  </si>
  <si>
    <t>Sandra Jimnez</t>
  </si>
  <si>
    <t xml:space="preserve">Lilian Elizabeth Cobox </t>
  </si>
  <si>
    <t>Cancelación emsculpt neo abdomen</t>
  </si>
  <si>
    <t>Lasér CO2</t>
  </si>
  <si>
    <t>Masacara by Dabalash</t>
  </si>
  <si>
    <t>Delish instant coffe and chicory blend</t>
  </si>
  <si>
    <t>Freda De León</t>
  </si>
  <si>
    <t>Dulce Luna Hernandez</t>
  </si>
  <si>
    <t>Atache serun 2 retinol</t>
  </si>
  <si>
    <t>Jimena Gonzalez Teja</t>
  </si>
  <si>
    <t>Glenda Iris Lopez</t>
  </si>
  <si>
    <t>Colageno optimum (ZafireLabs)</t>
  </si>
  <si>
    <t>Diego Brol</t>
  </si>
  <si>
    <t xml:space="preserve">Lissette Cifuentes </t>
  </si>
  <si>
    <t>Crema fluido luminoso azelac RU (sesderma)</t>
  </si>
  <si>
    <t>Rinna Maria Mejia Romero</t>
  </si>
  <si>
    <t>Massage gel paprika and chilli balsam</t>
  </si>
  <si>
    <t>Tea Tree serum</t>
  </si>
  <si>
    <t>Diana Archila Bonilla</t>
  </si>
  <si>
    <t>Depilacion bikini</t>
  </si>
  <si>
    <t>Sofia Valencia</t>
  </si>
  <si>
    <t>Astrid Daniela Fischer Zablah</t>
  </si>
  <si>
    <t>Rebeca Juarez</t>
  </si>
  <si>
    <t>Maria Andrea Penados</t>
  </si>
  <si>
    <t>Gabriela Ambrocio</t>
  </si>
  <si>
    <t>Jhoana De León</t>
  </si>
  <si>
    <t xml:space="preserve">Marisa Celasco </t>
  </si>
  <si>
    <t>Abono exilis corporal</t>
  </si>
  <si>
    <t xml:space="preserve">Paola Gudiel </t>
  </si>
  <si>
    <t>Claudia Chang Figueroa</t>
  </si>
  <si>
    <t>Karla Romero Alrcon</t>
  </si>
  <si>
    <t>Blanca Lucrecia Paiz</t>
  </si>
  <si>
    <t>Carina Pivaral</t>
  </si>
  <si>
    <t>Abono aplicación de profhilo rostro</t>
  </si>
  <si>
    <t>Cancelación aplicación de profhilo rostro</t>
  </si>
  <si>
    <t>Emilsa Valdez Albizurez</t>
  </si>
  <si>
    <t>Ana Lucia Valencia</t>
  </si>
  <si>
    <t xml:space="preserve">Miriam Del Rosario Bolaños </t>
  </si>
  <si>
    <t xml:space="preserve">Julieta Mendez </t>
  </si>
  <si>
    <t>Lidia Orantes Rivas</t>
  </si>
  <si>
    <t>Astrid Oliva</t>
  </si>
  <si>
    <t>Regina Molina</t>
  </si>
  <si>
    <t>Línea telefónica</t>
  </si>
  <si>
    <t>Berly Paola Gomez Masin De Arce</t>
  </si>
  <si>
    <t>Mariandre Gaitan</t>
  </si>
  <si>
    <t xml:space="preserve">Vilma Yolanda del Cid </t>
  </si>
  <si>
    <t>Yuri Martinez</t>
  </si>
  <si>
    <t>Reyna Yessenia Garcia</t>
  </si>
  <si>
    <t>Abono hifu ultraformer papada</t>
  </si>
  <si>
    <t>Cancelación hifu ultraformer papada</t>
  </si>
  <si>
    <t>Julieta Mendez De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</si>
</sst>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dd\-mm\-yy;@"/>
    <numFmt numFmtId="165" formatCode="[$Q-100A]#,##0.0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3" fillId="0" borderId="1" xfId="0" applyFont="1" applyBorder="1" applyAlignment="1" applyProtection="1">
      <alignment horizontal="center" wrapText="1"/>
      <protection locked="0"/>
    </xf>
    <xf numFmtId="165" fontId="3" fillId="0" borderId="1" xfId="0" applyNumberFormat="1" applyFont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165" fontId="2" fillId="3" borderId="7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0" fillId="2" borderId="0" xfId="0" applyFill="1"/>
    <xf numFmtId="165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/>
    <xf numFmtId="0" fontId="6" fillId="2" borderId="0" xfId="0" applyFont="1" applyFill="1"/>
    <xf numFmtId="0" fontId="1" fillId="4" borderId="0" xfId="0" applyFont="1" applyFill="1" applyAlignment="1">
      <alignment horizontal="center" vertical="center"/>
    </xf>
    <xf numFmtId="44" fontId="5" fillId="0" borderId="0" xfId="1" applyFont="1" applyBorder="1" applyAlignment="1"/>
    <xf numFmtId="165" fontId="2" fillId="3" borderId="7" xfId="0" applyNumberFormat="1" applyFont="1" applyFill="1" applyBorder="1" applyAlignment="1">
      <alignment horizontal="right"/>
    </xf>
    <xf numFmtId="44" fontId="3" fillId="0" borderId="1" xfId="1" applyFont="1" applyBorder="1" applyAlignment="1">
      <alignment vertical="center"/>
    </xf>
    <xf numFmtId="44" fontId="5" fillId="0" borderId="1" xfId="1" applyFont="1" applyBorder="1" applyAlignment="1">
      <alignment vertical="center"/>
    </xf>
    <xf numFmtId="44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44" fontId="3" fillId="0" borderId="1" xfId="1" applyFont="1" applyFill="1" applyBorder="1" applyAlignment="1">
      <alignment vertical="center"/>
    </xf>
    <xf numFmtId="14" fontId="3" fillId="0" borderId="1" xfId="0" quotePrefix="1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quotePrefix="1" applyFont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/>
    </xf>
    <xf numFmtId="164" fontId="2" fillId="3" borderId="9" xfId="0" applyNumberFormat="1" applyFont="1" applyFill="1" applyBorder="1" applyAlignment="1">
      <alignment vertical="center" wrapText="1"/>
    </xf>
    <xf numFmtId="164" fontId="2" fillId="3" borderId="8" xfId="0" applyNumberFormat="1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/>
    </xf>
    <xf numFmtId="44" fontId="8" fillId="2" borderId="1" xfId="0" applyNumberFormat="1" applyFont="1" applyFill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  <xf numFmtId="44" fontId="7" fillId="2" borderId="1" xfId="0" applyNumberFormat="1" applyFont="1" applyFill="1" applyBorder="1" applyAlignment="1">
      <alignment vertical="center"/>
    </xf>
    <xf numFmtId="44" fontId="9" fillId="0" borderId="0" xfId="1" applyFont="1" applyBorder="1" applyAlignment="1"/>
    <xf numFmtId="0" fontId="10" fillId="0" borderId="0" xfId="0" applyFont="1"/>
    <xf numFmtId="44" fontId="11" fillId="2" borderId="0" xfId="0" applyNumberFormat="1" applyFont="1" applyFill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44" fontId="11" fillId="2" borderId="0" xfId="0" applyNumberFormat="1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CC66"/>
      <color rgb="FF33CCFF"/>
      <color rgb="FFFF9933"/>
      <color rgb="FF9999FF"/>
      <color rgb="FF0099CC"/>
      <color rgb="FFFF5050"/>
      <color rgb="FFFF66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2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Resultado de ventas</a:t>
            </a:r>
            <a:r>
              <a:rPr lang="es-GT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GT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6.9027537520521612E-2"/>
          <c:y val="9.7151074057419545E-2"/>
          <c:w val="0.92906881774105909"/>
          <c:h val="0.71969087180978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'PRESENTACIÓN DE RESULTADOS'!$N$1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Lbl>
              <c:idx val="3"/>
              <c:layout>
                <c:manualLayout>
                  <c:x val="-2.8293545534924846E-3"/>
                  <c:y val="-6.054282019182361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EC-4FF4-8DD0-192EA494DB0F}"/>
                </c:ext>
              </c:extLst>
            </c:dLbl>
            <c:dLbl>
              <c:idx val="4"/>
              <c:layout>
                <c:manualLayout>
                  <c:x val="0"/>
                  <c:y val="-6.60474759137980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EC-4FF4-8DD0-192EA494DB0F}"/>
                </c:ext>
              </c:extLst>
            </c:dLbl>
            <c:dLbl>
              <c:idx val="9"/>
              <c:layout>
                <c:manualLayout>
                  <c:x val="-2.579605063480421E-3"/>
                  <c:y val="-1.47942659289114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21-461A-AB94-002B85E3F185}"/>
                </c:ext>
              </c:extLst>
            </c:dLbl>
            <c:dLbl>
              <c:idx val="17"/>
              <c:layout>
                <c:manualLayout>
                  <c:x val="-4.951370468611951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58-4F75-A38A-1DB20A182652}"/>
                </c:ext>
              </c:extLst>
            </c:dLbl>
            <c:dLbl>
              <c:idx val="18"/>
              <c:layout>
                <c:manualLayout>
                  <c:x val="7.0733863837312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EC-4FF4-8DD0-192EA494DB0F}"/>
                </c:ext>
              </c:extLst>
            </c:dLbl>
            <c:dLbl>
              <c:idx val="19"/>
              <c:layout>
                <c:manualLayout>
                  <c:x val="-3.8694075952205604E-3"/>
                  <c:y val="-1.084900301925897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EC-4FF4-8DD0-192EA494DB0F}"/>
                </c:ext>
              </c:extLst>
            </c:dLbl>
            <c:dLbl>
              <c:idx val="20"/>
              <c:layout>
                <c:manualLayout>
                  <c:x val="3.2245063293504673E-3"/>
                  <c:y val="-2.95885318578208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21-461A-AB94-002B85E3F185}"/>
                </c:ext>
              </c:extLst>
            </c:dLbl>
            <c:dLbl>
              <c:idx val="21"/>
              <c:layout>
                <c:manualLayout>
                  <c:x val="-6.4490126587009344E-4"/>
                  <c:y val="-7.39713296445531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21-461A-AB94-002B85E3F185}"/>
                </c:ext>
              </c:extLst>
            </c:dLbl>
            <c:dLbl>
              <c:idx val="22"/>
              <c:layout>
                <c:manualLayout>
                  <c:x val="-6.4490126587009344E-4"/>
                  <c:y val="-2.95885318578208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58-4F75-A38A-1DB20A182652}"/>
                </c:ext>
              </c:extLst>
            </c:dLbl>
            <c:dLbl>
              <c:idx val="23"/>
              <c:layout>
                <c:manualLayout>
                  <c:x val="-5.1592101269607475E-3"/>
                  <c:y val="-7.39713296445520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21-461A-AB94-002B85E3F185}"/>
                </c:ext>
              </c:extLst>
            </c:dLbl>
            <c:dLbl>
              <c:idx val="24"/>
              <c:layout>
                <c:manualLayout>
                  <c:x val="0"/>
                  <c:y val="-4.95356069353490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21-461A-AB94-002B85E3F185}"/>
                </c:ext>
              </c:extLst>
            </c:dLbl>
            <c:dLbl>
              <c:idx val="26"/>
              <c:layout>
                <c:manualLayout>
                  <c:x val="3.224506329350372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21-461A-AB94-002B85E3F1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'PRESENTACIÓN DE RESULTADOS'!$A$2:$A$52</c:f>
              <c:strCache>
                <c:ptCount val="50"/>
                <c:pt idx="0">
                  <c:v>Producto</c:v>
                </c:pt>
                <c:pt idx="1">
                  <c:v>Acido hialuronico</c:v>
                </c:pt>
                <c:pt idx="2">
                  <c:v>Depilación</c:v>
                </c:pt>
                <c:pt idx="3">
                  <c:v>Emsculpt</c:v>
                </c:pt>
                <c:pt idx="4">
                  <c:v>Emtone</c:v>
                </c:pt>
                <c:pt idx="5">
                  <c:v>Exilis </c:v>
                </c:pt>
                <c:pt idx="6">
                  <c:v>Exfoliación </c:v>
                </c:pt>
                <c:pt idx="7">
                  <c:v>Facial purificante</c:v>
                </c:pt>
                <c:pt idx="8">
                  <c:v>Hifu microson</c:v>
                </c:pt>
                <c:pt idx="9">
                  <c:v>Hydrafacial</c:v>
                </c:pt>
                <c:pt idx="10">
                  <c:v>Laboratorios</c:v>
                </c:pt>
                <c:pt idx="11">
                  <c:v>Masaje linfatico</c:v>
                </c:pt>
                <c:pt idx="12">
                  <c:v>Mesoterapia</c:v>
                </c:pt>
                <c:pt idx="13">
                  <c:v>Morpheus</c:v>
                </c:pt>
                <c:pt idx="14">
                  <c:v>Pico-láser</c:v>
                </c:pt>
                <c:pt idx="15">
                  <c:v>Profhilo</c:v>
                </c:pt>
                <c:pt idx="16">
                  <c:v>PRP</c:v>
                </c:pt>
                <c:pt idx="17">
                  <c:v>Radiofrecuencia</c:v>
                </c:pt>
                <c:pt idx="18">
                  <c:v>Ultrasonido</c:v>
                </c:pt>
                <c:pt idx="19">
                  <c:v>Velo de acido hialuronico</c:v>
                </c:pt>
                <c:pt idx="20">
                  <c:v>Velox</c:v>
                </c:pt>
                <c:pt idx="21">
                  <c:v>Vitamina C intravenosa</c:v>
                </c:pt>
                <c:pt idx="22">
                  <c:v>Ciclo coolsculpting</c:v>
                </c:pt>
                <c:pt idx="23">
                  <c:v>Dermapen </c:v>
                </c:pt>
                <c:pt idx="24">
                  <c:v>Láser CO2</c:v>
                </c:pt>
                <c:pt idx="25">
                  <c:v>Masaje relajante </c:v>
                </c:pt>
                <c:pt idx="26">
                  <c:v>Oligoelementos</c:v>
                </c:pt>
                <c:pt idx="27">
                  <c:v>Grow</c:v>
                </c:pt>
                <c:pt idx="28">
                  <c:v>Abonos</c:v>
                </c:pt>
                <c:pt idx="29">
                  <c:v>Celulas madre</c:v>
                </c:pt>
                <c:pt idx="30">
                  <c:v>Peeling</c:v>
                </c:pt>
                <c:pt idx="31">
                  <c:v>Spectra ginecologico</c:v>
                </c:pt>
                <c:pt idx="32">
                  <c:v>Elimación de lunares</c:v>
                </c:pt>
                <c:pt idx="33">
                  <c:v>Botox</c:v>
                </c:pt>
                <c:pt idx="34">
                  <c:v>Encimas</c:v>
                </c:pt>
                <c:pt idx="35">
                  <c:v>Cambio de tratamiento</c:v>
                </c:pt>
                <c:pt idx="36">
                  <c:v>Microdermoabrasión</c:v>
                </c:pt>
                <c:pt idx="37">
                  <c:v>Terapia Luminica</c:v>
                </c:pt>
                <c:pt idx="38">
                  <c:v>Oscilacion</c:v>
                </c:pt>
                <c:pt idx="39">
                  <c:v>Sueros</c:v>
                </c:pt>
                <c:pt idx="40">
                  <c:v>Presoterapia</c:v>
                </c:pt>
                <c:pt idx="41">
                  <c:v>Nioo</c:v>
                </c:pt>
                <c:pt idx="42">
                  <c:v>Sedación</c:v>
                </c:pt>
                <c:pt idx="43">
                  <c:v>Masaje reflexologia</c:v>
                </c:pt>
                <c:pt idx="44">
                  <c:v>Intrasure post-operatorio</c:v>
                </c:pt>
                <c:pt idx="45">
                  <c:v>Mascarilla </c:v>
                </c:pt>
                <c:pt idx="46">
                  <c:v>Hifu Ultra-forme</c:v>
                </c:pt>
                <c:pt idx="47">
                  <c:v>Powershape</c:v>
                </c:pt>
                <c:pt idx="48">
                  <c:v>Emsculpt NEO</c:v>
                </c:pt>
                <c:pt idx="49">
                  <c:v>Exion</c:v>
                </c:pt>
              </c:strCache>
            </c:strRef>
          </c:cat>
          <c:val>
            <c:numRef>
              <c:f>'PRESENTACIÓN DE RESULTADOS'!$N$2:$N$52</c:f>
              <c:numCache>
                <c:formatCode>_("Q"* #,##0.00_);_("Q"* \(#,##0.00\);_("Q"* "-"??_);_(@_)</c:formatCode>
                <c:ptCount val="51"/>
                <c:pt idx="0">
                  <c:v>213205.22000000003</c:v>
                </c:pt>
                <c:pt idx="1">
                  <c:v>99404</c:v>
                </c:pt>
                <c:pt idx="2">
                  <c:v>74362.5</c:v>
                </c:pt>
                <c:pt idx="3">
                  <c:v>15000</c:v>
                </c:pt>
                <c:pt idx="4">
                  <c:v>115000</c:v>
                </c:pt>
                <c:pt idx="5">
                  <c:v>352825.01</c:v>
                </c:pt>
                <c:pt idx="6">
                  <c:v>1250</c:v>
                </c:pt>
                <c:pt idx="7">
                  <c:v>38735.5</c:v>
                </c:pt>
                <c:pt idx="8">
                  <c:v>0</c:v>
                </c:pt>
                <c:pt idx="9">
                  <c:v>56749.379000000001</c:v>
                </c:pt>
                <c:pt idx="10">
                  <c:v>1900</c:v>
                </c:pt>
                <c:pt idx="11">
                  <c:v>31550</c:v>
                </c:pt>
                <c:pt idx="12">
                  <c:v>111626.9999</c:v>
                </c:pt>
                <c:pt idx="13">
                  <c:v>1268200</c:v>
                </c:pt>
                <c:pt idx="14">
                  <c:v>0</c:v>
                </c:pt>
                <c:pt idx="15">
                  <c:v>331150</c:v>
                </c:pt>
                <c:pt idx="16">
                  <c:v>289752.99300000002</c:v>
                </c:pt>
                <c:pt idx="17">
                  <c:v>126037.996</c:v>
                </c:pt>
                <c:pt idx="18">
                  <c:v>19800</c:v>
                </c:pt>
                <c:pt idx="19">
                  <c:v>0</c:v>
                </c:pt>
                <c:pt idx="20">
                  <c:v>0</c:v>
                </c:pt>
                <c:pt idx="21">
                  <c:v>144479.4798</c:v>
                </c:pt>
                <c:pt idx="22">
                  <c:v>18000</c:v>
                </c:pt>
                <c:pt idx="23">
                  <c:v>46000</c:v>
                </c:pt>
                <c:pt idx="24">
                  <c:v>22600</c:v>
                </c:pt>
                <c:pt idx="25">
                  <c:v>23400</c:v>
                </c:pt>
                <c:pt idx="26">
                  <c:v>4090</c:v>
                </c:pt>
                <c:pt idx="27">
                  <c:v>99645.079999999987</c:v>
                </c:pt>
                <c:pt idx="28">
                  <c:v>120</c:v>
                </c:pt>
                <c:pt idx="29">
                  <c:v>38100</c:v>
                </c:pt>
                <c:pt idx="30">
                  <c:v>13489.999</c:v>
                </c:pt>
                <c:pt idx="31">
                  <c:v>25500</c:v>
                </c:pt>
                <c:pt idx="32">
                  <c:v>0</c:v>
                </c:pt>
                <c:pt idx="33">
                  <c:v>843486.98405999993</c:v>
                </c:pt>
                <c:pt idx="34">
                  <c:v>0</c:v>
                </c:pt>
                <c:pt idx="35">
                  <c:v>2279</c:v>
                </c:pt>
                <c:pt idx="36">
                  <c:v>700</c:v>
                </c:pt>
                <c:pt idx="37">
                  <c:v>300</c:v>
                </c:pt>
                <c:pt idx="38">
                  <c:v>125750</c:v>
                </c:pt>
                <c:pt idx="39">
                  <c:v>69710</c:v>
                </c:pt>
                <c:pt idx="40">
                  <c:v>0</c:v>
                </c:pt>
                <c:pt idx="41">
                  <c:v>4900</c:v>
                </c:pt>
                <c:pt idx="42">
                  <c:v>4000</c:v>
                </c:pt>
                <c:pt idx="43">
                  <c:v>0</c:v>
                </c:pt>
                <c:pt idx="44">
                  <c:v>182750</c:v>
                </c:pt>
                <c:pt idx="45">
                  <c:v>10400</c:v>
                </c:pt>
                <c:pt idx="46">
                  <c:v>52200</c:v>
                </c:pt>
                <c:pt idx="47">
                  <c:v>64892</c:v>
                </c:pt>
                <c:pt idx="48">
                  <c:v>306666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6D-470B-9323-B9EA74FFF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959599360"/>
        <c:axId val="959591456"/>
      </c:barChart>
      <c:catAx>
        <c:axId val="95959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59591456"/>
        <c:crosses val="autoZero"/>
        <c:auto val="0"/>
        <c:lblAlgn val="ctr"/>
        <c:lblOffset val="100"/>
        <c:noMultiLvlLbl val="0"/>
      </c:catAx>
      <c:valAx>
        <c:axId val="959591456"/>
        <c:scaling>
          <c:orientation val="minMax"/>
        </c:scaling>
        <c:delete val="0"/>
        <c:axPos val="l"/>
        <c:numFmt formatCode="_(&quot;Q&quot;* #,##0.00_);_(&quot;Q&quot;* \(#,##0.00\);_(&quot;Q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59599360"/>
        <c:crossesAt val="1"/>
        <c:crossBetween val="between"/>
      </c:valAx>
      <c:spPr>
        <a:noFill/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523873</xdr:colOff>
      <xdr:row>0</xdr:row>
      <xdr:rowOff>13607</xdr:rowOff>
    </xdr:from>
    <xdr:to>
      <xdr:col>55</xdr:col>
      <xdr:colOff>272143</xdr:colOff>
      <xdr:row>26</xdr:row>
      <xdr:rowOff>122464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-altramedic\Contabilidad\FERNANDA%20LOPEZ\INVERSIONES%202025\Acumulado%20INVERSIONES%202025.xlsx" TargetMode="External"/><Relationship Id="rId1" Type="http://schemas.openxmlformats.org/officeDocument/2006/relationships/externalLinkPath" Target="/FERNANDA%20LOPEZ/INVERSIONES%202025/Acumulado%20INVERSIONE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-altramedic\Contabilidad\FERNANDA%20LOPEZ\INVERSIONES%202025\LIQUIDACIONES%202025\06%20JUNIO%202025\Control%20mes%20junio%202025.xlsx" TargetMode="External"/><Relationship Id="rId1" Type="http://schemas.openxmlformats.org/officeDocument/2006/relationships/externalLinkPath" Target="/FERNANDA%20LOPEZ/INVERSIONES%202025/LIQUIDACIONES%202025/06%20JUNIO%202025/Control%20mes%20juni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-altramedic\Contabilidad\FERNANDA%20LOPEZ\INVERSIONES%202025\LIQUIDACIONES%202025\07%20JULIO%202025\Control%20mes%20julio%202025.xlsx" TargetMode="External"/><Relationship Id="rId1" Type="http://schemas.openxmlformats.org/officeDocument/2006/relationships/externalLinkPath" Target="/FERNANDA%20LOPEZ/INVERSIONES%202025/LIQUIDACIONES%202025/07%20JULIO%202025/Control%20mes%20julio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-altramedic\Contabilidad\FERNANDA%20LOPEZ\2.%20INVERSIONES\INVERSIONES%202025\Acumulado%20INVERSIONES%202025.xlsx" TargetMode="External"/><Relationship Id="rId1" Type="http://schemas.openxmlformats.org/officeDocument/2006/relationships/externalLinkPath" Target="/FERNANDA%20LOPEZ/2.%20INVERSIONES/INVERSIONES%202025/Acumulado%20INVERSIONE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 25"/>
      <sheetName val="Febrero 25"/>
      <sheetName val="Marzo 25"/>
      <sheetName val="Abril 25"/>
      <sheetName val="Mayo 25"/>
      <sheetName val="Junio 25"/>
      <sheetName val="Julio 25"/>
      <sheetName val="Agosto 25"/>
    </sheetNames>
    <sheetDataSet>
      <sheetData sheetId="0">
        <row r="128">
          <cell r="B128">
            <v>396477.59</v>
          </cell>
        </row>
      </sheetData>
      <sheetData sheetId="1">
        <row r="155">
          <cell r="B155">
            <v>429184.08999999997</v>
          </cell>
        </row>
      </sheetData>
      <sheetData sheetId="2">
        <row r="259">
          <cell r="B259">
            <v>593687.34</v>
          </cell>
        </row>
      </sheetData>
      <sheetData sheetId="3">
        <row r="124">
          <cell r="B124">
            <v>365521.09</v>
          </cell>
        </row>
      </sheetData>
      <sheetData sheetId="4">
        <row r="156">
          <cell r="B156">
            <v>439831.97000000003</v>
          </cell>
        </row>
      </sheetData>
      <sheetData sheetId="5"/>
      <sheetData sheetId="6">
        <row r="140">
          <cell r="B140">
            <v>2915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ARIO DEL MES"/>
      <sheetName val="COMISIONES"/>
    </sheetNames>
    <sheetDataSet>
      <sheetData sheetId="0">
        <row r="141">
          <cell r="K141">
            <v>342523.28000000009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ARIO DEL MES"/>
      <sheetName val="COMISIONES"/>
    </sheetNames>
    <sheetDataSet>
      <sheetData sheetId="0">
        <row r="270">
          <cell r="K270">
            <v>663922.0882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 25"/>
      <sheetName val="Febrero 25"/>
      <sheetName val="Marzo 25"/>
      <sheetName val="Abril 25"/>
      <sheetName val="Mayo 25"/>
      <sheetName val="Junio 25"/>
      <sheetName val="Julio 25"/>
      <sheetName val="Agosto 25"/>
      <sheetName val="Septiembre 25"/>
      <sheetName val="Octubre 25"/>
      <sheetName val="Noviembre 25"/>
      <sheetName val="Diciembre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5">
          <cell r="B135">
            <v>342438.09</v>
          </cell>
        </row>
      </sheetData>
      <sheetData sheetId="8">
        <row r="144">
          <cell r="B144">
            <v>387428.08999999997</v>
          </cell>
        </row>
      </sheetData>
      <sheetData sheetId="9">
        <row r="145">
          <cell r="B145">
            <v>349607.59</v>
          </cell>
        </row>
      </sheetData>
      <sheetData sheetId="10">
        <row r="274">
          <cell r="B274">
            <v>667613.77</v>
          </cell>
        </row>
      </sheetData>
      <sheetData sheetId="11">
        <row r="120">
          <cell r="D120">
            <v>271773.18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6">
    <tabColor rgb="FF33CCFF"/>
  </sheetPr>
  <dimension ref="A1:BD55"/>
  <sheetViews>
    <sheetView tabSelected="1" zoomScale="90" zoomScaleNormal="90" zoomScaleSheetLayoutView="50" workbookViewId="0">
      <pane ySplit="1" topLeftCell="A38" activePane="bottomLeft" state="frozen"/>
      <selection activeCell="D32" sqref="D32"/>
      <selection pane="bottomLeft" activeCell="E64" sqref="E64"/>
    </sheetView>
  </sheetViews>
  <sheetFormatPr baseColWidth="10" defaultRowHeight="15" x14ac:dyDescent="0.25"/>
  <cols>
    <col min="1" max="1" width="26.85546875" customWidth="1"/>
    <col min="2" max="3" width="19.28515625" style="44" hidden="1" customWidth="1"/>
    <col min="4" max="7" width="19.28515625" style="44" bestFit="1" customWidth="1"/>
    <col min="8" max="8" width="19.7109375" style="44" customWidth="1"/>
    <col min="9" max="13" width="19.28515625" style="44" bestFit="1" customWidth="1"/>
    <col min="14" max="14" width="21.7109375" style="43" bestFit="1" customWidth="1"/>
    <col min="15" max="16" width="23.85546875" customWidth="1"/>
  </cols>
  <sheetData>
    <row r="1" spans="1:56" ht="15.75" x14ac:dyDescent="0.25">
      <c r="A1" s="30" t="s">
        <v>42</v>
      </c>
      <c r="B1" s="33" t="s">
        <v>54</v>
      </c>
      <c r="C1" s="33" t="s">
        <v>72</v>
      </c>
      <c r="D1" s="33" t="s">
        <v>77</v>
      </c>
      <c r="E1" s="30" t="s">
        <v>80</v>
      </c>
      <c r="F1" s="30" t="s">
        <v>586</v>
      </c>
      <c r="G1" s="33" t="s">
        <v>85</v>
      </c>
      <c r="H1" s="33" t="s">
        <v>86</v>
      </c>
      <c r="I1" s="33" t="s">
        <v>90</v>
      </c>
      <c r="J1" s="33" t="s">
        <v>91</v>
      </c>
      <c r="K1" s="33" t="s">
        <v>92</v>
      </c>
      <c r="L1" s="33" t="s">
        <v>93</v>
      </c>
      <c r="M1" s="33" t="s">
        <v>94</v>
      </c>
      <c r="N1" s="30" t="s">
        <v>5</v>
      </c>
      <c r="O1" s="37"/>
      <c r="P1" s="37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BD1" s="31"/>
    </row>
    <row r="2" spans="1:56" ht="31.5" customHeight="1" x14ac:dyDescent="0.25">
      <c r="A2" s="29" t="s">
        <v>36</v>
      </c>
      <c r="B2" s="40">
        <f>SUM(Producto!H3:H9)</f>
        <v>4962</v>
      </c>
      <c r="C2" s="40">
        <f>SUM(Producto!H10:H36)</f>
        <v>21362</v>
      </c>
      <c r="D2" s="40">
        <f>SUM(Producto!H37:H71)</f>
        <v>26779.25</v>
      </c>
      <c r="E2" s="45">
        <f>SUM(Producto!H72:H85)</f>
        <v>11890</v>
      </c>
      <c r="F2" s="45">
        <f>SUM(Producto!H86:H112)</f>
        <v>19710</v>
      </c>
      <c r="G2" s="45">
        <f>SUM(Producto!H113:H142)</f>
        <v>18333.199999999997</v>
      </c>
      <c r="H2" s="45">
        <f>SUM(Producto!H143:H184)</f>
        <v>28450</v>
      </c>
      <c r="I2" s="45">
        <f>SUM(Producto!H185:H211)</f>
        <v>17615</v>
      </c>
      <c r="J2" s="45">
        <f>SUM(Producto!H212:H223)</f>
        <v>8075</v>
      </c>
      <c r="K2" s="45">
        <f>SUM(Producto!H224:H241)</f>
        <v>12795</v>
      </c>
      <c r="L2" s="45">
        <f>SUM(Producto!H242:H285)</f>
        <v>34653.770000000004</v>
      </c>
      <c r="M2" s="45">
        <f>SUM(Producto!H286:H299)</f>
        <v>8580</v>
      </c>
      <c r="N2" s="41">
        <f t="shared" ref="N2:N33" si="0">SUM(B2:M2)</f>
        <v>213205.22000000003</v>
      </c>
      <c r="O2" s="38">
        <f>+Producto!H300</f>
        <v>213205.22</v>
      </c>
      <c r="P2" s="38">
        <f>+O2-N2</f>
        <v>0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BD2" s="31"/>
    </row>
    <row r="3" spans="1:56" ht="24.95" customHeight="1" x14ac:dyDescent="0.25">
      <c r="A3" s="29" t="s">
        <v>9</v>
      </c>
      <c r="B3" s="40">
        <f>SUM('Acido hialuronico'!H3)</f>
        <v>2800</v>
      </c>
      <c r="C3" s="40">
        <f>SUM('Acido hialuronico'!H4:H6)</f>
        <v>13900</v>
      </c>
      <c r="D3" s="40">
        <f>SUM('Acido hialuronico'!H7:H9)</f>
        <v>8100</v>
      </c>
      <c r="E3" s="45">
        <v>0</v>
      </c>
      <c r="F3" s="45">
        <f>SUM('Acido hialuronico'!H10:H11)</f>
        <v>10600</v>
      </c>
      <c r="G3" s="45">
        <f>SUM('Acido hialuronico'!H12:H15)</f>
        <v>14000</v>
      </c>
      <c r="H3" s="45">
        <f>SUM('Acido hialuronico'!H16)</f>
        <v>2800</v>
      </c>
      <c r="I3" s="45">
        <v>0</v>
      </c>
      <c r="J3" s="45">
        <f>SUM('Acido hialuronico'!H17:H20)</f>
        <v>15600</v>
      </c>
      <c r="K3" s="45">
        <f>SUM('Acido hialuronico'!H21:H25)</f>
        <v>19004</v>
      </c>
      <c r="L3" s="45">
        <f>SUM('Acido hialuronico'!H26)</f>
        <v>9450</v>
      </c>
      <c r="M3" s="45">
        <f>SUM('Acido hialuronico'!H27)</f>
        <v>3150</v>
      </c>
      <c r="N3" s="41">
        <f t="shared" si="0"/>
        <v>99404</v>
      </c>
      <c r="O3" s="38">
        <f>+'Acido hialuronico'!H28</f>
        <v>99404</v>
      </c>
      <c r="P3" s="38">
        <f t="shared" ref="P3:P53" si="1">+O3-N3</f>
        <v>0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BD3" s="31"/>
    </row>
    <row r="4" spans="1:56" s="34" customFormat="1" ht="24.95" customHeight="1" x14ac:dyDescent="0.25">
      <c r="A4" s="35" t="s">
        <v>12</v>
      </c>
      <c r="B4" s="40">
        <f>SUM(Depilación!H3:H10)</f>
        <v>7425</v>
      </c>
      <c r="C4" s="40">
        <f>SUM(Depilación!H11)</f>
        <v>266</v>
      </c>
      <c r="D4" s="40">
        <f>SUM(Depilación!H12:H17)</f>
        <v>4580</v>
      </c>
      <c r="E4" s="45">
        <f>SUM(Depilación!H18:H30)</f>
        <v>9267</v>
      </c>
      <c r="F4" s="45">
        <f>SUM(Depilación!H31)</f>
        <v>925</v>
      </c>
      <c r="G4" s="45">
        <f>SUM(Depilación!H32:H39)</f>
        <v>4379</v>
      </c>
      <c r="H4" s="45">
        <f>SUM(Depilación!H40:H48)</f>
        <v>7229</v>
      </c>
      <c r="I4" s="45">
        <f>SUM(Depilación!H49:H51)</f>
        <v>2875</v>
      </c>
      <c r="J4" s="45">
        <f>SUM(Depilación!H52:H63)</f>
        <v>10550</v>
      </c>
      <c r="K4" s="45">
        <f>SUM(Depilación!H64:H65)</f>
        <v>1625</v>
      </c>
      <c r="L4" s="45">
        <f>SUM(Depilación!H66:H84)</f>
        <v>15887.5</v>
      </c>
      <c r="M4" s="45">
        <f>SUM(Depilación!H85:H96)</f>
        <v>9354</v>
      </c>
      <c r="N4" s="41">
        <f t="shared" si="0"/>
        <v>74362.5</v>
      </c>
      <c r="O4" s="38">
        <f>+Depilación!H97</f>
        <v>74362.5</v>
      </c>
      <c r="P4" s="38">
        <f t="shared" si="1"/>
        <v>0</v>
      </c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BD4" s="31"/>
    </row>
    <row r="5" spans="1:56" ht="24.95" customHeight="1" x14ac:dyDescent="0.25">
      <c r="A5" s="29" t="s">
        <v>14</v>
      </c>
      <c r="B5" s="40">
        <v>0</v>
      </c>
      <c r="C5" s="40">
        <v>0</v>
      </c>
      <c r="D5" s="40">
        <v>0</v>
      </c>
      <c r="E5" s="45">
        <f>SUM(Emsculpt!H3)</f>
        <v>7500</v>
      </c>
      <c r="F5" s="45">
        <v>0</v>
      </c>
      <c r="G5" s="45">
        <f>SUM(Emsculpt!H4)</f>
        <v>7500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1">
        <f t="shared" si="0"/>
        <v>15000</v>
      </c>
      <c r="O5" s="38">
        <f>+Emsculpt!H5</f>
        <v>15000</v>
      </c>
      <c r="P5" s="38">
        <f t="shared" si="1"/>
        <v>0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BD5" s="31"/>
    </row>
    <row r="6" spans="1:56" ht="24.95" customHeight="1" x14ac:dyDescent="0.25">
      <c r="A6" s="29" t="s">
        <v>15</v>
      </c>
      <c r="B6" s="40">
        <f>SUM(Emtone!H3:H6)</f>
        <v>20000</v>
      </c>
      <c r="C6" s="40">
        <f>SUM(Emtone!H7:H9)</f>
        <v>11250</v>
      </c>
      <c r="D6" s="40">
        <f>SUM(Emtone!H10)</f>
        <v>5000</v>
      </c>
      <c r="E6" s="45">
        <f>SUM(Emtone!H11)</f>
        <v>5000</v>
      </c>
      <c r="F6" s="45">
        <f>SUM(Emtone!H12)</f>
        <v>5000</v>
      </c>
      <c r="G6" s="45">
        <f>SUM(Emtone!H13:H15)</f>
        <v>13750</v>
      </c>
      <c r="H6" s="45">
        <f>SUM(Emtone!H16:H19)</f>
        <v>20000</v>
      </c>
      <c r="I6" s="45">
        <f>SUM(Emtone!H20:H21)</f>
        <v>10000</v>
      </c>
      <c r="J6" s="45">
        <f>SUM(Emtone!H22:H23)</f>
        <v>10000</v>
      </c>
      <c r="K6" s="45">
        <f>SUM(Emtone!H24:H25)</f>
        <v>10000</v>
      </c>
      <c r="L6" s="45">
        <v>0</v>
      </c>
      <c r="M6" s="45">
        <f>SUM(Emtone!H26)</f>
        <v>5000</v>
      </c>
      <c r="N6" s="41">
        <f t="shared" si="0"/>
        <v>115000</v>
      </c>
      <c r="O6" s="38">
        <f>+Emtone!H27</f>
        <v>115000</v>
      </c>
      <c r="P6" s="38">
        <f t="shared" si="1"/>
        <v>0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BD6" s="31"/>
    </row>
    <row r="7" spans="1:56" ht="24.95" customHeight="1" x14ac:dyDescent="0.25">
      <c r="A7" s="29" t="s">
        <v>43</v>
      </c>
      <c r="B7" s="40">
        <f>SUM(Exilis!H3:H5)</f>
        <v>19500</v>
      </c>
      <c r="C7" s="40">
        <f>SUM(Exilis!H6:H17)</f>
        <v>50900</v>
      </c>
      <c r="D7" s="40">
        <f>SUM(Exilis!H18:H22)</f>
        <v>32500</v>
      </c>
      <c r="E7" s="45">
        <f>SUM(Exilis!H23:H30)</f>
        <v>42800</v>
      </c>
      <c r="F7" s="45">
        <f>SUM(Exilis!H31:H34)</f>
        <v>29250</v>
      </c>
      <c r="G7" s="45">
        <f>SUM(Exilis!H35:H41)</f>
        <v>27100.01</v>
      </c>
      <c r="H7" s="45">
        <f>SUM(Exilis!H42:H50)</f>
        <v>28025</v>
      </c>
      <c r="I7" s="45">
        <f>SUM(Exilis!H51:H55)</f>
        <v>23300</v>
      </c>
      <c r="J7" s="45">
        <f>SUM(Exilis!H56:H63)</f>
        <v>40300</v>
      </c>
      <c r="K7" s="45">
        <f>SUM(Exilis!H64:H66)</f>
        <v>7050</v>
      </c>
      <c r="L7" s="45">
        <f>SUM(Exilis!H67:H73)</f>
        <v>38000</v>
      </c>
      <c r="M7" s="45">
        <f>SUM(Exilis!H74:H77)</f>
        <v>14100</v>
      </c>
      <c r="N7" s="41">
        <f t="shared" si="0"/>
        <v>352825.01</v>
      </c>
      <c r="O7" s="38">
        <f>+Exilis!H78</f>
        <v>352825.01</v>
      </c>
      <c r="P7" s="38">
        <f t="shared" si="1"/>
        <v>0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BD7" s="31"/>
    </row>
    <row r="8" spans="1:56" ht="24.95" customHeight="1" x14ac:dyDescent="0.25">
      <c r="A8" s="29" t="s">
        <v>44</v>
      </c>
      <c r="B8" s="40">
        <v>0</v>
      </c>
      <c r="C8" s="40">
        <v>0</v>
      </c>
      <c r="D8" s="40">
        <v>0</v>
      </c>
      <c r="E8" s="45">
        <f>SUM(Exfoliación!H3:H4)</f>
        <v>700</v>
      </c>
      <c r="F8" s="45">
        <f>SUM(Exfoliación!H5)</f>
        <v>200</v>
      </c>
      <c r="G8" s="45">
        <f>SUM(Exfoliación!H6)</f>
        <v>350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1">
        <f t="shared" si="0"/>
        <v>1250</v>
      </c>
      <c r="O8" s="38">
        <f>+Exfoliación!H7</f>
        <v>1250</v>
      </c>
      <c r="P8" s="38">
        <f t="shared" si="1"/>
        <v>0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BD8" s="31"/>
    </row>
    <row r="9" spans="1:56" ht="24.95" customHeight="1" x14ac:dyDescent="0.25">
      <c r="A9" s="29" t="s">
        <v>18</v>
      </c>
      <c r="B9" s="40">
        <f>SUM('Facial purificante'!H3:H4)</f>
        <v>977.5</v>
      </c>
      <c r="C9" s="40">
        <f>SUM('Facial purificante'!H5:H12)</f>
        <v>4425</v>
      </c>
      <c r="D9" s="40">
        <f>SUM('Facial purificante'!H13:H17)</f>
        <v>4269</v>
      </c>
      <c r="E9" s="45">
        <f>SUM('Facial purificante'!H18:H19)</f>
        <v>1150</v>
      </c>
      <c r="F9" s="45">
        <f>SUM('Facial purificante'!H20:H27)</f>
        <v>4925</v>
      </c>
      <c r="G9" s="45">
        <f>SUM('Facial purificante'!H28:H30)</f>
        <v>1553</v>
      </c>
      <c r="H9" s="45">
        <f>SUM('Facial purificante'!H31:H35)</f>
        <v>3360</v>
      </c>
      <c r="I9" s="45">
        <f>SUM('Facial purificante'!H36:H41)</f>
        <v>3726</v>
      </c>
      <c r="J9" s="45">
        <f>SUM('Facial purificante'!H42:H44)</f>
        <v>4150</v>
      </c>
      <c r="K9" s="45">
        <f>SUM('Facial purificante'!H45:H48)</f>
        <v>3497.5</v>
      </c>
      <c r="L9" s="45">
        <f>SUM('Facial purificante'!H49:H52)</f>
        <v>2682.5</v>
      </c>
      <c r="M9" s="45">
        <f>SUM('Facial purificante'!H53:H57)</f>
        <v>4020</v>
      </c>
      <c r="N9" s="41">
        <f t="shared" si="0"/>
        <v>38735.5</v>
      </c>
      <c r="O9" s="38">
        <f>+'Facial purificante'!H58</f>
        <v>38735.5</v>
      </c>
      <c r="P9" s="38">
        <f t="shared" si="1"/>
        <v>0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BD9" s="31"/>
    </row>
    <row r="10" spans="1:56" ht="24.95" customHeight="1" x14ac:dyDescent="0.25">
      <c r="A10" s="29" t="s">
        <v>131</v>
      </c>
      <c r="B10" s="40">
        <v>0</v>
      </c>
      <c r="C10" s="40">
        <v>0</v>
      </c>
      <c r="D10" s="40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/>
      <c r="L10" s="45">
        <v>0</v>
      </c>
      <c r="M10" s="45">
        <v>0</v>
      </c>
      <c r="N10" s="41">
        <f t="shared" si="0"/>
        <v>0</v>
      </c>
      <c r="O10" s="38">
        <f>+Hifu!H4</f>
        <v>0</v>
      </c>
      <c r="P10" s="38">
        <f t="shared" si="1"/>
        <v>0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BD10" s="31"/>
    </row>
    <row r="11" spans="1:56" ht="24.95" customHeight="1" x14ac:dyDescent="0.25">
      <c r="A11" s="29" t="s">
        <v>21</v>
      </c>
      <c r="B11" s="40">
        <f>SUM(Hydrafacial!H3:H6)</f>
        <v>5800</v>
      </c>
      <c r="C11" s="40">
        <f>SUM(Hydrafacial!H7:H8)</f>
        <v>1484</v>
      </c>
      <c r="D11" s="40">
        <f>SUM(Hydrafacial!H9:H10)</f>
        <v>1934</v>
      </c>
      <c r="E11" s="45">
        <f>SUM(Hydrafacial!H11:H15)</f>
        <v>4636</v>
      </c>
      <c r="F11" s="45">
        <f>SUM(Hydrafacial!H16:H23)</f>
        <v>12393.398999999999</v>
      </c>
      <c r="G11" s="45">
        <f>SUM(Hydrafacial!H24:H27)</f>
        <v>3700.98</v>
      </c>
      <c r="H11" s="45">
        <f>SUM(Hydrafacial!H28:H31)</f>
        <v>2934</v>
      </c>
      <c r="I11" s="45">
        <f>SUM(Hydrafacial!H32:H37)</f>
        <v>5004</v>
      </c>
      <c r="J11" s="45">
        <v>0</v>
      </c>
      <c r="K11" s="45">
        <f>SUM(Hydrafacial!H38:H40)</f>
        <v>4674</v>
      </c>
      <c r="L11" s="45">
        <f>SUM(Hydrafacial!H41:H50)</f>
        <v>12855</v>
      </c>
      <c r="M11" s="45">
        <f>SUM(Hydrafacial!H51)</f>
        <v>1334</v>
      </c>
      <c r="N11" s="41">
        <f t="shared" si="0"/>
        <v>56749.379000000001</v>
      </c>
      <c r="O11" s="38">
        <f>+Hydrafacial!H52</f>
        <v>56749.379000000001</v>
      </c>
      <c r="P11" s="38">
        <f t="shared" si="1"/>
        <v>0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BD11" s="31"/>
    </row>
    <row r="12" spans="1:56" ht="24.95" customHeight="1" x14ac:dyDescent="0.25">
      <c r="A12" s="29" t="s">
        <v>22</v>
      </c>
      <c r="B12" s="40">
        <v>0</v>
      </c>
      <c r="C12" s="40">
        <v>0</v>
      </c>
      <c r="D12" s="40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f>SUM(Laboratorios!H3)</f>
        <v>950</v>
      </c>
      <c r="L12" s="45">
        <f>SUM(Laboratorios!H4)</f>
        <v>950</v>
      </c>
      <c r="M12" s="45">
        <v>0</v>
      </c>
      <c r="N12" s="41">
        <f t="shared" si="0"/>
        <v>1900</v>
      </c>
      <c r="O12" s="38">
        <f>+Laboratorios!H5</f>
        <v>1900</v>
      </c>
      <c r="P12" s="38">
        <f t="shared" si="1"/>
        <v>0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BD12" s="31"/>
    </row>
    <row r="13" spans="1:56" ht="24.95" customHeight="1" x14ac:dyDescent="0.25">
      <c r="A13" s="29" t="s">
        <v>23</v>
      </c>
      <c r="B13" s="40">
        <f>SUM('Masaje linfatico'!H3:H4)</f>
        <v>500</v>
      </c>
      <c r="C13" s="40">
        <f>SUM('Masaje linfatico'!H5)</f>
        <v>800</v>
      </c>
      <c r="D13" s="40">
        <f>SUM('Masaje linfatico'!H6:H7)</f>
        <v>2000</v>
      </c>
      <c r="E13" s="45">
        <f>SUM('Masaje linfatico'!H8:H11)</f>
        <v>3400</v>
      </c>
      <c r="F13" s="45">
        <f>SUM('Masaje linfatico'!H12:H14)</f>
        <v>5000</v>
      </c>
      <c r="G13" s="45">
        <f>SUM('Masaje linfatico'!H15:H17)</f>
        <v>2200</v>
      </c>
      <c r="H13" s="45">
        <f>SUM('Masaje linfatico'!H18:H20)</f>
        <v>5600</v>
      </c>
      <c r="I13" s="45">
        <v>0</v>
      </c>
      <c r="J13" s="45">
        <f>SUM('Masaje linfatico'!H21:H26)</f>
        <v>4050</v>
      </c>
      <c r="K13" s="45">
        <f>SUM('Masaje linfatico'!H27)</f>
        <v>2000</v>
      </c>
      <c r="L13" s="45">
        <f>SUM('Masaje linfatico'!H28:H30)</f>
        <v>5000</v>
      </c>
      <c r="M13" s="45">
        <f>SUM('Masaje linfatico'!H31)</f>
        <v>1000</v>
      </c>
      <c r="N13" s="41">
        <f t="shared" si="0"/>
        <v>31550</v>
      </c>
      <c r="O13" s="38">
        <f>+'Masaje linfatico'!H32</f>
        <v>31550</v>
      </c>
      <c r="P13" s="38">
        <f t="shared" si="1"/>
        <v>0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BD13" s="31"/>
    </row>
    <row r="14" spans="1:56" ht="24.95" customHeight="1" x14ac:dyDescent="0.25">
      <c r="A14" s="29" t="s">
        <v>24</v>
      </c>
      <c r="B14" s="40">
        <v>0</v>
      </c>
      <c r="C14" s="40">
        <f>SUM(Mesoterapia!H3:H10)</f>
        <v>17912</v>
      </c>
      <c r="D14" s="40">
        <f>SUM(Mesoterapia!H11:H20)</f>
        <v>23800</v>
      </c>
      <c r="E14" s="45">
        <f>SUM(Mesoterapia!H21:H26)</f>
        <v>27200</v>
      </c>
      <c r="F14" s="45">
        <f>SUM(Mesoterapia!H27:H29)</f>
        <v>2800</v>
      </c>
      <c r="G14" s="45">
        <f>SUM(Mesoterapia!H30:H31)</f>
        <v>6730</v>
      </c>
      <c r="H14" s="45">
        <f>SUM(Mesoterapia!H32:H33)</f>
        <v>6749.9998999999998</v>
      </c>
      <c r="I14" s="45">
        <f>SUM(Mesoterapia!H34)</f>
        <v>4800</v>
      </c>
      <c r="J14" s="45">
        <f>SUM(Mesoterapia!H35:H42)</f>
        <v>11735</v>
      </c>
      <c r="K14" s="45">
        <v>0</v>
      </c>
      <c r="L14" s="45">
        <f>SUM(Mesoterapia!H43:H44)</f>
        <v>9900</v>
      </c>
      <c r="M14" s="45">
        <v>0</v>
      </c>
      <c r="N14" s="41">
        <f t="shared" si="0"/>
        <v>111626.9999</v>
      </c>
      <c r="O14" s="38">
        <f>+Mesoterapia!H45</f>
        <v>111626.9999</v>
      </c>
      <c r="P14" s="38">
        <f t="shared" si="1"/>
        <v>0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BD14" s="31"/>
    </row>
    <row r="15" spans="1:56" ht="24.95" customHeight="1" x14ac:dyDescent="0.25">
      <c r="A15" s="29" t="s">
        <v>26</v>
      </c>
      <c r="B15" s="40">
        <f>SUM(Morpheus!H3:H18)</f>
        <v>160000</v>
      </c>
      <c r="C15" s="40">
        <f>SUM(Morpheus!H19:H33)</f>
        <v>150000</v>
      </c>
      <c r="D15" s="40">
        <f>SUM(Morpheus!H34:H43)</f>
        <v>95000</v>
      </c>
      <c r="E15" s="45">
        <f>SUM(Morpheus!H44:H52)</f>
        <v>116200</v>
      </c>
      <c r="F15" s="45">
        <f>SUM(Morpheus!H53:H64)</f>
        <v>130000</v>
      </c>
      <c r="G15" s="45">
        <f>SUM(Morpheus!H65:H73)</f>
        <v>105000</v>
      </c>
      <c r="H15" s="45">
        <f>SUM(Morpheus!H74:H83)</f>
        <v>100000</v>
      </c>
      <c r="I15" s="45">
        <f>SUM(Morpheus!H84:H90)</f>
        <v>70000</v>
      </c>
      <c r="J15" s="45">
        <f>SUM(Morpheus!H91:H100)</f>
        <v>95000</v>
      </c>
      <c r="K15" s="45">
        <f>SUM(Morpheus!H101:H111)</f>
        <v>97000</v>
      </c>
      <c r="L15" s="45">
        <f>SUM(Morpheus!H112:H117)</f>
        <v>55000</v>
      </c>
      <c r="M15" s="45">
        <f>SUM(Morpheus!H118:H126)</f>
        <v>95000</v>
      </c>
      <c r="N15" s="41">
        <f t="shared" si="0"/>
        <v>1268200</v>
      </c>
      <c r="O15" s="38">
        <f>+Morpheus!H127</f>
        <v>1268200</v>
      </c>
      <c r="P15" s="38">
        <f t="shared" si="1"/>
        <v>0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BD15" s="31"/>
    </row>
    <row r="16" spans="1:56" ht="24.95" customHeight="1" x14ac:dyDescent="0.25">
      <c r="A16" s="29" t="s">
        <v>27</v>
      </c>
      <c r="B16" s="40">
        <v>0</v>
      </c>
      <c r="C16" s="40">
        <v>0</v>
      </c>
      <c r="D16" s="40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1">
        <f t="shared" si="0"/>
        <v>0</v>
      </c>
      <c r="O16" s="38">
        <f>+'Pico-láser'!H4</f>
        <v>0</v>
      </c>
      <c r="P16" s="38">
        <f t="shared" si="1"/>
        <v>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BD16" s="31"/>
    </row>
    <row r="17" spans="1:56" ht="24.95" customHeight="1" x14ac:dyDescent="0.25">
      <c r="A17" s="29" t="s">
        <v>45</v>
      </c>
      <c r="B17" s="40">
        <f>SUM(Profhilo!H3:H13)</f>
        <v>46500</v>
      </c>
      <c r="C17" s="40">
        <f>SUM(Profhilo!H14:H18)</f>
        <v>22500</v>
      </c>
      <c r="D17" s="40">
        <f>SUM(Profhilo!H19:H27)</f>
        <v>36000</v>
      </c>
      <c r="E17" s="45">
        <f>SUM(Profhilo!H28:H33)</f>
        <v>27500</v>
      </c>
      <c r="F17" s="45">
        <f>SUM(Profhilo!H34:H42)</f>
        <v>42500</v>
      </c>
      <c r="G17" s="45">
        <f>SUM(Profhilo!H43:H47)</f>
        <v>22500</v>
      </c>
      <c r="H17" s="45">
        <f>SUM(Profhilo!H48:H57)</f>
        <v>47500</v>
      </c>
      <c r="I17" s="45">
        <f>SUM(Profhilo!H58:H64)</f>
        <v>28400</v>
      </c>
      <c r="J17" s="45">
        <f>SUM(Profhilo!H65:H69)</f>
        <v>18900</v>
      </c>
      <c r="K17" s="45">
        <v>0</v>
      </c>
      <c r="L17" s="45">
        <f>SUM(Profhilo!H70)</f>
        <v>3200</v>
      </c>
      <c r="M17" s="45">
        <f>SUM(Profhilo!H71:H78)</f>
        <v>35650</v>
      </c>
      <c r="N17" s="41">
        <f t="shared" si="0"/>
        <v>331150</v>
      </c>
      <c r="O17" s="38">
        <f>+Profhilo!H79</f>
        <v>331150</v>
      </c>
      <c r="P17" s="38">
        <f t="shared" si="1"/>
        <v>0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BD17" s="31"/>
    </row>
    <row r="18" spans="1:56" ht="24.95" customHeight="1" x14ac:dyDescent="0.25">
      <c r="A18" s="29" t="s">
        <v>30</v>
      </c>
      <c r="B18" s="40">
        <f>SUM(PRP!H3:H9)</f>
        <v>14888</v>
      </c>
      <c r="C18" s="40">
        <f>SUM(PRP!H10:H17)</f>
        <v>28800</v>
      </c>
      <c r="D18" s="40">
        <f>SUM(PRP!H18:H27)</f>
        <v>24340</v>
      </c>
      <c r="E18" s="45">
        <f>SUM(PRP!H28:H35)</f>
        <v>18899.998</v>
      </c>
      <c r="F18" s="45">
        <f>SUM(PRP!H36:H60)</f>
        <v>46200</v>
      </c>
      <c r="G18" s="45">
        <f>SUM(PRP!H61:H64)</f>
        <v>8600</v>
      </c>
      <c r="H18" s="45">
        <f>SUM(PRP!H65:H73)</f>
        <v>21800</v>
      </c>
      <c r="I18" s="45">
        <f>SUM(PRP!H74:H81)</f>
        <v>15850</v>
      </c>
      <c r="J18" s="45">
        <f>SUM(PRP!H82:H92)</f>
        <v>24599.999</v>
      </c>
      <c r="K18" s="45">
        <f>SUM(PRP!H93:H109)</f>
        <v>42249.995999999999</v>
      </c>
      <c r="L18" s="45">
        <f>SUM(PRP!H110:H120)</f>
        <v>37265</v>
      </c>
      <c r="M18" s="45">
        <f>SUM(PRP!H121:H124)</f>
        <v>6260</v>
      </c>
      <c r="N18" s="41">
        <f t="shared" si="0"/>
        <v>289752.99300000002</v>
      </c>
      <c r="O18" s="38">
        <f>+PRP!H125</f>
        <v>289752.99300000002</v>
      </c>
      <c r="P18" s="38">
        <f t="shared" si="1"/>
        <v>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BD18" s="31"/>
    </row>
    <row r="19" spans="1:56" ht="24.95" customHeight="1" x14ac:dyDescent="0.25">
      <c r="A19" s="29" t="s">
        <v>31</v>
      </c>
      <c r="B19" s="40">
        <f>SUM(Radiofrecuencia!H3:H4)</f>
        <v>6204</v>
      </c>
      <c r="C19" s="40">
        <f>SUM(Radiofrecuencia!H5:H10)</f>
        <v>15028</v>
      </c>
      <c r="D19" s="40">
        <f>SUM(Radiofrecuencia!H11:H13)</f>
        <v>5200</v>
      </c>
      <c r="E19" s="45">
        <f>SUM(Radiofrecuencia!H14)</f>
        <v>3000</v>
      </c>
      <c r="F19" s="45">
        <f>SUM(Radiofrecuencia!H15:H20)</f>
        <v>16250</v>
      </c>
      <c r="G19" s="45">
        <f>SUM(Radiofrecuencia!H21)</f>
        <v>3560</v>
      </c>
      <c r="H19" s="45">
        <f>SUM(Radiofrecuencia!H22:H27)</f>
        <v>14600</v>
      </c>
      <c r="I19" s="45">
        <f>SUM(Radiofrecuencia!H28:H29)</f>
        <v>7260</v>
      </c>
      <c r="J19" s="45">
        <f>SUM(Radiofrecuencia!H30:H32)</f>
        <v>9375</v>
      </c>
      <c r="K19" s="45">
        <f>SUM(Radiofrecuencia!H33:H36)</f>
        <v>13189.995999999999</v>
      </c>
      <c r="L19" s="45">
        <f>SUM(Radiofrecuencia!H37:H45)</f>
        <v>25900</v>
      </c>
      <c r="M19" s="45">
        <f>SUM(Radiofrecuencia!H46:H47)</f>
        <v>6471</v>
      </c>
      <c r="N19" s="41">
        <f t="shared" si="0"/>
        <v>126037.996</v>
      </c>
      <c r="O19" s="38">
        <f>+Radiofrecuencia!H48</f>
        <v>126037.996</v>
      </c>
      <c r="P19" s="38">
        <f t="shared" si="1"/>
        <v>0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BD19" s="31"/>
    </row>
    <row r="20" spans="1:56" ht="24.95" customHeight="1" x14ac:dyDescent="0.25">
      <c r="A20" s="29" t="s">
        <v>46</v>
      </c>
      <c r="B20" s="40">
        <f>SUM(Ultrasonido!H3)</f>
        <v>900</v>
      </c>
      <c r="C20" s="40">
        <f>SUM(Ultrasonido!H4:H7)</f>
        <v>960</v>
      </c>
      <c r="D20" s="40">
        <v>0</v>
      </c>
      <c r="E20" s="45">
        <f>SUM(Ultrasonido!H8:H9)</f>
        <v>2000</v>
      </c>
      <c r="F20" s="45">
        <v>0</v>
      </c>
      <c r="G20" s="45">
        <f>SUM(Ultrasonido!H10)</f>
        <v>1000</v>
      </c>
      <c r="H20" s="45">
        <f>SUM(Ultrasonido!H11:H12)</f>
        <v>2080</v>
      </c>
      <c r="I20" s="45">
        <f>SUM(Ultrasonido!H13:H15)</f>
        <v>5000</v>
      </c>
      <c r="J20" s="45">
        <f>SUM(Ultrasonido!H16:H18)</f>
        <v>3060</v>
      </c>
      <c r="K20" s="45">
        <f>SUM(Ultrasonido!H19)</f>
        <v>1000</v>
      </c>
      <c r="L20" s="45">
        <f>SUM(Ultrasonido!H20)</f>
        <v>2000</v>
      </c>
      <c r="M20" s="45">
        <f>SUM(Ultrasonido!H21:H22)</f>
        <v>1800</v>
      </c>
      <c r="N20" s="41">
        <f t="shared" si="0"/>
        <v>19800</v>
      </c>
      <c r="O20" s="38">
        <f>+Ultrasonido!H23</f>
        <v>19800</v>
      </c>
      <c r="P20" s="38">
        <f t="shared" si="1"/>
        <v>0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BD20" s="31"/>
    </row>
    <row r="21" spans="1:56" ht="24.95" customHeight="1" x14ac:dyDescent="0.25">
      <c r="A21" s="29" t="s">
        <v>33</v>
      </c>
      <c r="B21" s="40">
        <v>0</v>
      </c>
      <c r="C21" s="40">
        <v>0</v>
      </c>
      <c r="D21" s="40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1">
        <f t="shared" si="0"/>
        <v>0</v>
      </c>
      <c r="O21" s="38">
        <f>+'Velo de acido hialuronico'!H4</f>
        <v>0</v>
      </c>
      <c r="P21" s="38">
        <f t="shared" si="1"/>
        <v>0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BD21" s="31"/>
    </row>
    <row r="22" spans="1:56" ht="24.95" customHeight="1" x14ac:dyDescent="0.25">
      <c r="A22" s="29" t="s">
        <v>34</v>
      </c>
      <c r="B22" s="40">
        <v>0</v>
      </c>
      <c r="C22" s="40">
        <v>0</v>
      </c>
      <c r="D22" s="40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1">
        <f t="shared" si="0"/>
        <v>0</v>
      </c>
      <c r="O22" s="38">
        <f>+Velox!H4</f>
        <v>0</v>
      </c>
      <c r="P22" s="38">
        <f t="shared" si="1"/>
        <v>0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BD22" s="31"/>
    </row>
    <row r="23" spans="1:56" ht="24.95" customHeight="1" x14ac:dyDescent="0.25">
      <c r="A23" s="29" t="s">
        <v>35</v>
      </c>
      <c r="B23" s="40">
        <f>SUM('Vitamina C intravenosa'!H3:H12)</f>
        <v>7131</v>
      </c>
      <c r="C23" s="40">
        <f>SUM('Vitamina C intravenosa'!H13:H26)</f>
        <v>12305</v>
      </c>
      <c r="D23" s="40">
        <f>SUM('Vitamina C intravenosa'!H27:H34)</f>
        <v>10006</v>
      </c>
      <c r="E23" s="45">
        <f>SUM('Vitamina C intravenosa'!H35:H43)</f>
        <v>7866</v>
      </c>
      <c r="F23" s="45">
        <f>SUM('Vitamina C intravenosa'!H44:H66)</f>
        <v>28766.48</v>
      </c>
      <c r="G23" s="45">
        <f>SUM('Vitamina C intravenosa'!H67:H78)</f>
        <v>13375</v>
      </c>
      <c r="H23" s="45">
        <f>SUM('Vitamina C intravenosa'!H79:H84)</f>
        <v>8261.9997999999996</v>
      </c>
      <c r="I23" s="45">
        <f>SUM('Vitamina C intravenosa'!H85:H96)</f>
        <v>13216</v>
      </c>
      <c r="J23" s="45">
        <f>SUM('Vitamina C intravenosa'!H97:H106)</f>
        <v>11611</v>
      </c>
      <c r="K23" s="45">
        <f>SUM('Vitamina C intravenosa'!H107:H120)</f>
        <v>12840</v>
      </c>
      <c r="L23" s="45">
        <f>SUM('Vitamina C intravenosa'!H121:H129)</f>
        <v>9471</v>
      </c>
      <c r="M23" s="45">
        <f>SUM('Vitamina C intravenosa'!H130:H138)</f>
        <v>9630</v>
      </c>
      <c r="N23" s="41">
        <f t="shared" si="0"/>
        <v>144479.4798</v>
      </c>
      <c r="O23" s="38">
        <f>+'Vitamina C intravenosa'!H139</f>
        <v>144479.47980000003</v>
      </c>
      <c r="P23" s="38">
        <f t="shared" si="1"/>
        <v>0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BD23" s="31"/>
    </row>
    <row r="24" spans="1:56" ht="24.95" customHeight="1" x14ac:dyDescent="0.25">
      <c r="A24" s="29" t="s">
        <v>37</v>
      </c>
      <c r="B24" s="40">
        <v>0</v>
      </c>
      <c r="C24" s="40">
        <v>0</v>
      </c>
      <c r="D24" s="40">
        <v>0</v>
      </c>
      <c r="E24" s="45">
        <f>SUM('Ciclo coolsculpting'!H3:H4)</f>
        <v>18000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1">
        <f t="shared" si="0"/>
        <v>18000</v>
      </c>
      <c r="O24" s="38">
        <f>+'Ciclo coolsculpting'!H5</f>
        <v>18000</v>
      </c>
      <c r="P24" s="38">
        <f t="shared" si="1"/>
        <v>0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BD24" s="31"/>
    </row>
    <row r="25" spans="1:56" ht="24.95" customHeight="1" x14ac:dyDescent="0.25">
      <c r="A25" s="29" t="s">
        <v>48</v>
      </c>
      <c r="B25" s="40">
        <v>0</v>
      </c>
      <c r="C25" s="40">
        <f>SUM(Dermapen!H3)</f>
        <v>1300</v>
      </c>
      <c r="D25" s="40">
        <v>0</v>
      </c>
      <c r="E25" s="45">
        <v>0</v>
      </c>
      <c r="F25" s="45">
        <v>0</v>
      </c>
      <c r="G25" s="45">
        <f>SUM(Dermapen!H4:H5)</f>
        <v>3000</v>
      </c>
      <c r="H25" s="45">
        <v>0</v>
      </c>
      <c r="I25" s="45">
        <f>SUM(Dermapen!H6:H9)</f>
        <v>8600</v>
      </c>
      <c r="J25" s="45">
        <f>SUM(Dermapen!H10:H11)</f>
        <v>7200</v>
      </c>
      <c r="K25" s="45">
        <f>SUM(Dermapen!H12:H15)</f>
        <v>9300</v>
      </c>
      <c r="L25" s="45">
        <f>SUM(Dermapen!H16:H20)</f>
        <v>13400</v>
      </c>
      <c r="M25" s="45">
        <f>SUM(Dermapen!H21:H22)</f>
        <v>3200</v>
      </c>
      <c r="N25" s="41">
        <f t="shared" si="0"/>
        <v>46000</v>
      </c>
      <c r="O25" s="38">
        <f>+Dermapen!H23</f>
        <v>46000</v>
      </c>
      <c r="P25" s="38">
        <f t="shared" si="1"/>
        <v>0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BD25" s="31"/>
    </row>
    <row r="26" spans="1:56" ht="24.95" customHeight="1" x14ac:dyDescent="0.25">
      <c r="A26" s="29" t="s">
        <v>39</v>
      </c>
      <c r="B26" s="40">
        <v>0</v>
      </c>
      <c r="C26" s="40">
        <v>0</v>
      </c>
      <c r="D26" s="40">
        <v>0</v>
      </c>
      <c r="E26" s="45">
        <v>0</v>
      </c>
      <c r="F26" s="45">
        <f>SUM('Láser CO2'!H3)</f>
        <v>5000</v>
      </c>
      <c r="G26" s="45">
        <v>0</v>
      </c>
      <c r="H26" s="45">
        <v>0</v>
      </c>
      <c r="I26" s="45">
        <f>SUM('Láser CO2'!H4)</f>
        <v>5600</v>
      </c>
      <c r="J26" s="45">
        <v>0</v>
      </c>
      <c r="K26" s="45">
        <v>0</v>
      </c>
      <c r="L26" s="45">
        <f>SUM('Láser CO2'!H5:H6)</f>
        <v>12000</v>
      </c>
      <c r="M26" s="45">
        <v>0</v>
      </c>
      <c r="N26" s="41">
        <f t="shared" si="0"/>
        <v>22600</v>
      </c>
      <c r="O26" s="38">
        <f>+'Láser CO2'!H7</f>
        <v>22600</v>
      </c>
      <c r="P26" s="38">
        <f t="shared" si="1"/>
        <v>0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BD26" s="31"/>
    </row>
    <row r="27" spans="1:56" ht="24.95" customHeight="1" x14ac:dyDescent="0.25">
      <c r="A27" s="29" t="s">
        <v>47</v>
      </c>
      <c r="B27" s="40">
        <v>0</v>
      </c>
      <c r="C27" s="40">
        <v>0</v>
      </c>
      <c r="D27" s="40">
        <f>SUM('Masaje relajante'!H3:H6)</f>
        <v>6700</v>
      </c>
      <c r="E27" s="45">
        <v>0</v>
      </c>
      <c r="F27" s="45">
        <f>SUM('Masaje relajante'!H7:H9)</f>
        <v>2450</v>
      </c>
      <c r="G27" s="45">
        <v>0</v>
      </c>
      <c r="H27" s="45">
        <f>SUM('Masaje relajante'!H10)</f>
        <v>4000</v>
      </c>
      <c r="I27" s="45">
        <f>SUM('Masaje relajante'!H11:H12)</f>
        <v>4000</v>
      </c>
      <c r="J27" s="45">
        <f>SUM('Masaje relajante'!H13)</f>
        <v>250</v>
      </c>
      <c r="K27" s="45">
        <f>SUM('Masaje relajante'!H14)</f>
        <v>4000</v>
      </c>
      <c r="L27" s="45">
        <v>0</v>
      </c>
      <c r="M27" s="45">
        <f>SUM('Masaje relajante'!H15)</f>
        <v>2000</v>
      </c>
      <c r="N27" s="41">
        <f t="shared" si="0"/>
        <v>23400</v>
      </c>
      <c r="O27" s="38">
        <f>+'Masaje relajante'!H16</f>
        <v>23400</v>
      </c>
      <c r="P27" s="38">
        <f t="shared" si="1"/>
        <v>0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</row>
    <row r="28" spans="1:56" ht="24.95" customHeight="1" x14ac:dyDescent="0.25">
      <c r="A28" s="29" t="s">
        <v>41</v>
      </c>
      <c r="B28" s="40">
        <v>0</v>
      </c>
      <c r="C28" s="40">
        <v>0</v>
      </c>
      <c r="D28" s="40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f>SUM(Oligoelementos!H3)</f>
        <v>1995</v>
      </c>
      <c r="K28" s="45">
        <f>SUM(Oligoelementos!H4)</f>
        <v>700</v>
      </c>
      <c r="L28" s="45">
        <f>SUM(Oligoelementos!H5)</f>
        <v>1395</v>
      </c>
      <c r="M28" s="45">
        <v>0</v>
      </c>
      <c r="N28" s="41">
        <f t="shared" si="0"/>
        <v>4090</v>
      </c>
      <c r="O28" s="38">
        <f>+Oligoelementos!H6</f>
        <v>4090</v>
      </c>
      <c r="P28" s="38">
        <f t="shared" si="1"/>
        <v>0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</row>
    <row r="29" spans="1:56" ht="24.95" customHeight="1" x14ac:dyDescent="0.25">
      <c r="A29" s="29" t="s">
        <v>51</v>
      </c>
      <c r="B29" s="40">
        <f>SUM(Grow!H3:H6)</f>
        <v>9112.09</v>
      </c>
      <c r="C29" s="40">
        <f>SUM(Grow!H7:H10)</f>
        <v>8912.09</v>
      </c>
      <c r="D29" s="40">
        <f>SUM(Grow!H11:H13)</f>
        <v>7912.09</v>
      </c>
      <c r="E29" s="45">
        <f>SUM(Grow!H14:H16)</f>
        <v>7912.09</v>
      </c>
      <c r="F29" s="45">
        <f>SUM(Grow!H17:H19)</f>
        <v>7912.09</v>
      </c>
      <c r="G29" s="45">
        <f>SUM(Grow!H20:H22)</f>
        <v>7912.09</v>
      </c>
      <c r="H29" s="45">
        <f>SUM(Grow!H23:H26)</f>
        <v>8912.09</v>
      </c>
      <c r="I29" s="45">
        <f>SUM(Grow!H27:H29)</f>
        <v>7912.09</v>
      </c>
      <c r="J29" s="45">
        <f>SUM(Grow!H30:H32)</f>
        <v>7912.09</v>
      </c>
      <c r="K29" s="45">
        <f>SUM(Grow!H33:H36)</f>
        <v>9412.09</v>
      </c>
      <c r="L29" s="45">
        <v>0</v>
      </c>
      <c r="M29" s="45">
        <f>SUM(Grow!H37:H42)</f>
        <v>15824.18</v>
      </c>
      <c r="N29" s="41">
        <f t="shared" si="0"/>
        <v>99645.079999999987</v>
      </c>
      <c r="O29" s="38">
        <f>+Grow!H43</f>
        <v>99645.079999999973</v>
      </c>
      <c r="P29" s="38">
        <f t="shared" si="1"/>
        <v>0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</row>
    <row r="30" spans="1:56" ht="24.95" customHeight="1" x14ac:dyDescent="0.25">
      <c r="A30" s="29" t="s">
        <v>52</v>
      </c>
      <c r="B30" s="40">
        <v>0</v>
      </c>
      <c r="C30" s="40">
        <v>0</v>
      </c>
      <c r="D30" s="40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f>SUM('Abonos a tratamientos'!H3:H4)</f>
        <v>90</v>
      </c>
      <c r="K30" s="45">
        <v>0</v>
      </c>
      <c r="L30" s="45">
        <f>SUM('Abonos a tratamientos'!H5)</f>
        <v>30</v>
      </c>
      <c r="M30" s="45">
        <v>0</v>
      </c>
      <c r="N30" s="41">
        <f t="shared" si="0"/>
        <v>120</v>
      </c>
      <c r="O30" s="38">
        <f>+'Abonos a tratamientos'!H6</f>
        <v>120</v>
      </c>
      <c r="P30" s="38">
        <f t="shared" si="1"/>
        <v>0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</row>
    <row r="31" spans="1:56" ht="24.95" customHeight="1" x14ac:dyDescent="0.25">
      <c r="A31" s="29" t="s">
        <v>53</v>
      </c>
      <c r="B31" s="40">
        <v>0</v>
      </c>
      <c r="C31" s="40">
        <v>0</v>
      </c>
      <c r="D31" s="40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f>SUM('Celulas madre'!H3)</f>
        <v>19050</v>
      </c>
      <c r="L31" s="45">
        <f>SUM('Celulas madre'!H4)</f>
        <v>19050</v>
      </c>
      <c r="M31" s="45">
        <v>0</v>
      </c>
      <c r="N31" s="41">
        <f t="shared" si="0"/>
        <v>38100</v>
      </c>
      <c r="O31" s="38">
        <f>+'Celulas madre'!H5</f>
        <v>38100</v>
      </c>
      <c r="P31" s="38">
        <f t="shared" si="1"/>
        <v>0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</row>
    <row r="32" spans="1:56" ht="24.95" customHeight="1" x14ac:dyDescent="0.25">
      <c r="A32" s="29" t="s">
        <v>56</v>
      </c>
      <c r="B32" s="40">
        <v>0</v>
      </c>
      <c r="C32" s="40">
        <v>0</v>
      </c>
      <c r="D32" s="40">
        <f>SUM(Peeling!H3)</f>
        <v>1800</v>
      </c>
      <c r="E32" s="45">
        <v>0</v>
      </c>
      <c r="F32" s="45">
        <v>0</v>
      </c>
      <c r="G32" s="45">
        <f>SUM(Peeling!H4:H6)</f>
        <v>6850</v>
      </c>
      <c r="H32" s="45">
        <f>SUM(Peeling!H7)</f>
        <v>849.99900000000002</v>
      </c>
      <c r="I32" s="45">
        <v>0</v>
      </c>
      <c r="J32" s="45">
        <f>SUM(Peeling!H8:H9)</f>
        <v>2190</v>
      </c>
      <c r="K32" s="45">
        <f>SUM(Peeling!H10)</f>
        <v>1800</v>
      </c>
      <c r="L32" s="45">
        <v>0</v>
      </c>
      <c r="M32" s="45">
        <v>0</v>
      </c>
      <c r="N32" s="41">
        <f t="shared" si="0"/>
        <v>13489.999</v>
      </c>
      <c r="O32" s="38">
        <f>+Peeling!H11</f>
        <v>13489.999</v>
      </c>
      <c r="P32" s="38">
        <f t="shared" si="1"/>
        <v>0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</row>
    <row r="33" spans="1:56" ht="24.95" customHeight="1" x14ac:dyDescent="0.25">
      <c r="A33" s="29" t="s">
        <v>57</v>
      </c>
      <c r="B33" s="40">
        <f>SUM('Spectra ginecologico'!H3:H4)</f>
        <v>10000</v>
      </c>
      <c r="C33" s="40">
        <v>0</v>
      </c>
      <c r="D33" s="40">
        <v>0</v>
      </c>
      <c r="E33" s="45">
        <v>0</v>
      </c>
      <c r="F33" s="45">
        <f>SUM('Spectra ginecologico'!H5)</f>
        <v>5000</v>
      </c>
      <c r="G33" s="45">
        <f>SUM('Spectra ginecologico'!H6)</f>
        <v>5500</v>
      </c>
      <c r="H33" s="45">
        <v>0</v>
      </c>
      <c r="I33" s="45">
        <f>SUM('Spectra ginecologico'!H7)</f>
        <v>5000</v>
      </c>
      <c r="J33" s="45">
        <v>0</v>
      </c>
      <c r="K33" s="45">
        <v>0</v>
      </c>
      <c r="L33" s="45">
        <v>0</v>
      </c>
      <c r="M33" s="45">
        <v>0</v>
      </c>
      <c r="N33" s="41">
        <f t="shared" si="0"/>
        <v>25500</v>
      </c>
      <c r="O33" s="38">
        <f>+'Spectra ginecologico'!H8</f>
        <v>25500</v>
      </c>
      <c r="P33" s="38">
        <f t="shared" si="1"/>
        <v>0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</row>
    <row r="34" spans="1:56" ht="24.95" customHeight="1" x14ac:dyDescent="0.25">
      <c r="A34" s="29" t="s">
        <v>59</v>
      </c>
      <c r="B34" s="40">
        <v>0</v>
      </c>
      <c r="C34" s="40">
        <v>0</v>
      </c>
      <c r="D34" s="40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1">
        <f t="shared" ref="N34:N51" si="2">SUM(B34:M34)</f>
        <v>0</v>
      </c>
      <c r="O34" s="38">
        <f>+'Eliminación de lunares'!H4:H4</f>
        <v>0</v>
      </c>
      <c r="P34" s="38">
        <f t="shared" si="1"/>
        <v>0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</row>
    <row r="35" spans="1:56" ht="24.95" customHeight="1" x14ac:dyDescent="0.25">
      <c r="A35" s="29" t="s">
        <v>60</v>
      </c>
      <c r="B35" s="40">
        <v>0</v>
      </c>
      <c r="C35" s="40">
        <v>0</v>
      </c>
      <c r="D35" s="40">
        <f>SUM(Botox!H3:H120)</f>
        <v>254972.98966000002</v>
      </c>
      <c r="E35" s="45">
        <v>0</v>
      </c>
      <c r="F35" s="45">
        <v>0</v>
      </c>
      <c r="G35" s="45">
        <v>0</v>
      </c>
      <c r="H35" s="45">
        <f>SUM(Botox!H121:H228)</f>
        <v>264219.99949999998</v>
      </c>
      <c r="I35" s="45">
        <v>0</v>
      </c>
      <c r="J35" s="45">
        <f>SUM(Botox!H229:H231)</f>
        <v>10835</v>
      </c>
      <c r="K35" s="45">
        <f>SUM(Botox!H232:H233)</f>
        <v>1935</v>
      </c>
      <c r="L35" s="45">
        <f>SUM(Botox!H234:H364)</f>
        <v>311523.99489999999</v>
      </c>
      <c r="M35" s="45">
        <v>0</v>
      </c>
      <c r="N35" s="41">
        <f t="shared" si="2"/>
        <v>843486.98405999993</v>
      </c>
      <c r="O35" s="38">
        <f>+Botox!H365</f>
        <v>843486.98406000005</v>
      </c>
      <c r="P35" s="38">
        <f t="shared" si="1"/>
        <v>0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</row>
    <row r="36" spans="1:56" ht="24.95" customHeight="1" x14ac:dyDescent="0.25">
      <c r="A36" s="29" t="s">
        <v>61</v>
      </c>
      <c r="B36" s="40">
        <v>0</v>
      </c>
      <c r="C36" s="40">
        <v>0</v>
      </c>
      <c r="D36" s="40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1">
        <f t="shared" si="2"/>
        <v>0</v>
      </c>
      <c r="O36" s="38">
        <f>+Encimas!H4</f>
        <v>0</v>
      </c>
      <c r="P36" s="38">
        <f t="shared" si="1"/>
        <v>0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</row>
    <row r="37" spans="1:56" ht="24.95" customHeight="1" x14ac:dyDescent="0.25">
      <c r="A37" s="29" t="s">
        <v>62</v>
      </c>
      <c r="B37" s="40">
        <v>0</v>
      </c>
      <c r="C37" s="40">
        <f>SUM('Cambio de tratamiento'!H3)</f>
        <v>215</v>
      </c>
      <c r="D37" s="40">
        <v>0</v>
      </c>
      <c r="E37" s="45">
        <v>0</v>
      </c>
      <c r="F37" s="45">
        <v>0</v>
      </c>
      <c r="G37" s="45">
        <f>SUM('Cambio de tratamiento'!H4:H5)</f>
        <v>430</v>
      </c>
      <c r="H37" s="45">
        <f>SUM('Cambio de tratamiento'!H6)</f>
        <v>834</v>
      </c>
      <c r="I37" s="45">
        <v>0</v>
      </c>
      <c r="J37" s="45">
        <v>0</v>
      </c>
      <c r="K37" s="45">
        <v>0</v>
      </c>
      <c r="L37" s="45">
        <f>SUM('Cambio de tratamiento'!H7)</f>
        <v>800</v>
      </c>
      <c r="M37" s="45">
        <v>0</v>
      </c>
      <c r="N37" s="41">
        <f t="shared" si="2"/>
        <v>2279</v>
      </c>
      <c r="O37" s="38">
        <f>+'Cambio de tratamiento'!H8</f>
        <v>2279</v>
      </c>
      <c r="P37" s="38">
        <f t="shared" si="1"/>
        <v>0</v>
      </c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</row>
    <row r="38" spans="1:56" ht="24.95" customHeight="1" x14ac:dyDescent="0.25">
      <c r="A38" s="29" t="s">
        <v>63</v>
      </c>
      <c r="B38" s="40">
        <v>0</v>
      </c>
      <c r="C38" s="40">
        <v>0</v>
      </c>
      <c r="D38" s="40">
        <f>SUM(Microdermoabrasión!H3)</f>
        <v>350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f>SUM(Microdermoabrasión!H4)</f>
        <v>350</v>
      </c>
      <c r="L38" s="45">
        <v>0</v>
      </c>
      <c r="M38" s="45">
        <v>0</v>
      </c>
      <c r="N38" s="41">
        <f t="shared" si="2"/>
        <v>700</v>
      </c>
      <c r="O38" s="38">
        <f>+Microdermoabrasión!H5</f>
        <v>700</v>
      </c>
      <c r="P38" s="38">
        <f t="shared" si="1"/>
        <v>0</v>
      </c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</row>
    <row r="39" spans="1:56" ht="24.95" customHeight="1" x14ac:dyDescent="0.25">
      <c r="A39" s="29" t="s">
        <v>65</v>
      </c>
      <c r="B39" s="40">
        <v>0</v>
      </c>
      <c r="C39" s="40">
        <v>0</v>
      </c>
      <c r="D39" s="40">
        <v>0</v>
      </c>
      <c r="E39" s="45">
        <v>0</v>
      </c>
      <c r="F39" s="45">
        <f>SUM('Terapia Luminica'!H3)</f>
        <v>300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1">
        <f t="shared" si="2"/>
        <v>300</v>
      </c>
      <c r="O39" s="38">
        <f>+'Terapia Luminica'!H4</f>
        <v>300</v>
      </c>
      <c r="P39" s="38">
        <f t="shared" si="1"/>
        <v>0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</row>
    <row r="40" spans="1:56" ht="24.95" customHeight="1" x14ac:dyDescent="0.25">
      <c r="A40" s="29" t="s">
        <v>67</v>
      </c>
      <c r="B40" s="40">
        <f>SUM(Oscilación!H3:H6)</f>
        <v>4250</v>
      </c>
      <c r="C40" s="40">
        <f>SUM(Oscilación!H7)</f>
        <v>5000</v>
      </c>
      <c r="D40" s="40">
        <v>0</v>
      </c>
      <c r="E40" s="45">
        <f>SUM(Oscilación!H8:H10)</f>
        <v>7500</v>
      </c>
      <c r="F40" s="45">
        <f>SUM(Oscilación!H11:H12)</f>
        <v>4500</v>
      </c>
      <c r="G40" s="45">
        <f>SUM(Oscilación!H13:H18)</f>
        <v>14000</v>
      </c>
      <c r="H40" s="45">
        <f>SUM(Oscilación!H19:H20)</f>
        <v>6500</v>
      </c>
      <c r="I40" s="45">
        <f>SUM(Oscilación!H21:H28)</f>
        <v>24000</v>
      </c>
      <c r="J40" s="45">
        <f>SUM(Oscilación!H29:H37)</f>
        <v>21500</v>
      </c>
      <c r="K40" s="45">
        <f>SUM(Oscilación!H38:H44)</f>
        <v>11000</v>
      </c>
      <c r="L40" s="45">
        <f>SUM(Oscilación!H45:H49)</f>
        <v>11000</v>
      </c>
      <c r="M40" s="45">
        <f>SUM(Oscilación!H50:H56)</f>
        <v>16500</v>
      </c>
      <c r="N40" s="41">
        <f t="shared" si="2"/>
        <v>125750</v>
      </c>
      <c r="O40" s="38">
        <f>+Oscilación!H57</f>
        <v>125750</v>
      </c>
      <c r="P40" s="38">
        <f t="shared" si="1"/>
        <v>0</v>
      </c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</row>
    <row r="41" spans="1:56" ht="24.95" customHeight="1" x14ac:dyDescent="0.25">
      <c r="A41" s="29" t="s">
        <v>69</v>
      </c>
      <c r="B41" s="40">
        <f>SUM(Sueros!H3:H11)</f>
        <v>9450</v>
      </c>
      <c r="C41" s="40">
        <f>SUM(Sueros!H12:H17)</f>
        <v>4415</v>
      </c>
      <c r="D41" s="40">
        <f>SUM(Sueros!H18:H22)</f>
        <v>3750</v>
      </c>
      <c r="E41" s="45">
        <f>SUM(Sueros!H23:H26)</f>
        <v>4500</v>
      </c>
      <c r="F41" s="45">
        <f>SUM(Sueros!H27:H30)</f>
        <v>5050</v>
      </c>
      <c r="G41" s="45">
        <f>SUM(Sueros!H31:H37)</f>
        <v>8600</v>
      </c>
      <c r="H41" s="45">
        <f>SUM(Sueros!H38:H41)</f>
        <v>6050</v>
      </c>
      <c r="I41" s="45">
        <f>SUM(Sueros!H42:H48)</f>
        <v>8360</v>
      </c>
      <c r="J41" s="45">
        <f>SUM(Sueros!H49:H53)</f>
        <v>7250</v>
      </c>
      <c r="K41" s="45">
        <f>SUM(Sueros!H54:H58)</f>
        <v>3485</v>
      </c>
      <c r="L41" s="45">
        <f>SUM(Sueros!H59:H61)</f>
        <v>2200</v>
      </c>
      <c r="M41" s="45">
        <f>SUM(Sueros!H62:H67)</f>
        <v>6600</v>
      </c>
      <c r="N41" s="41">
        <f t="shared" si="2"/>
        <v>69710</v>
      </c>
      <c r="O41" s="38">
        <f>+Sueros!H68</f>
        <v>69710</v>
      </c>
      <c r="P41" s="38">
        <f>+O41-N41</f>
        <v>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</row>
    <row r="42" spans="1:56" ht="24.95" customHeight="1" x14ac:dyDescent="0.25">
      <c r="A42" s="29" t="s">
        <v>71</v>
      </c>
      <c r="B42" s="40">
        <v>0</v>
      </c>
      <c r="C42" s="40">
        <v>0</v>
      </c>
      <c r="D42" s="40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1">
        <f t="shared" si="2"/>
        <v>0</v>
      </c>
      <c r="O42" s="38">
        <f>+Presoterapia!H4</f>
        <v>0</v>
      </c>
      <c r="P42" s="38">
        <f t="shared" ref="P42:P51" si="3">+N42-O42</f>
        <v>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</row>
    <row r="43" spans="1:56" ht="24.95" customHeight="1" x14ac:dyDescent="0.25">
      <c r="A43" s="29" t="s">
        <v>76</v>
      </c>
      <c r="B43" s="40">
        <v>0</v>
      </c>
      <c r="C43" s="40">
        <v>0</v>
      </c>
      <c r="D43" s="40">
        <v>0</v>
      </c>
      <c r="E43" s="45">
        <v>0</v>
      </c>
      <c r="F43" s="45">
        <v>0</v>
      </c>
      <c r="G43" s="45">
        <v>0</v>
      </c>
      <c r="H43" s="45">
        <v>0</v>
      </c>
      <c r="I43" s="45">
        <f>SUM(Nioo!H3:H4)</f>
        <v>4900</v>
      </c>
      <c r="J43" s="45">
        <v>0</v>
      </c>
      <c r="K43" s="45">
        <v>0</v>
      </c>
      <c r="L43" s="45">
        <v>0</v>
      </c>
      <c r="M43" s="45">
        <v>0</v>
      </c>
      <c r="N43" s="41">
        <f t="shared" si="2"/>
        <v>4900</v>
      </c>
      <c r="O43" s="38">
        <f>+Nioo!H5</f>
        <v>4900</v>
      </c>
      <c r="P43" s="38">
        <f t="shared" si="3"/>
        <v>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</row>
    <row r="44" spans="1:56" ht="24.95" customHeight="1" x14ac:dyDescent="0.25">
      <c r="A44" s="29" t="s">
        <v>88</v>
      </c>
      <c r="B44" s="40">
        <f>SUM(Sedación!H3:H4)</f>
        <v>800</v>
      </c>
      <c r="C44" s="40">
        <v>0</v>
      </c>
      <c r="D44" s="40">
        <f>SUM(Sedación!H5:H6)</f>
        <v>800</v>
      </c>
      <c r="E44" s="45">
        <f>SUM(Sedación!H7)</f>
        <v>400</v>
      </c>
      <c r="F44" s="45">
        <v>0</v>
      </c>
      <c r="G44" s="45">
        <v>0</v>
      </c>
      <c r="H44" s="45">
        <v>0</v>
      </c>
      <c r="I44" s="45">
        <v>0</v>
      </c>
      <c r="J44" s="45">
        <f>SUM(Sedación!H8)</f>
        <v>800</v>
      </c>
      <c r="K44" s="45">
        <f>SUM(Sedación!H9)</f>
        <v>400</v>
      </c>
      <c r="L44" s="45">
        <f>SUM(Sedación!H10)</f>
        <v>400</v>
      </c>
      <c r="M44" s="45">
        <f>SUM(Sedación!H11)</f>
        <v>400</v>
      </c>
      <c r="N44" s="41">
        <f t="shared" si="2"/>
        <v>4000</v>
      </c>
      <c r="O44" s="38">
        <f>+Sedación!H12</f>
        <v>4000</v>
      </c>
      <c r="P44" s="38">
        <f t="shared" si="3"/>
        <v>0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</row>
    <row r="45" spans="1:56" ht="24.95" customHeight="1" x14ac:dyDescent="0.25">
      <c r="A45" s="29" t="s">
        <v>108</v>
      </c>
      <c r="B45" s="40">
        <v>0</v>
      </c>
      <c r="C45" s="40">
        <v>0</v>
      </c>
      <c r="D45" s="40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1">
        <f t="shared" si="2"/>
        <v>0</v>
      </c>
      <c r="O45" s="38">
        <f>+'Masaje reflexologia'!H4</f>
        <v>0</v>
      </c>
      <c r="P45" s="38">
        <f t="shared" si="3"/>
        <v>0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</row>
    <row r="46" spans="1:56" ht="24.95" customHeight="1" x14ac:dyDescent="0.25">
      <c r="A46" s="29" t="s">
        <v>109</v>
      </c>
      <c r="B46" s="40">
        <f>SUM('Intrasure post-operatorio'!H3:H6)</f>
        <v>7250</v>
      </c>
      <c r="C46" s="40">
        <f>SUM('Intrasure post-operatorio'!H7:H9)</f>
        <v>9000</v>
      </c>
      <c r="D46" s="40">
        <f>SUM('Intrasure post-operatorio'!H10:H13)</f>
        <v>20000</v>
      </c>
      <c r="E46" s="45">
        <f>SUM('Intrasure post-operatorio'!H14:H18)</f>
        <v>17000</v>
      </c>
      <c r="F46" s="45">
        <f>SUM('Intrasure post-operatorio'!H19:H22)</f>
        <v>11500</v>
      </c>
      <c r="G46" s="45">
        <f>SUM('Intrasure post-operatorio'!H23:H30)</f>
        <v>14000</v>
      </c>
      <c r="H46" s="45">
        <f>SUM('Intrasure post-operatorio'!H31:H35)</f>
        <v>15500</v>
      </c>
      <c r="I46" s="45">
        <f>SUM('Intrasure post-operatorio'!H36:H43)</f>
        <v>17500</v>
      </c>
      <c r="J46" s="45">
        <f>SUM('Intrasure post-operatorio'!H44:H53)</f>
        <v>24500</v>
      </c>
      <c r="K46" s="45">
        <f>SUM('Intrasure post-operatorio'!H54:H62)</f>
        <v>18500</v>
      </c>
      <c r="L46" s="45">
        <f>SUM('Intrasure post-operatorio'!H63:H69)</f>
        <v>14000</v>
      </c>
      <c r="M46" s="45">
        <f>SUM('Intrasure post-operatorio'!H70:H75)</f>
        <v>14000</v>
      </c>
      <c r="N46" s="41">
        <f t="shared" si="2"/>
        <v>182750</v>
      </c>
      <c r="O46" s="38">
        <f>+'Intrasure post-operatorio'!H76</f>
        <v>182750</v>
      </c>
      <c r="P46" s="38">
        <f t="shared" si="3"/>
        <v>0</v>
      </c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</row>
    <row r="47" spans="1:56" ht="24.95" customHeight="1" x14ac:dyDescent="0.25">
      <c r="A47" s="29" t="s">
        <v>114</v>
      </c>
      <c r="B47" s="40">
        <v>0</v>
      </c>
      <c r="C47" s="40">
        <f>SUM(Mascarilla!H3:H6)</f>
        <v>2450</v>
      </c>
      <c r="D47" s="40">
        <f>SUM(Mascarilla!H7)</f>
        <v>550</v>
      </c>
      <c r="E47" s="45">
        <v>0</v>
      </c>
      <c r="F47" s="45">
        <v>0</v>
      </c>
      <c r="G47" s="45">
        <v>0</v>
      </c>
      <c r="H47" s="45">
        <v>0</v>
      </c>
      <c r="I47" s="45">
        <f>SUM(Mascarilla!H8)</f>
        <v>1500</v>
      </c>
      <c r="J47" s="45">
        <v>0</v>
      </c>
      <c r="K47" s="45">
        <f>SUM(Mascarilla!H9:H10)</f>
        <v>1800</v>
      </c>
      <c r="L47" s="45">
        <f>SUM(Mascarilla!H11:H12)</f>
        <v>2600</v>
      </c>
      <c r="M47" s="45">
        <f>SUM(Mascarilla!H13)</f>
        <v>1500</v>
      </c>
      <c r="N47" s="41">
        <f t="shared" si="2"/>
        <v>10400</v>
      </c>
      <c r="O47" s="38">
        <f>SUM(Mascarilla!H14)</f>
        <v>10400</v>
      </c>
      <c r="P47" s="38">
        <f t="shared" si="3"/>
        <v>0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</row>
    <row r="48" spans="1:56" ht="24.95" customHeight="1" x14ac:dyDescent="0.25">
      <c r="A48" s="29" t="s">
        <v>110</v>
      </c>
      <c r="B48" s="40">
        <f>SUM('Hifu Ultra-forme'!H3:H4)</f>
        <v>7800</v>
      </c>
      <c r="C48" s="40">
        <v>0</v>
      </c>
      <c r="D48" s="40">
        <f>SUM('Hifu Ultra-forme'!H5:H7)</f>
        <v>8600</v>
      </c>
      <c r="E48" s="45">
        <f>SUM('Hifu Ultra-forme'!H8:H10)</f>
        <v>8200</v>
      </c>
      <c r="F48" s="45">
        <v>0</v>
      </c>
      <c r="G48" s="45">
        <f>SUM('Hifu Ultra-forme'!H11)</f>
        <v>8600</v>
      </c>
      <c r="H48" s="45">
        <v>0</v>
      </c>
      <c r="I48" s="45">
        <f>SUM('Hifu Ultra-forme'!H12:H14)</f>
        <v>8600</v>
      </c>
      <c r="J48" s="45">
        <v>0</v>
      </c>
      <c r="K48" s="45">
        <v>0</v>
      </c>
      <c r="L48" s="45">
        <v>0</v>
      </c>
      <c r="M48" s="45">
        <f>SUM('Hifu Ultra-forme'!H15:H18)</f>
        <v>10400</v>
      </c>
      <c r="N48" s="41">
        <f t="shared" si="2"/>
        <v>52200</v>
      </c>
      <c r="O48" s="38">
        <f>+'Hifu Ultra-forme'!H19</f>
        <v>52200</v>
      </c>
      <c r="P48" s="38">
        <f t="shared" ref="P48" si="4">+N48-O48</f>
        <v>0</v>
      </c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</row>
    <row r="49" spans="1:56" ht="24.95" customHeight="1" x14ac:dyDescent="0.25">
      <c r="A49" s="29" t="s">
        <v>119</v>
      </c>
      <c r="B49" s="40">
        <f>SUM(Powershape!H3:H8)</f>
        <v>20228</v>
      </c>
      <c r="C49" s="40">
        <f>SUM(Powershape!H9:H10)</f>
        <v>6000</v>
      </c>
      <c r="D49" s="40">
        <f>SUM(Powershape!H11)</f>
        <v>3744</v>
      </c>
      <c r="E49" s="45">
        <f>SUM(Powershape!H12)</f>
        <v>3000</v>
      </c>
      <c r="F49" s="45">
        <f>SUM(Powershape!H13)</f>
        <v>3600</v>
      </c>
      <c r="G49" s="45">
        <v>0</v>
      </c>
      <c r="H49" s="45">
        <v>0</v>
      </c>
      <c r="I49" s="45">
        <f>SUM(Powershape!H14:H16)</f>
        <v>9420</v>
      </c>
      <c r="J49" s="45">
        <f>SUM(Powershape!H17:H20)</f>
        <v>15900</v>
      </c>
      <c r="K49" s="45">
        <v>0</v>
      </c>
      <c r="L49" s="45">
        <f>SUM(Powershape!H21)</f>
        <v>3000</v>
      </c>
      <c r="M49" s="45">
        <v>0</v>
      </c>
      <c r="N49" s="41">
        <f t="shared" si="2"/>
        <v>64892</v>
      </c>
      <c r="O49" s="38">
        <f>+Powershape!H22</f>
        <v>64892</v>
      </c>
      <c r="P49" s="38">
        <f t="shared" si="3"/>
        <v>0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</row>
    <row r="50" spans="1:56" ht="24.95" customHeight="1" x14ac:dyDescent="0.25">
      <c r="A50" s="29" t="s">
        <v>137</v>
      </c>
      <c r="B50" s="40">
        <f>SUM('Emsculpt NEO'!H3:H8)</f>
        <v>30000</v>
      </c>
      <c r="C50" s="40">
        <f>SUM('Emsculpt NEO'!H9:H16)</f>
        <v>40000</v>
      </c>
      <c r="D50" s="40">
        <f>SUM('Emsculpt NEO'!H17:H18)</f>
        <v>5000</v>
      </c>
      <c r="E50" s="40">
        <f>SUM('Emsculpt NEO'!H19:H20)</f>
        <v>10000</v>
      </c>
      <c r="F50" s="40">
        <f>SUM('Emsculpt NEO'!H21:H28)</f>
        <v>40000</v>
      </c>
      <c r="G50" s="40">
        <f>SUM('Emsculpt NEO'!H29:H32)</f>
        <v>20000</v>
      </c>
      <c r="H50" s="40">
        <f>SUM('Emsculpt NEO'!H33:H46)</f>
        <v>57666</v>
      </c>
      <c r="I50" s="45">
        <f>SUM('Emsculpt NEO'!H47:H52)</f>
        <v>30000</v>
      </c>
      <c r="J50" s="45">
        <f>SUM('Emsculpt NEO'!H53:H56)</f>
        <v>20000</v>
      </c>
      <c r="K50" s="45">
        <f>SUM('Emsculpt NEO'!H57:H64)</f>
        <v>40000</v>
      </c>
      <c r="L50" s="45">
        <f>SUM('Emsculpt NEO'!H65:H68)</f>
        <v>14000</v>
      </c>
      <c r="M50" s="45">
        <v>0</v>
      </c>
      <c r="N50" s="41">
        <f t="shared" si="2"/>
        <v>306666</v>
      </c>
      <c r="O50" s="38">
        <f>+'Emsculpt NEO'!H69</f>
        <v>306666</v>
      </c>
      <c r="P50" s="38">
        <f t="shared" si="3"/>
        <v>0</v>
      </c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</row>
    <row r="51" spans="1:56" ht="24.95" customHeight="1" x14ac:dyDescent="0.25">
      <c r="A51" s="29" t="s">
        <v>138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5"/>
      <c r="J51" s="45">
        <v>0</v>
      </c>
      <c r="K51" s="45">
        <v>0</v>
      </c>
      <c r="L51" s="45">
        <v>0</v>
      </c>
      <c r="M51" s="45">
        <v>0</v>
      </c>
      <c r="N51" s="41">
        <f t="shared" si="2"/>
        <v>0</v>
      </c>
      <c r="O51" s="38">
        <f>+Exion!H4</f>
        <v>0</v>
      </c>
      <c r="P51" s="38">
        <f t="shared" si="3"/>
        <v>0</v>
      </c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</row>
    <row r="52" spans="1:56" ht="24.95" customHeight="1" x14ac:dyDescent="0.25">
      <c r="A52" s="29"/>
      <c r="B52" s="40"/>
      <c r="C52" s="40"/>
      <c r="D52" s="40"/>
      <c r="E52" s="45"/>
      <c r="F52" s="45"/>
      <c r="G52" s="45"/>
      <c r="H52" s="45"/>
      <c r="I52" s="45"/>
      <c r="J52" s="45"/>
      <c r="K52" s="45"/>
      <c r="L52" s="45"/>
      <c r="M52" s="45"/>
      <c r="N52" s="41"/>
      <c r="O52" s="38"/>
      <c r="P52" s="38">
        <f t="shared" si="1"/>
        <v>0</v>
      </c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</row>
    <row r="53" spans="1:56" s="67" customFormat="1" ht="24.95" customHeight="1" x14ac:dyDescent="0.3">
      <c r="A53" s="62" t="s">
        <v>5</v>
      </c>
      <c r="B53" s="63">
        <f t="shared" ref="B53:N53" si="5">SUM(B2:B52)</f>
        <v>396477.59</v>
      </c>
      <c r="C53" s="63">
        <f t="shared" si="5"/>
        <v>429184.09</v>
      </c>
      <c r="D53" s="63">
        <f t="shared" si="5"/>
        <v>593687.32966000005</v>
      </c>
      <c r="E53" s="64">
        <f t="shared" si="5"/>
        <v>365521.08800000005</v>
      </c>
      <c r="F53" s="64">
        <f t="shared" si="5"/>
        <v>439831.96899999998</v>
      </c>
      <c r="G53" s="64">
        <f t="shared" si="5"/>
        <v>342523.28</v>
      </c>
      <c r="H53" s="64">
        <f t="shared" si="5"/>
        <v>663922.0882</v>
      </c>
      <c r="I53" s="63">
        <f>SUM(I2:I52)</f>
        <v>342438.08999999997</v>
      </c>
      <c r="J53" s="63">
        <f>SUM(J2:J52)</f>
        <v>387428.08900000004</v>
      </c>
      <c r="K53" s="63">
        <f t="shared" si="5"/>
        <v>349607.58199999994</v>
      </c>
      <c r="L53" s="63">
        <f t="shared" si="5"/>
        <v>667613.76490000007</v>
      </c>
      <c r="M53" s="63">
        <f t="shared" si="5"/>
        <v>271773.18</v>
      </c>
      <c r="N53" s="65">
        <f t="shared" si="5"/>
        <v>5250008.1407599999</v>
      </c>
      <c r="O53" s="66">
        <f>SUM(O2:O52)</f>
        <v>5250008.1407599999</v>
      </c>
      <c r="P53" s="66">
        <f t="shared" si="1"/>
        <v>0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1:56" s="67" customFormat="1" ht="18.75" x14ac:dyDescent="0.3">
      <c r="B54" s="68">
        <f>+'[1]Enero 25'!$B$128</f>
        <v>396477.59</v>
      </c>
      <c r="C54" s="68">
        <f>+'[1]Febrero 25'!$B$155</f>
        <v>429184.08999999997</v>
      </c>
      <c r="D54" s="68">
        <f>+'[1]Marzo 25'!$B$259</f>
        <v>593687.34</v>
      </c>
      <c r="E54" s="69">
        <f>+'[1]Abril 25'!$B$124</f>
        <v>365521.09</v>
      </c>
      <c r="F54" s="69">
        <f>+'[1]Mayo 25'!$B$156</f>
        <v>439831.97000000003</v>
      </c>
      <c r="G54" s="69">
        <f>+'[2]DIARIO DEL MES'!$K$141</f>
        <v>342523.28000000009</v>
      </c>
      <c r="H54" s="69">
        <f>+'[3]DIARIO DEL MES'!$K$270</f>
        <v>663922.0882</v>
      </c>
      <c r="I54" s="68">
        <f>+'[4]Agosto 25'!$B$135</f>
        <v>342438.09</v>
      </c>
      <c r="J54" s="68">
        <f>+'[4]Septiembre 25'!$B$144</f>
        <v>387428.08999999997</v>
      </c>
      <c r="K54" s="68">
        <f>+'[4]Octubre 25'!$B$145</f>
        <v>349607.59</v>
      </c>
      <c r="L54" s="68">
        <f>+'[4]Noviembre 25'!$B$274</f>
        <v>667613.77</v>
      </c>
      <c r="M54" s="68">
        <f>+'[4]Diciembre 25'!$D$120</f>
        <v>271773.18</v>
      </c>
      <c r="N54" s="70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1:56" x14ac:dyDescent="0.25">
      <c r="B55" s="42">
        <f t="shared" ref="B55:M55" si="6">+B53-B54</f>
        <v>0</v>
      </c>
      <c r="C55" s="42">
        <f t="shared" si="6"/>
        <v>0</v>
      </c>
      <c r="D55" s="42">
        <f t="shared" si="6"/>
        <v>-1.033999992068857E-2</v>
      </c>
      <c r="E55" s="42">
        <f t="shared" si="6"/>
        <v>-1.9999999785795808E-3</v>
      </c>
      <c r="F55" s="42">
        <f t="shared" si="6"/>
        <v>-1.0000000474974513E-3</v>
      </c>
      <c r="G55" s="42">
        <f t="shared" si="6"/>
        <v>0</v>
      </c>
      <c r="H55" s="42">
        <f t="shared" si="6"/>
        <v>0</v>
      </c>
      <c r="I55" s="42">
        <f t="shared" si="6"/>
        <v>0</v>
      </c>
      <c r="J55" s="42">
        <f t="shared" si="6"/>
        <v>-9.9999993108212948E-4</v>
      </c>
      <c r="K55" s="42">
        <f t="shared" si="6"/>
        <v>-8.0000000889413059E-3</v>
      </c>
      <c r="L55" s="42">
        <f t="shared" si="6"/>
        <v>-5.0999999511986971E-3</v>
      </c>
      <c r="M55" s="42">
        <f t="shared" si="6"/>
        <v>0</v>
      </c>
    </row>
  </sheetData>
  <pageMargins left="0.7" right="0.7" top="0.75" bottom="0.75" header="0.3" footer="0.3"/>
  <pageSetup paperSize="9" orientation="portrait" horizontalDpi="120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H306"/>
  <sheetViews>
    <sheetView workbookViewId="0">
      <pane ySplit="2" topLeftCell="A285" activePane="bottomLeft" state="frozen"/>
      <selection activeCell="E54" sqref="E54"/>
      <selection pane="bottomLeft" activeCell="B286" sqref="B286:H299"/>
    </sheetView>
  </sheetViews>
  <sheetFormatPr baseColWidth="10" defaultColWidth="9.140625" defaultRowHeight="15" x14ac:dyDescent="0.25"/>
  <cols>
    <col min="1" max="1" width="11.42578125" bestFit="1" customWidth="1"/>
    <col min="2" max="2" width="12.7109375" bestFit="1" customWidth="1"/>
    <col min="3" max="3" width="17.42578125" customWidth="1"/>
    <col min="4" max="4" width="11" customWidth="1"/>
    <col min="5" max="5" width="36.140625" bestFit="1" customWidth="1"/>
    <col min="6" max="6" width="99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0" t="s">
        <v>36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1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51"/>
      <c r="B3" s="2">
        <v>45666</v>
      </c>
      <c r="C3" s="3">
        <v>3619245563</v>
      </c>
      <c r="D3" s="3">
        <v>1</v>
      </c>
      <c r="E3" s="4" t="s">
        <v>146</v>
      </c>
      <c r="F3" s="19" t="s">
        <v>96</v>
      </c>
      <c r="G3" s="5" t="s">
        <v>7</v>
      </c>
      <c r="H3" s="6">
        <v>850</v>
      </c>
    </row>
    <row r="4" spans="1:8" ht="20.100000000000001" customHeight="1" x14ac:dyDescent="0.25">
      <c r="A4" s="51"/>
      <c r="B4" s="2">
        <v>45670</v>
      </c>
      <c r="C4" s="3">
        <v>75580753</v>
      </c>
      <c r="D4" s="3">
        <v>1</v>
      </c>
      <c r="E4" s="4" t="s">
        <v>147</v>
      </c>
      <c r="F4" s="19" t="s">
        <v>144</v>
      </c>
      <c r="G4" s="5" t="s">
        <v>6</v>
      </c>
      <c r="H4" s="6">
        <v>999</v>
      </c>
    </row>
    <row r="5" spans="1:8" ht="15.75" x14ac:dyDescent="0.25">
      <c r="A5" s="51"/>
      <c r="B5" s="2">
        <v>45671</v>
      </c>
      <c r="C5" s="3">
        <v>3937813574</v>
      </c>
      <c r="D5" s="3">
        <v>1</v>
      </c>
      <c r="E5" s="4" t="s">
        <v>78</v>
      </c>
      <c r="F5" s="19" t="s">
        <v>96</v>
      </c>
      <c r="G5" s="5" t="s">
        <v>7</v>
      </c>
      <c r="H5" s="6">
        <v>850</v>
      </c>
    </row>
    <row r="6" spans="1:8" ht="24" customHeight="1" x14ac:dyDescent="0.25">
      <c r="A6" s="51"/>
      <c r="B6" s="2">
        <v>45673</v>
      </c>
      <c r="C6" s="3">
        <v>3707455606</v>
      </c>
      <c r="D6" s="3">
        <v>1</v>
      </c>
      <c r="E6" s="4" t="s">
        <v>148</v>
      </c>
      <c r="F6" s="19" t="s">
        <v>149</v>
      </c>
      <c r="G6" s="5" t="s">
        <v>7</v>
      </c>
      <c r="H6" s="6">
        <v>629</v>
      </c>
    </row>
    <row r="7" spans="1:8" ht="20.100000000000001" customHeight="1" x14ac:dyDescent="0.25">
      <c r="A7" s="51"/>
      <c r="B7" s="2">
        <v>45673</v>
      </c>
      <c r="C7" s="3">
        <v>3707455606</v>
      </c>
      <c r="D7" s="3">
        <v>1</v>
      </c>
      <c r="E7" s="4" t="s">
        <v>148</v>
      </c>
      <c r="F7" s="19" t="s">
        <v>199</v>
      </c>
      <c r="G7" s="5" t="s">
        <v>7</v>
      </c>
      <c r="H7" s="6">
        <v>250</v>
      </c>
    </row>
    <row r="8" spans="1:8" ht="20.100000000000001" customHeight="1" x14ac:dyDescent="0.25">
      <c r="A8" s="51"/>
      <c r="B8" s="2">
        <v>45679</v>
      </c>
      <c r="C8" s="3">
        <v>3971368440</v>
      </c>
      <c r="D8" s="3">
        <v>1</v>
      </c>
      <c r="E8" s="4" t="s">
        <v>150</v>
      </c>
      <c r="F8" s="19" t="s">
        <v>144</v>
      </c>
      <c r="G8" s="5" t="s">
        <v>6</v>
      </c>
      <c r="H8" s="6">
        <v>999</v>
      </c>
    </row>
    <row r="9" spans="1:8" ht="20.100000000000001" customHeight="1" x14ac:dyDescent="0.25">
      <c r="A9" s="51"/>
      <c r="B9" s="2">
        <v>45684</v>
      </c>
      <c r="C9" s="3">
        <v>187779292</v>
      </c>
      <c r="D9" s="3">
        <v>1</v>
      </c>
      <c r="E9" s="4" t="s">
        <v>112</v>
      </c>
      <c r="F9" s="19" t="s">
        <v>151</v>
      </c>
      <c r="G9" s="5" t="s">
        <v>6</v>
      </c>
      <c r="H9" s="6">
        <v>385</v>
      </c>
    </row>
    <row r="10" spans="1:8" ht="20.100000000000001" customHeight="1" x14ac:dyDescent="0.25">
      <c r="A10" s="51"/>
      <c r="B10" s="2">
        <v>45694</v>
      </c>
      <c r="C10" s="3">
        <v>1438207168</v>
      </c>
      <c r="D10" s="3">
        <v>1</v>
      </c>
      <c r="E10" s="4" t="s">
        <v>200</v>
      </c>
      <c r="F10" s="19" t="s">
        <v>201</v>
      </c>
      <c r="G10" s="5" t="s">
        <v>7</v>
      </c>
      <c r="H10" s="6">
        <v>1850</v>
      </c>
    </row>
    <row r="11" spans="1:8" ht="20.100000000000001" customHeight="1" x14ac:dyDescent="0.25">
      <c r="A11" s="51"/>
      <c r="B11" s="2">
        <v>45698</v>
      </c>
      <c r="C11" s="3">
        <v>3050456529</v>
      </c>
      <c r="D11" s="3">
        <v>2</v>
      </c>
      <c r="E11" s="4" t="s">
        <v>202</v>
      </c>
      <c r="F11" s="19" t="s">
        <v>203</v>
      </c>
      <c r="G11" s="5" t="s">
        <v>6</v>
      </c>
      <c r="H11" s="6">
        <v>600</v>
      </c>
    </row>
    <row r="12" spans="1:8" ht="20.100000000000001" customHeight="1" x14ac:dyDescent="0.25">
      <c r="A12" s="51"/>
      <c r="B12" s="2">
        <v>45699</v>
      </c>
      <c r="C12" s="3">
        <v>384060451</v>
      </c>
      <c r="D12" s="3">
        <v>1</v>
      </c>
      <c r="E12" s="4" t="s">
        <v>204</v>
      </c>
      <c r="F12" s="19" t="s">
        <v>201</v>
      </c>
      <c r="G12" s="5" t="s">
        <v>7</v>
      </c>
      <c r="H12" s="6">
        <v>1850</v>
      </c>
    </row>
    <row r="13" spans="1:8" ht="20.100000000000001" customHeight="1" x14ac:dyDescent="0.25">
      <c r="A13" s="51"/>
      <c r="B13" s="2">
        <v>45699</v>
      </c>
      <c r="C13" s="3">
        <v>2503757726</v>
      </c>
      <c r="D13" s="3">
        <v>1</v>
      </c>
      <c r="E13" s="4" t="s">
        <v>205</v>
      </c>
      <c r="F13" s="19" t="s">
        <v>206</v>
      </c>
      <c r="G13" s="5" t="s">
        <v>6</v>
      </c>
      <c r="H13" s="6">
        <v>650</v>
      </c>
    </row>
    <row r="14" spans="1:8" ht="20.100000000000001" customHeight="1" x14ac:dyDescent="0.25">
      <c r="A14" s="51"/>
      <c r="B14" s="2">
        <v>45699</v>
      </c>
      <c r="C14" s="3">
        <v>2503757726</v>
      </c>
      <c r="D14" s="3">
        <v>1</v>
      </c>
      <c r="E14" s="4" t="s">
        <v>205</v>
      </c>
      <c r="F14" s="19" t="s">
        <v>207</v>
      </c>
      <c r="G14" s="5" t="s">
        <v>6</v>
      </c>
      <c r="H14" s="6">
        <v>850</v>
      </c>
    </row>
    <row r="15" spans="1:8" ht="20.100000000000001" customHeight="1" x14ac:dyDescent="0.25">
      <c r="A15" s="51"/>
      <c r="B15" s="2">
        <v>45700</v>
      </c>
      <c r="C15" s="3">
        <v>3487452653</v>
      </c>
      <c r="D15" s="3">
        <v>1</v>
      </c>
      <c r="E15" s="4" t="s">
        <v>208</v>
      </c>
      <c r="F15" s="19" t="s">
        <v>209</v>
      </c>
      <c r="G15" s="5" t="s">
        <v>6</v>
      </c>
      <c r="H15" s="6">
        <v>837</v>
      </c>
    </row>
    <row r="16" spans="1:8" ht="20.100000000000001" customHeight="1" x14ac:dyDescent="0.25">
      <c r="A16" s="51"/>
      <c r="B16" s="2">
        <v>45701</v>
      </c>
      <c r="C16" s="3">
        <v>521357786</v>
      </c>
      <c r="D16" s="3">
        <v>1</v>
      </c>
      <c r="E16" s="4" t="s">
        <v>210</v>
      </c>
      <c r="F16" s="19" t="s">
        <v>211</v>
      </c>
      <c r="G16" s="5" t="s">
        <v>6</v>
      </c>
      <c r="H16" s="6">
        <v>950</v>
      </c>
    </row>
    <row r="17" spans="1:8" ht="20.100000000000001" customHeight="1" x14ac:dyDescent="0.25">
      <c r="A17" s="51"/>
      <c r="B17" s="2">
        <v>45701</v>
      </c>
      <c r="C17" s="3">
        <v>521357786</v>
      </c>
      <c r="D17" s="3">
        <v>1</v>
      </c>
      <c r="E17" s="4" t="s">
        <v>210</v>
      </c>
      <c r="F17" s="19" t="s">
        <v>212</v>
      </c>
      <c r="G17" s="5" t="s">
        <v>6</v>
      </c>
      <c r="H17" s="6">
        <v>999</v>
      </c>
    </row>
    <row r="18" spans="1:8" ht="20.100000000000001" customHeight="1" x14ac:dyDescent="0.25">
      <c r="A18" s="51"/>
      <c r="B18" s="2">
        <v>45705</v>
      </c>
      <c r="C18" s="3">
        <v>489832562</v>
      </c>
      <c r="D18" s="3">
        <v>1</v>
      </c>
      <c r="E18" s="4" t="s">
        <v>213</v>
      </c>
      <c r="F18" s="19" t="s">
        <v>214</v>
      </c>
      <c r="G18" s="5" t="s">
        <v>11</v>
      </c>
      <c r="H18" s="6">
        <v>890</v>
      </c>
    </row>
    <row r="19" spans="1:8" ht="20.100000000000001" customHeight="1" x14ac:dyDescent="0.25">
      <c r="A19" s="51"/>
      <c r="B19" s="2">
        <v>45706</v>
      </c>
      <c r="C19" s="3">
        <v>401885088</v>
      </c>
      <c r="D19" s="3">
        <v>1</v>
      </c>
      <c r="E19" s="4" t="s">
        <v>215</v>
      </c>
      <c r="F19" s="19" t="s">
        <v>216</v>
      </c>
      <c r="G19" s="5" t="s">
        <v>7</v>
      </c>
      <c r="H19" s="6">
        <v>385</v>
      </c>
    </row>
    <row r="20" spans="1:8" ht="20.100000000000001" customHeight="1" x14ac:dyDescent="0.25">
      <c r="A20" s="51"/>
      <c r="B20" s="2">
        <v>45706</v>
      </c>
      <c r="C20" s="3">
        <v>2608089056</v>
      </c>
      <c r="D20" s="3">
        <v>1</v>
      </c>
      <c r="E20" s="4" t="s">
        <v>217</v>
      </c>
      <c r="F20" s="19" t="s">
        <v>219</v>
      </c>
      <c r="G20" s="5" t="s">
        <v>7</v>
      </c>
      <c r="H20" s="6">
        <v>587</v>
      </c>
    </row>
    <row r="21" spans="1:8" ht="20.100000000000001" customHeight="1" x14ac:dyDescent="0.25">
      <c r="A21" s="51"/>
      <c r="B21" s="2">
        <v>45706</v>
      </c>
      <c r="C21" s="3">
        <v>2608089056</v>
      </c>
      <c r="D21" s="3">
        <v>1</v>
      </c>
      <c r="E21" s="4" t="s">
        <v>217</v>
      </c>
      <c r="F21" s="19" t="s">
        <v>220</v>
      </c>
      <c r="G21" s="5" t="s">
        <v>7</v>
      </c>
      <c r="H21" s="6">
        <v>587</v>
      </c>
    </row>
    <row r="22" spans="1:8" ht="20.100000000000001" customHeight="1" x14ac:dyDescent="0.25">
      <c r="A22" s="51"/>
      <c r="B22" s="2">
        <v>45707</v>
      </c>
      <c r="C22" s="3">
        <v>544360517</v>
      </c>
      <c r="D22" s="3">
        <v>1</v>
      </c>
      <c r="E22" s="4" t="s">
        <v>218</v>
      </c>
      <c r="F22" s="19" t="s">
        <v>221</v>
      </c>
      <c r="G22" s="5" t="s">
        <v>7</v>
      </c>
      <c r="H22" s="6">
        <v>450</v>
      </c>
    </row>
    <row r="23" spans="1:8" ht="20.100000000000001" customHeight="1" x14ac:dyDescent="0.25">
      <c r="A23" s="51"/>
      <c r="B23" s="2">
        <v>45708</v>
      </c>
      <c r="C23" s="3">
        <v>1313165089</v>
      </c>
      <c r="D23" s="3">
        <v>1</v>
      </c>
      <c r="E23" s="4" t="s">
        <v>89</v>
      </c>
      <c r="F23" s="19" t="s">
        <v>223</v>
      </c>
      <c r="G23" s="5" t="s">
        <v>6</v>
      </c>
      <c r="H23" s="6">
        <v>450</v>
      </c>
    </row>
    <row r="24" spans="1:8" ht="20.100000000000001" customHeight="1" x14ac:dyDescent="0.25">
      <c r="A24" s="51"/>
      <c r="B24" s="2">
        <v>45708</v>
      </c>
      <c r="C24" s="3">
        <v>3435154687</v>
      </c>
      <c r="D24" s="3">
        <v>2</v>
      </c>
      <c r="E24" s="4" t="s">
        <v>222</v>
      </c>
      <c r="F24" s="19" t="s">
        <v>203</v>
      </c>
      <c r="G24" s="5" t="s">
        <v>6</v>
      </c>
      <c r="H24" s="6">
        <v>600</v>
      </c>
    </row>
    <row r="25" spans="1:8" ht="20.100000000000001" customHeight="1" x14ac:dyDescent="0.25">
      <c r="A25" s="51"/>
      <c r="B25" s="2">
        <v>45708</v>
      </c>
      <c r="C25" s="3">
        <v>3435154687</v>
      </c>
      <c r="D25" s="3">
        <v>1</v>
      </c>
      <c r="E25" s="4" t="s">
        <v>222</v>
      </c>
      <c r="F25" s="19" t="s">
        <v>224</v>
      </c>
      <c r="G25" s="5" t="s">
        <v>6</v>
      </c>
      <c r="H25" s="6">
        <v>350</v>
      </c>
    </row>
    <row r="26" spans="1:8" ht="20.100000000000001" customHeight="1" x14ac:dyDescent="0.25">
      <c r="A26" s="51"/>
      <c r="B26" s="2">
        <v>45708</v>
      </c>
      <c r="C26" s="3">
        <v>4272244905</v>
      </c>
      <c r="D26" s="3">
        <v>1</v>
      </c>
      <c r="E26" s="4" t="s">
        <v>205</v>
      </c>
      <c r="F26" s="19" t="s">
        <v>225</v>
      </c>
      <c r="G26" s="5" t="s">
        <v>6</v>
      </c>
      <c r="H26" s="6">
        <v>650</v>
      </c>
    </row>
    <row r="27" spans="1:8" ht="20.100000000000001" customHeight="1" x14ac:dyDescent="0.25">
      <c r="A27" s="51"/>
      <c r="B27" s="2">
        <v>45708</v>
      </c>
      <c r="C27" s="3">
        <v>4272244905</v>
      </c>
      <c r="D27" s="3">
        <v>1</v>
      </c>
      <c r="E27" s="4" t="s">
        <v>205</v>
      </c>
      <c r="F27" s="19" t="s">
        <v>226</v>
      </c>
      <c r="G27" s="5" t="s">
        <v>6</v>
      </c>
      <c r="H27" s="6">
        <v>580</v>
      </c>
    </row>
    <row r="28" spans="1:8" ht="20.100000000000001" customHeight="1" x14ac:dyDescent="0.25">
      <c r="A28" s="51"/>
      <c r="B28" s="2">
        <v>45708</v>
      </c>
      <c r="C28" s="3">
        <v>2388020051</v>
      </c>
      <c r="D28" s="3">
        <v>1</v>
      </c>
      <c r="E28" s="4" t="s">
        <v>210</v>
      </c>
      <c r="F28" s="19" t="s">
        <v>227</v>
      </c>
      <c r="G28" s="5" t="s">
        <v>6</v>
      </c>
      <c r="H28" s="6">
        <v>837</v>
      </c>
    </row>
    <row r="29" spans="1:8" ht="20.100000000000001" customHeight="1" x14ac:dyDescent="0.25">
      <c r="A29" s="51"/>
      <c r="B29" s="2">
        <v>45709</v>
      </c>
      <c r="C29" s="3">
        <v>1799635883</v>
      </c>
      <c r="D29" s="3">
        <v>1</v>
      </c>
      <c r="E29" s="4" t="s">
        <v>170</v>
      </c>
      <c r="F29" s="19" t="s">
        <v>207</v>
      </c>
      <c r="G29" s="5" t="s">
        <v>6</v>
      </c>
      <c r="H29" s="6">
        <v>850</v>
      </c>
    </row>
    <row r="30" spans="1:8" ht="20.100000000000001" customHeight="1" x14ac:dyDescent="0.25">
      <c r="A30" s="51"/>
      <c r="B30" s="2">
        <v>45712</v>
      </c>
      <c r="C30" s="3">
        <v>4115941481</v>
      </c>
      <c r="D30" s="3">
        <v>1</v>
      </c>
      <c r="E30" s="4" t="s">
        <v>228</v>
      </c>
      <c r="F30" s="19" t="s">
        <v>229</v>
      </c>
      <c r="G30" s="5" t="s">
        <v>7</v>
      </c>
      <c r="H30" s="6">
        <v>1500</v>
      </c>
    </row>
    <row r="31" spans="1:8" ht="20.100000000000001" customHeight="1" x14ac:dyDescent="0.25">
      <c r="A31" s="51"/>
      <c r="B31" s="2">
        <v>45713</v>
      </c>
      <c r="C31" s="3">
        <v>401755582</v>
      </c>
      <c r="D31" s="3">
        <v>1</v>
      </c>
      <c r="E31" s="4" t="s">
        <v>230</v>
      </c>
      <c r="F31" s="19" t="s">
        <v>207</v>
      </c>
      <c r="G31" s="5" t="s">
        <v>6</v>
      </c>
      <c r="H31" s="6">
        <v>850</v>
      </c>
    </row>
    <row r="32" spans="1:8" ht="20.100000000000001" customHeight="1" x14ac:dyDescent="0.25">
      <c r="A32" s="51"/>
      <c r="B32" s="2">
        <v>45713</v>
      </c>
      <c r="C32" s="3">
        <v>737230888</v>
      </c>
      <c r="D32" s="3">
        <v>1</v>
      </c>
      <c r="E32" s="4" t="s">
        <v>232</v>
      </c>
      <c r="F32" s="19" t="s">
        <v>233</v>
      </c>
      <c r="G32" s="5" t="s">
        <v>11</v>
      </c>
      <c r="H32" s="6">
        <v>380</v>
      </c>
    </row>
    <row r="33" spans="1:8" ht="20.100000000000001" customHeight="1" x14ac:dyDescent="0.25">
      <c r="A33" s="51"/>
      <c r="B33" s="2">
        <v>45713</v>
      </c>
      <c r="C33" s="3">
        <v>308629250</v>
      </c>
      <c r="D33" s="3">
        <v>1</v>
      </c>
      <c r="E33" s="4" t="s">
        <v>218</v>
      </c>
      <c r="F33" s="19" t="s">
        <v>234</v>
      </c>
      <c r="G33" s="5" t="s">
        <v>11</v>
      </c>
      <c r="H33" s="6">
        <v>450</v>
      </c>
    </row>
    <row r="34" spans="1:8" ht="20.100000000000001" customHeight="1" x14ac:dyDescent="0.25">
      <c r="A34" s="51"/>
      <c r="B34" s="2">
        <v>45715</v>
      </c>
      <c r="C34" s="3">
        <v>1417627373</v>
      </c>
      <c r="D34" s="3">
        <v>1</v>
      </c>
      <c r="E34" s="4" t="s">
        <v>235</v>
      </c>
      <c r="F34" s="19" t="s">
        <v>237</v>
      </c>
      <c r="G34" s="5" t="s">
        <v>7</v>
      </c>
      <c r="H34" s="6">
        <v>1680</v>
      </c>
    </row>
    <row r="35" spans="1:8" ht="20.100000000000001" customHeight="1" x14ac:dyDescent="0.25">
      <c r="A35" s="51"/>
      <c r="B35" s="2">
        <v>45716</v>
      </c>
      <c r="C35" s="3">
        <v>1736196845</v>
      </c>
      <c r="D35" s="3">
        <v>1</v>
      </c>
      <c r="E35" s="4" t="s">
        <v>236</v>
      </c>
      <c r="F35" s="19" t="s">
        <v>223</v>
      </c>
      <c r="G35" s="5" t="s">
        <v>6</v>
      </c>
      <c r="H35" s="6">
        <v>450</v>
      </c>
    </row>
    <row r="36" spans="1:8" ht="20.100000000000001" customHeight="1" x14ac:dyDescent="0.25">
      <c r="A36" s="51"/>
      <c r="B36" s="2">
        <v>45716</v>
      </c>
      <c r="C36" s="3">
        <v>1634881329</v>
      </c>
      <c r="D36" s="3">
        <v>1</v>
      </c>
      <c r="E36" s="4" t="s">
        <v>238</v>
      </c>
      <c r="F36" s="19" t="s">
        <v>239</v>
      </c>
      <c r="G36" s="5" t="s">
        <v>11</v>
      </c>
      <c r="H36" s="6">
        <v>250</v>
      </c>
    </row>
    <row r="37" spans="1:8" ht="20.100000000000001" customHeight="1" x14ac:dyDescent="0.25">
      <c r="A37" s="51"/>
      <c r="B37" s="2">
        <v>45719</v>
      </c>
      <c r="C37" s="3">
        <v>2714324084</v>
      </c>
      <c r="D37" s="3">
        <v>1</v>
      </c>
      <c r="E37" s="4" t="s">
        <v>130</v>
      </c>
      <c r="F37" s="19" t="s">
        <v>207</v>
      </c>
      <c r="G37" s="5" t="s">
        <v>6</v>
      </c>
      <c r="H37" s="6">
        <v>850</v>
      </c>
    </row>
    <row r="38" spans="1:8" ht="20.100000000000001" customHeight="1" x14ac:dyDescent="0.25">
      <c r="A38" s="51"/>
      <c r="B38" s="2">
        <v>45719</v>
      </c>
      <c r="C38" s="3">
        <v>2478589279</v>
      </c>
      <c r="D38" s="3">
        <v>1</v>
      </c>
      <c r="E38" s="4" t="s">
        <v>333</v>
      </c>
      <c r="F38" s="19" t="s">
        <v>207</v>
      </c>
      <c r="G38" s="5" t="s">
        <v>6</v>
      </c>
      <c r="H38" s="6">
        <v>850</v>
      </c>
    </row>
    <row r="39" spans="1:8" ht="20.100000000000001" customHeight="1" x14ac:dyDescent="0.25">
      <c r="A39" s="51"/>
      <c r="B39" s="2">
        <v>45719</v>
      </c>
      <c r="C39" s="3">
        <v>2478589279</v>
      </c>
      <c r="D39" s="3">
        <v>1</v>
      </c>
      <c r="E39" s="4" t="s">
        <v>333</v>
      </c>
      <c r="F39" s="19" t="s">
        <v>334</v>
      </c>
      <c r="G39" s="5" t="s">
        <v>6</v>
      </c>
      <c r="H39" s="6">
        <v>550</v>
      </c>
    </row>
    <row r="40" spans="1:8" ht="15.75" x14ac:dyDescent="0.25">
      <c r="A40" s="51"/>
      <c r="B40" s="2">
        <v>45720</v>
      </c>
      <c r="C40" s="3">
        <v>327306954</v>
      </c>
      <c r="D40" s="3">
        <v>1</v>
      </c>
      <c r="E40" s="4" t="s">
        <v>78</v>
      </c>
      <c r="F40" s="19" t="s">
        <v>144</v>
      </c>
      <c r="G40" s="5" t="s">
        <v>6</v>
      </c>
      <c r="H40" s="6">
        <v>999</v>
      </c>
    </row>
    <row r="41" spans="1:8" ht="15.75" x14ac:dyDescent="0.25">
      <c r="A41" s="51"/>
      <c r="B41" s="2">
        <v>45720</v>
      </c>
      <c r="C41" s="3">
        <v>467553127</v>
      </c>
      <c r="D41" s="3">
        <v>1</v>
      </c>
      <c r="E41" s="4" t="s">
        <v>335</v>
      </c>
      <c r="F41" s="19" t="s">
        <v>239</v>
      </c>
      <c r="G41" s="5" t="s">
        <v>10</v>
      </c>
      <c r="H41" s="6">
        <v>250</v>
      </c>
    </row>
    <row r="42" spans="1:8" ht="20.100000000000001" customHeight="1" x14ac:dyDescent="0.25">
      <c r="A42" s="51"/>
      <c r="B42" s="2">
        <v>45720</v>
      </c>
      <c r="C42" s="3">
        <v>467553127</v>
      </c>
      <c r="D42" s="3">
        <v>1</v>
      </c>
      <c r="E42" s="4" t="s">
        <v>335</v>
      </c>
      <c r="F42" s="19" t="s">
        <v>144</v>
      </c>
      <c r="G42" s="5" t="s">
        <v>10</v>
      </c>
      <c r="H42" s="6">
        <v>1000</v>
      </c>
    </row>
    <row r="43" spans="1:8" ht="20.100000000000001" customHeight="1" x14ac:dyDescent="0.25">
      <c r="A43" s="51"/>
      <c r="B43" s="2">
        <v>45722</v>
      </c>
      <c r="C43" s="3">
        <v>950092699</v>
      </c>
      <c r="D43" s="3">
        <v>1</v>
      </c>
      <c r="E43" s="4" t="s">
        <v>336</v>
      </c>
      <c r="F43" s="19" t="s">
        <v>334</v>
      </c>
      <c r="G43" s="5" t="s">
        <v>6</v>
      </c>
      <c r="H43" s="6">
        <v>550</v>
      </c>
    </row>
    <row r="44" spans="1:8" ht="20.100000000000001" customHeight="1" x14ac:dyDescent="0.25">
      <c r="A44" s="51"/>
      <c r="B44" s="2">
        <v>45722</v>
      </c>
      <c r="C44" s="3">
        <v>172574094</v>
      </c>
      <c r="D44" s="3">
        <v>1</v>
      </c>
      <c r="E44" s="4" t="s">
        <v>337</v>
      </c>
      <c r="F44" s="19" t="s">
        <v>144</v>
      </c>
      <c r="G44" s="5" t="s">
        <v>6</v>
      </c>
      <c r="H44" s="6">
        <v>999</v>
      </c>
    </row>
    <row r="45" spans="1:8" ht="20.100000000000001" customHeight="1" x14ac:dyDescent="0.25">
      <c r="A45" s="51"/>
      <c r="B45" s="2">
        <v>45722</v>
      </c>
      <c r="C45" s="3">
        <v>1742882791</v>
      </c>
      <c r="D45" s="3">
        <v>1</v>
      </c>
      <c r="E45" s="4" t="s">
        <v>338</v>
      </c>
      <c r="F45" s="19" t="s">
        <v>144</v>
      </c>
      <c r="G45" s="5" t="s">
        <v>6</v>
      </c>
      <c r="H45" s="6">
        <v>999</v>
      </c>
    </row>
    <row r="46" spans="1:8" ht="20.100000000000001" customHeight="1" x14ac:dyDescent="0.25">
      <c r="A46" s="51"/>
      <c r="B46" s="2">
        <v>45722</v>
      </c>
      <c r="C46" s="3">
        <v>1742882791</v>
      </c>
      <c r="D46" s="3">
        <v>1</v>
      </c>
      <c r="E46" s="4" t="s">
        <v>338</v>
      </c>
      <c r="F46" s="19" t="s">
        <v>239</v>
      </c>
      <c r="G46" s="5" t="s">
        <v>6</v>
      </c>
      <c r="H46" s="6">
        <v>250</v>
      </c>
    </row>
    <row r="47" spans="1:8" ht="20.100000000000001" customHeight="1" x14ac:dyDescent="0.25">
      <c r="A47" s="51"/>
      <c r="B47" s="2">
        <v>45723</v>
      </c>
      <c r="C47" s="3">
        <v>818562351</v>
      </c>
      <c r="D47" s="3">
        <v>1</v>
      </c>
      <c r="E47" s="4" t="s">
        <v>339</v>
      </c>
      <c r="F47" s="19" t="s">
        <v>207</v>
      </c>
      <c r="G47" s="5" t="s">
        <v>11</v>
      </c>
      <c r="H47" s="6">
        <v>850</v>
      </c>
    </row>
    <row r="48" spans="1:8" ht="20.100000000000001" customHeight="1" x14ac:dyDescent="0.25">
      <c r="A48" s="51"/>
      <c r="B48" s="2">
        <v>45726</v>
      </c>
      <c r="C48" s="3">
        <v>4216603198</v>
      </c>
      <c r="D48" s="3">
        <v>1</v>
      </c>
      <c r="E48" s="4" t="s">
        <v>340</v>
      </c>
      <c r="F48" s="19" t="s">
        <v>239</v>
      </c>
      <c r="G48" s="5" t="s">
        <v>6</v>
      </c>
      <c r="H48" s="6">
        <v>250</v>
      </c>
    </row>
    <row r="49" spans="1:8" ht="20.100000000000001" customHeight="1" x14ac:dyDescent="0.25">
      <c r="A49" s="51"/>
      <c r="B49" s="2">
        <v>45729</v>
      </c>
      <c r="C49" s="3">
        <v>3489481545</v>
      </c>
      <c r="D49" s="3">
        <v>2</v>
      </c>
      <c r="E49" s="4" t="s">
        <v>341</v>
      </c>
      <c r="F49" s="19" t="s">
        <v>342</v>
      </c>
      <c r="G49" s="5" t="s">
        <v>11</v>
      </c>
      <c r="H49" s="6">
        <v>760</v>
      </c>
    </row>
    <row r="50" spans="1:8" ht="20.100000000000001" customHeight="1" x14ac:dyDescent="0.25">
      <c r="A50" s="51"/>
      <c r="B50" s="2">
        <v>45729</v>
      </c>
      <c r="C50" s="3">
        <v>3489481545</v>
      </c>
      <c r="D50" s="3">
        <v>1</v>
      </c>
      <c r="E50" s="4" t="s">
        <v>341</v>
      </c>
      <c r="F50" s="19" t="s">
        <v>342</v>
      </c>
      <c r="G50" s="5" t="s">
        <v>11</v>
      </c>
      <c r="H50" s="6">
        <v>850</v>
      </c>
    </row>
    <row r="51" spans="1:8" ht="20.100000000000001" customHeight="1" x14ac:dyDescent="0.25">
      <c r="A51" s="51"/>
      <c r="B51" s="2">
        <v>45733</v>
      </c>
      <c r="C51" s="3">
        <v>1108558680</v>
      </c>
      <c r="D51" s="3">
        <v>1</v>
      </c>
      <c r="E51" s="4" t="s">
        <v>343</v>
      </c>
      <c r="F51" s="19" t="s">
        <v>144</v>
      </c>
      <c r="G51" s="5" t="s">
        <v>6</v>
      </c>
      <c r="H51" s="6">
        <v>1000</v>
      </c>
    </row>
    <row r="52" spans="1:8" ht="20.100000000000001" customHeight="1" x14ac:dyDescent="0.25">
      <c r="A52" s="51"/>
      <c r="B52" s="2">
        <v>45733</v>
      </c>
      <c r="C52" s="3">
        <v>1108558680</v>
      </c>
      <c r="D52" s="3">
        <v>2</v>
      </c>
      <c r="E52" s="4" t="s">
        <v>343</v>
      </c>
      <c r="F52" s="19" t="s">
        <v>207</v>
      </c>
      <c r="G52" s="5" t="s">
        <v>6</v>
      </c>
      <c r="H52" s="6">
        <v>1700</v>
      </c>
    </row>
    <row r="53" spans="1:8" ht="20.100000000000001" customHeight="1" x14ac:dyDescent="0.25">
      <c r="A53" s="51"/>
      <c r="B53" s="2">
        <v>45733</v>
      </c>
      <c r="C53" s="3">
        <v>846090144</v>
      </c>
      <c r="D53" s="3">
        <v>1</v>
      </c>
      <c r="E53" s="4" t="s">
        <v>344</v>
      </c>
      <c r="F53" s="19" t="s">
        <v>207</v>
      </c>
      <c r="G53" s="5" t="s">
        <v>11</v>
      </c>
      <c r="H53" s="6">
        <v>850</v>
      </c>
    </row>
    <row r="54" spans="1:8" ht="20.100000000000001" customHeight="1" x14ac:dyDescent="0.25">
      <c r="A54" s="51"/>
      <c r="B54" s="2">
        <v>45736</v>
      </c>
      <c r="C54" s="3">
        <v>1541359930</v>
      </c>
      <c r="D54" s="3">
        <v>1</v>
      </c>
      <c r="E54" s="4" t="s">
        <v>345</v>
      </c>
      <c r="F54" s="19" t="s">
        <v>207</v>
      </c>
      <c r="G54" s="5" t="s">
        <v>6</v>
      </c>
      <c r="H54" s="6">
        <v>850</v>
      </c>
    </row>
    <row r="55" spans="1:8" ht="20.100000000000001" customHeight="1" x14ac:dyDescent="0.25">
      <c r="A55" s="51"/>
      <c r="B55" s="2">
        <v>45736</v>
      </c>
      <c r="C55" s="3">
        <v>1541359930</v>
      </c>
      <c r="D55" s="3">
        <v>1</v>
      </c>
      <c r="E55" s="4" t="s">
        <v>345</v>
      </c>
      <c r="F55" s="19" t="s">
        <v>346</v>
      </c>
      <c r="G55" s="5" t="s">
        <v>6</v>
      </c>
      <c r="H55" s="6">
        <v>380</v>
      </c>
    </row>
    <row r="56" spans="1:8" ht="20.100000000000001" customHeight="1" x14ac:dyDescent="0.25">
      <c r="A56" s="51"/>
      <c r="B56" s="2">
        <v>45736</v>
      </c>
      <c r="C56" s="3">
        <v>1997490878</v>
      </c>
      <c r="D56" s="3">
        <v>1</v>
      </c>
      <c r="E56" s="4" t="s">
        <v>347</v>
      </c>
      <c r="F56" s="19" t="s">
        <v>348</v>
      </c>
      <c r="G56" s="5" t="s">
        <v>7</v>
      </c>
      <c r="H56" s="6">
        <v>450</v>
      </c>
    </row>
    <row r="57" spans="1:8" ht="20.100000000000001" customHeight="1" x14ac:dyDescent="0.25">
      <c r="A57" s="51"/>
      <c r="B57" s="2">
        <v>45737</v>
      </c>
      <c r="C57" s="3">
        <v>2298430293</v>
      </c>
      <c r="D57" s="3">
        <v>1</v>
      </c>
      <c r="E57" s="4" t="s">
        <v>349</v>
      </c>
      <c r="F57" s="19" t="s">
        <v>223</v>
      </c>
      <c r="G57" s="5" t="s">
        <v>6</v>
      </c>
      <c r="H57" s="6">
        <v>450</v>
      </c>
    </row>
    <row r="58" spans="1:8" ht="20.100000000000001" customHeight="1" x14ac:dyDescent="0.25">
      <c r="A58" s="51"/>
      <c r="B58" s="2">
        <v>45740</v>
      </c>
      <c r="C58" s="3">
        <v>3987032102</v>
      </c>
      <c r="D58" s="3">
        <v>1</v>
      </c>
      <c r="E58" s="4" t="s">
        <v>350</v>
      </c>
      <c r="F58" s="19" t="s">
        <v>239</v>
      </c>
      <c r="G58" s="5" t="s">
        <v>11</v>
      </c>
      <c r="H58" s="6">
        <v>250</v>
      </c>
    </row>
    <row r="59" spans="1:8" ht="20.100000000000001" customHeight="1" x14ac:dyDescent="0.25">
      <c r="A59" s="51"/>
      <c r="B59" s="2">
        <v>45741</v>
      </c>
      <c r="C59" s="3">
        <v>4027141927</v>
      </c>
      <c r="D59" s="3">
        <v>1</v>
      </c>
      <c r="E59" s="4" t="s">
        <v>351</v>
      </c>
      <c r="F59" s="19" t="s">
        <v>352</v>
      </c>
      <c r="G59" s="5" t="s">
        <v>7</v>
      </c>
      <c r="H59" s="6">
        <v>670</v>
      </c>
    </row>
    <row r="60" spans="1:8" ht="20.100000000000001" customHeight="1" x14ac:dyDescent="0.25">
      <c r="A60" s="51"/>
      <c r="B60" s="2">
        <v>45741</v>
      </c>
      <c r="C60" s="3">
        <v>1247629059</v>
      </c>
      <c r="D60" s="3">
        <v>1</v>
      </c>
      <c r="E60" s="4" t="s">
        <v>353</v>
      </c>
      <c r="F60" s="19" t="s">
        <v>354</v>
      </c>
      <c r="G60" s="5" t="s">
        <v>7</v>
      </c>
      <c r="H60" s="6">
        <v>630</v>
      </c>
    </row>
    <row r="61" spans="1:8" ht="20.100000000000001" customHeight="1" x14ac:dyDescent="0.25">
      <c r="A61" s="51"/>
      <c r="B61" s="2">
        <v>45741</v>
      </c>
      <c r="C61" s="3">
        <v>1247629059</v>
      </c>
      <c r="D61" s="3">
        <v>1</v>
      </c>
      <c r="E61" s="4" t="s">
        <v>353</v>
      </c>
      <c r="F61" s="19" t="s">
        <v>352</v>
      </c>
      <c r="G61" s="5" t="s">
        <v>7</v>
      </c>
      <c r="H61" s="6">
        <v>670</v>
      </c>
    </row>
    <row r="62" spans="1:8" ht="20.100000000000001" customHeight="1" x14ac:dyDescent="0.25">
      <c r="A62" s="51"/>
      <c r="B62" s="2">
        <v>45742</v>
      </c>
      <c r="C62" s="3">
        <v>2451656096</v>
      </c>
      <c r="D62" s="3">
        <v>1</v>
      </c>
      <c r="E62" s="4" t="s">
        <v>355</v>
      </c>
      <c r="F62" s="19" t="s">
        <v>356</v>
      </c>
      <c r="G62" s="5" t="s">
        <v>7</v>
      </c>
      <c r="H62" s="6">
        <v>837</v>
      </c>
    </row>
    <row r="63" spans="1:8" ht="20.100000000000001" customHeight="1" x14ac:dyDescent="0.25">
      <c r="A63" s="51"/>
      <c r="B63" s="2">
        <v>45742</v>
      </c>
      <c r="C63" s="3">
        <v>2434223782</v>
      </c>
      <c r="D63" s="3">
        <v>1</v>
      </c>
      <c r="E63" s="4" t="s">
        <v>357</v>
      </c>
      <c r="F63" s="19" t="s">
        <v>358</v>
      </c>
      <c r="G63" s="5" t="s">
        <v>7</v>
      </c>
      <c r="H63" s="6">
        <v>950</v>
      </c>
    </row>
    <row r="64" spans="1:8" ht="20.100000000000001" customHeight="1" x14ac:dyDescent="0.25">
      <c r="A64" s="51"/>
      <c r="B64" s="2">
        <v>45742</v>
      </c>
      <c r="C64" s="3">
        <v>1885163448</v>
      </c>
      <c r="D64" s="3">
        <v>1</v>
      </c>
      <c r="E64" s="4" t="s">
        <v>359</v>
      </c>
      <c r="F64" s="19" t="s">
        <v>360</v>
      </c>
      <c r="G64" s="5" t="s">
        <v>7</v>
      </c>
      <c r="H64" s="6">
        <v>950</v>
      </c>
    </row>
    <row r="65" spans="1:8" ht="20.100000000000001" customHeight="1" x14ac:dyDescent="0.25">
      <c r="A65" s="51"/>
      <c r="B65" s="2">
        <v>45742</v>
      </c>
      <c r="C65" s="3">
        <v>1885163448</v>
      </c>
      <c r="D65" s="3">
        <v>1</v>
      </c>
      <c r="E65" s="4" t="s">
        <v>359</v>
      </c>
      <c r="F65" s="19" t="s">
        <v>358</v>
      </c>
      <c r="G65" s="5" t="s">
        <v>7</v>
      </c>
      <c r="H65" s="6">
        <v>950</v>
      </c>
    </row>
    <row r="66" spans="1:8" ht="15.75" x14ac:dyDescent="0.25">
      <c r="A66" s="51"/>
      <c r="B66" s="2">
        <v>45742</v>
      </c>
      <c r="C66" s="3">
        <v>1426473401</v>
      </c>
      <c r="D66" s="3">
        <v>1</v>
      </c>
      <c r="E66" s="4" t="s">
        <v>361</v>
      </c>
      <c r="F66" s="19" t="s">
        <v>356</v>
      </c>
      <c r="G66" s="5" t="s">
        <v>7</v>
      </c>
      <c r="H66" s="6">
        <v>837</v>
      </c>
    </row>
    <row r="67" spans="1:8" ht="20.100000000000001" customHeight="1" x14ac:dyDescent="0.25">
      <c r="A67" s="51"/>
      <c r="B67" s="2">
        <v>45742</v>
      </c>
      <c r="C67" s="3">
        <v>373049950</v>
      </c>
      <c r="D67" s="3">
        <v>1</v>
      </c>
      <c r="E67" s="4" t="s">
        <v>362</v>
      </c>
      <c r="F67" s="19" t="s">
        <v>360</v>
      </c>
      <c r="G67" s="5" t="s">
        <v>7</v>
      </c>
      <c r="H67" s="6">
        <v>950</v>
      </c>
    </row>
    <row r="68" spans="1:8" ht="20.100000000000001" customHeight="1" x14ac:dyDescent="0.25">
      <c r="A68" s="51"/>
      <c r="B68" s="2">
        <v>45742</v>
      </c>
      <c r="C68" s="3">
        <v>373049950</v>
      </c>
      <c r="D68" s="3">
        <v>1</v>
      </c>
      <c r="E68" s="4" t="s">
        <v>362</v>
      </c>
      <c r="F68" s="19" t="s">
        <v>358</v>
      </c>
      <c r="G68" s="5" t="s">
        <v>7</v>
      </c>
      <c r="H68" s="6">
        <v>950</v>
      </c>
    </row>
    <row r="69" spans="1:8" ht="20.100000000000001" customHeight="1" x14ac:dyDescent="0.25">
      <c r="A69" s="51"/>
      <c r="B69" s="2">
        <v>45742</v>
      </c>
      <c r="C69" s="3">
        <v>373049950</v>
      </c>
      <c r="D69" s="3">
        <v>1</v>
      </c>
      <c r="E69" s="4" t="s">
        <v>362</v>
      </c>
      <c r="F69" s="19" t="s">
        <v>356</v>
      </c>
      <c r="G69" s="5" t="s">
        <v>7</v>
      </c>
      <c r="H69" s="6">
        <v>837</v>
      </c>
    </row>
    <row r="70" spans="1:8" ht="20.100000000000001" customHeight="1" x14ac:dyDescent="0.25">
      <c r="A70" s="51"/>
      <c r="B70" s="2">
        <v>45743</v>
      </c>
      <c r="C70" s="3">
        <v>2762883719</v>
      </c>
      <c r="D70" s="3">
        <v>1</v>
      </c>
      <c r="E70" s="4" t="s">
        <v>349</v>
      </c>
      <c r="F70" s="19" t="s">
        <v>363</v>
      </c>
      <c r="G70" s="5" t="s">
        <v>7</v>
      </c>
      <c r="H70" s="6">
        <v>611.25</v>
      </c>
    </row>
    <row r="71" spans="1:8" ht="20.100000000000001" customHeight="1" x14ac:dyDescent="0.25">
      <c r="A71" s="51"/>
      <c r="B71" s="2">
        <v>45747</v>
      </c>
      <c r="C71" s="3">
        <v>569788832</v>
      </c>
      <c r="D71" s="3">
        <v>1</v>
      </c>
      <c r="E71" s="4" t="s">
        <v>364</v>
      </c>
      <c r="F71" s="19" t="s">
        <v>144</v>
      </c>
      <c r="G71" s="5" t="s">
        <v>19</v>
      </c>
      <c r="H71" s="6">
        <v>1000</v>
      </c>
    </row>
    <row r="72" spans="1:8" ht="20.100000000000001" customHeight="1" x14ac:dyDescent="0.25">
      <c r="A72" s="51"/>
      <c r="B72" s="2">
        <v>45750</v>
      </c>
      <c r="C72" s="3">
        <v>1858883156</v>
      </c>
      <c r="D72" s="3">
        <v>1</v>
      </c>
      <c r="E72" s="4" t="s">
        <v>515</v>
      </c>
      <c r="F72" s="19" t="s">
        <v>144</v>
      </c>
      <c r="G72" s="5" t="s">
        <v>11</v>
      </c>
      <c r="H72" s="6">
        <v>1000</v>
      </c>
    </row>
    <row r="73" spans="1:8" ht="20.100000000000001" customHeight="1" x14ac:dyDescent="0.25">
      <c r="A73" s="51"/>
      <c r="B73" s="2">
        <v>45754</v>
      </c>
      <c r="C73" s="3">
        <v>2211139111</v>
      </c>
      <c r="D73" s="3">
        <v>1</v>
      </c>
      <c r="E73" s="4" t="s">
        <v>516</v>
      </c>
      <c r="F73" s="19" t="s">
        <v>144</v>
      </c>
      <c r="G73" s="5" t="s">
        <v>6</v>
      </c>
      <c r="H73" s="6">
        <v>1000</v>
      </c>
    </row>
    <row r="74" spans="1:8" ht="20.100000000000001" customHeight="1" x14ac:dyDescent="0.25">
      <c r="A74" s="51"/>
      <c r="B74" s="2">
        <v>45754</v>
      </c>
      <c r="C74" s="3">
        <v>1515801397</v>
      </c>
      <c r="D74" s="3">
        <v>1</v>
      </c>
      <c r="E74" s="4" t="s">
        <v>517</v>
      </c>
      <c r="F74" s="19" t="s">
        <v>518</v>
      </c>
      <c r="G74" s="5" t="s">
        <v>6</v>
      </c>
      <c r="H74" s="6">
        <v>450</v>
      </c>
    </row>
    <row r="75" spans="1:8" ht="20.100000000000001" customHeight="1" x14ac:dyDescent="0.25">
      <c r="A75" s="51"/>
      <c r="B75" s="2">
        <v>45754</v>
      </c>
      <c r="C75" s="3">
        <v>1515801397</v>
      </c>
      <c r="D75" s="3">
        <v>1</v>
      </c>
      <c r="E75" s="4" t="s">
        <v>517</v>
      </c>
      <c r="F75" s="19" t="s">
        <v>223</v>
      </c>
      <c r="G75" s="5" t="s">
        <v>6</v>
      </c>
      <c r="H75" s="6">
        <v>450</v>
      </c>
    </row>
    <row r="76" spans="1:8" ht="20.100000000000001" customHeight="1" x14ac:dyDescent="0.25">
      <c r="A76" s="51"/>
      <c r="B76" s="2">
        <v>45768</v>
      </c>
      <c r="C76" s="3">
        <v>1752058383</v>
      </c>
      <c r="D76" s="3">
        <v>1</v>
      </c>
      <c r="E76" s="4" t="s">
        <v>305</v>
      </c>
      <c r="F76" s="19" t="s">
        <v>519</v>
      </c>
      <c r="G76" s="5" t="s">
        <v>6</v>
      </c>
      <c r="H76" s="6">
        <v>810</v>
      </c>
    </row>
    <row r="77" spans="1:8" ht="20.100000000000001" customHeight="1" x14ac:dyDescent="0.25">
      <c r="A77" s="51"/>
      <c r="B77" s="2">
        <v>45769</v>
      </c>
      <c r="C77" s="3">
        <v>1133792593</v>
      </c>
      <c r="D77" s="3">
        <v>1</v>
      </c>
      <c r="E77" s="4" t="s">
        <v>305</v>
      </c>
      <c r="F77" s="19" t="s">
        <v>231</v>
      </c>
      <c r="G77" s="5" t="s">
        <v>6</v>
      </c>
      <c r="H77" s="6">
        <v>650</v>
      </c>
    </row>
    <row r="78" spans="1:8" ht="20.100000000000001" customHeight="1" x14ac:dyDescent="0.25">
      <c r="A78" s="51"/>
      <c r="B78" s="2">
        <v>45770</v>
      </c>
      <c r="C78" s="3">
        <v>2930920421</v>
      </c>
      <c r="D78" s="3">
        <v>1</v>
      </c>
      <c r="E78" s="4" t="s">
        <v>139</v>
      </c>
      <c r="F78" s="19" t="s">
        <v>96</v>
      </c>
      <c r="G78" s="5" t="s">
        <v>10</v>
      </c>
      <c r="H78" s="6">
        <v>850</v>
      </c>
    </row>
    <row r="79" spans="1:8" ht="20.100000000000001" customHeight="1" x14ac:dyDescent="0.25">
      <c r="A79" s="51"/>
      <c r="B79" s="2">
        <v>45772</v>
      </c>
      <c r="C79" s="3">
        <v>2479243435</v>
      </c>
      <c r="D79" s="3">
        <v>2</v>
      </c>
      <c r="E79" s="4" t="s">
        <v>55</v>
      </c>
      <c r="F79" s="19" t="s">
        <v>520</v>
      </c>
      <c r="G79" s="5" t="s">
        <v>11</v>
      </c>
      <c r="H79" s="6">
        <v>580</v>
      </c>
    </row>
    <row r="80" spans="1:8" ht="20.100000000000001" customHeight="1" x14ac:dyDescent="0.25">
      <c r="A80" s="51"/>
      <c r="B80" s="2">
        <v>45776</v>
      </c>
      <c r="C80" s="3">
        <v>2356559897</v>
      </c>
      <c r="D80" s="3">
        <v>3</v>
      </c>
      <c r="E80" s="4" t="s">
        <v>521</v>
      </c>
      <c r="F80" s="19" t="s">
        <v>96</v>
      </c>
      <c r="G80" s="5" t="s">
        <v>13</v>
      </c>
      <c r="H80" s="6">
        <v>2550</v>
      </c>
    </row>
    <row r="81" spans="1:8" ht="20.100000000000001" customHeight="1" x14ac:dyDescent="0.25">
      <c r="A81" s="51"/>
      <c r="B81" s="2">
        <v>45776</v>
      </c>
      <c r="C81" s="3">
        <v>2356559897</v>
      </c>
      <c r="D81" s="3">
        <v>2</v>
      </c>
      <c r="E81" s="4" t="s">
        <v>521</v>
      </c>
      <c r="F81" s="19" t="s">
        <v>334</v>
      </c>
      <c r="G81" s="5" t="s">
        <v>13</v>
      </c>
      <c r="H81" s="6">
        <v>1100</v>
      </c>
    </row>
    <row r="82" spans="1:8" ht="20.100000000000001" customHeight="1" x14ac:dyDescent="0.25">
      <c r="A82" s="51"/>
      <c r="B82" s="2">
        <v>45776</v>
      </c>
      <c r="C82" s="3">
        <v>894256807</v>
      </c>
      <c r="D82" s="3">
        <v>1</v>
      </c>
      <c r="E82" s="4" t="s">
        <v>79</v>
      </c>
      <c r="F82" s="19" t="s">
        <v>334</v>
      </c>
      <c r="G82" s="5" t="s">
        <v>6</v>
      </c>
      <c r="H82" s="6">
        <v>550</v>
      </c>
    </row>
    <row r="83" spans="1:8" ht="20.100000000000001" customHeight="1" x14ac:dyDescent="0.25">
      <c r="A83" s="51"/>
      <c r="B83" s="2">
        <v>45776</v>
      </c>
      <c r="C83" s="3">
        <v>1632060551</v>
      </c>
      <c r="D83" s="3">
        <v>1</v>
      </c>
      <c r="E83" s="4" t="s">
        <v>522</v>
      </c>
      <c r="F83" s="19" t="s">
        <v>231</v>
      </c>
      <c r="G83" s="5" t="s">
        <v>6</v>
      </c>
      <c r="H83" s="6">
        <v>650</v>
      </c>
    </row>
    <row r="84" spans="1:8" ht="20.100000000000001" customHeight="1" x14ac:dyDescent="0.25">
      <c r="A84" s="51"/>
      <c r="B84" s="2">
        <v>45777</v>
      </c>
      <c r="C84" s="3">
        <v>1269777218</v>
      </c>
      <c r="D84" s="3">
        <v>1</v>
      </c>
      <c r="E84" s="4" t="s">
        <v>523</v>
      </c>
      <c r="F84" s="19" t="s">
        <v>144</v>
      </c>
      <c r="G84" s="5" t="s">
        <v>19</v>
      </c>
      <c r="H84" s="6">
        <v>1000</v>
      </c>
    </row>
    <row r="85" spans="1:8" ht="20.100000000000001" customHeight="1" x14ac:dyDescent="0.25">
      <c r="A85" s="51"/>
      <c r="B85" s="2">
        <v>45777</v>
      </c>
      <c r="C85" s="3">
        <v>1269777218</v>
      </c>
      <c r="D85" s="3">
        <v>1</v>
      </c>
      <c r="E85" s="4" t="s">
        <v>523</v>
      </c>
      <c r="F85" s="19" t="s">
        <v>239</v>
      </c>
      <c r="G85" s="5" t="s">
        <v>19</v>
      </c>
      <c r="H85" s="6">
        <v>250</v>
      </c>
    </row>
    <row r="86" spans="1:8" ht="20.100000000000001" customHeight="1" x14ac:dyDescent="0.25">
      <c r="A86" s="51"/>
      <c r="B86" s="2">
        <v>45783</v>
      </c>
      <c r="C86" s="3">
        <v>1464091882</v>
      </c>
      <c r="D86" s="3">
        <v>1</v>
      </c>
      <c r="E86" s="4" t="s">
        <v>587</v>
      </c>
      <c r="F86" s="19" t="s">
        <v>144</v>
      </c>
      <c r="G86" s="5" t="s">
        <v>6</v>
      </c>
      <c r="H86" s="6">
        <v>1000</v>
      </c>
    </row>
    <row r="87" spans="1:8" ht="20.100000000000001" customHeight="1" x14ac:dyDescent="0.25">
      <c r="A87" s="51"/>
      <c r="B87" s="2">
        <v>45783</v>
      </c>
      <c r="C87" s="3">
        <v>1464091882</v>
      </c>
      <c r="D87" s="3">
        <v>1</v>
      </c>
      <c r="E87" s="4" t="s">
        <v>587</v>
      </c>
      <c r="F87" s="19" t="s">
        <v>588</v>
      </c>
      <c r="G87" s="5" t="s">
        <v>6</v>
      </c>
      <c r="H87" s="6">
        <v>850</v>
      </c>
    </row>
    <row r="88" spans="1:8" ht="20.100000000000001" customHeight="1" x14ac:dyDescent="0.25">
      <c r="A88" s="51"/>
      <c r="B88" s="2">
        <v>45784</v>
      </c>
      <c r="C88" s="3">
        <v>482561730</v>
      </c>
      <c r="D88" s="3">
        <v>1</v>
      </c>
      <c r="E88" s="4" t="s">
        <v>589</v>
      </c>
      <c r="F88" s="19" t="s">
        <v>96</v>
      </c>
      <c r="G88" s="5" t="s">
        <v>6</v>
      </c>
      <c r="H88" s="6">
        <v>850</v>
      </c>
    </row>
    <row r="89" spans="1:8" ht="20.100000000000001" customHeight="1" x14ac:dyDescent="0.25">
      <c r="A89" s="51"/>
      <c r="B89" s="2">
        <v>45784</v>
      </c>
      <c r="C89" s="3">
        <v>1748582878</v>
      </c>
      <c r="D89" s="3">
        <v>2</v>
      </c>
      <c r="E89" s="4" t="s">
        <v>101</v>
      </c>
      <c r="F89" s="19" t="s">
        <v>96</v>
      </c>
      <c r="G89" s="5" t="s">
        <v>6</v>
      </c>
      <c r="H89" s="6">
        <v>1700</v>
      </c>
    </row>
    <row r="90" spans="1:8" ht="20.100000000000001" customHeight="1" x14ac:dyDescent="0.25">
      <c r="A90" s="51"/>
      <c r="B90" s="2">
        <v>45789</v>
      </c>
      <c r="C90" s="3">
        <v>1866812255</v>
      </c>
      <c r="D90" s="3">
        <v>1</v>
      </c>
      <c r="E90" s="4" t="s">
        <v>590</v>
      </c>
      <c r="F90" s="19" t="s">
        <v>591</v>
      </c>
      <c r="G90" s="5" t="s">
        <v>7</v>
      </c>
      <c r="H90" s="6">
        <v>300</v>
      </c>
    </row>
    <row r="91" spans="1:8" ht="20.100000000000001" customHeight="1" x14ac:dyDescent="0.25">
      <c r="A91" s="51"/>
      <c r="B91" s="2">
        <v>45789</v>
      </c>
      <c r="C91" s="3">
        <v>4044834886</v>
      </c>
      <c r="D91" s="3">
        <v>1</v>
      </c>
      <c r="E91" s="4" t="s">
        <v>388</v>
      </c>
      <c r="F91" s="19" t="s">
        <v>592</v>
      </c>
      <c r="G91" s="5" t="s">
        <v>7</v>
      </c>
      <c r="H91" s="6">
        <v>380</v>
      </c>
    </row>
    <row r="92" spans="1:8" ht="20.100000000000001" customHeight="1" x14ac:dyDescent="0.25">
      <c r="A92" s="51"/>
      <c r="B92" s="2">
        <v>45789</v>
      </c>
      <c r="C92" s="3">
        <v>4044834886</v>
      </c>
      <c r="D92" s="3">
        <v>1</v>
      </c>
      <c r="E92" s="4" t="s">
        <v>388</v>
      </c>
      <c r="F92" s="19" t="s">
        <v>591</v>
      </c>
      <c r="G92" s="5" t="s">
        <v>7</v>
      </c>
      <c r="H92" s="6">
        <v>300</v>
      </c>
    </row>
    <row r="93" spans="1:8" ht="20.100000000000001" customHeight="1" x14ac:dyDescent="0.25">
      <c r="A93" s="51"/>
      <c r="B93" s="2">
        <v>45789</v>
      </c>
      <c r="C93" s="3">
        <v>3680390965</v>
      </c>
      <c r="D93" s="3">
        <v>1</v>
      </c>
      <c r="E93" s="4" t="s">
        <v>593</v>
      </c>
      <c r="F93" s="19" t="s">
        <v>591</v>
      </c>
      <c r="G93" s="5" t="s">
        <v>19</v>
      </c>
      <c r="H93" s="6">
        <v>300</v>
      </c>
    </row>
    <row r="94" spans="1:8" ht="20.100000000000001" customHeight="1" x14ac:dyDescent="0.25">
      <c r="A94" s="51"/>
      <c r="B94" s="2">
        <v>45791</v>
      </c>
      <c r="C94" s="3">
        <v>4011214455</v>
      </c>
      <c r="D94" s="3">
        <v>1</v>
      </c>
      <c r="E94" s="4" t="s">
        <v>594</v>
      </c>
      <c r="F94" s="19" t="s">
        <v>588</v>
      </c>
      <c r="G94" s="5" t="s">
        <v>10</v>
      </c>
      <c r="H94" s="6">
        <v>850</v>
      </c>
    </row>
    <row r="95" spans="1:8" ht="20.100000000000001" customHeight="1" x14ac:dyDescent="0.25">
      <c r="A95" s="51"/>
      <c r="B95" s="2">
        <v>45791</v>
      </c>
      <c r="C95" s="3">
        <v>2851948083</v>
      </c>
      <c r="D95" s="3">
        <v>1</v>
      </c>
      <c r="E95" s="4" t="s">
        <v>595</v>
      </c>
      <c r="F95" s="19" t="s">
        <v>96</v>
      </c>
      <c r="G95" s="5" t="s">
        <v>6</v>
      </c>
      <c r="H95" s="6">
        <v>850</v>
      </c>
    </row>
    <row r="96" spans="1:8" ht="20.100000000000001" customHeight="1" x14ac:dyDescent="0.25">
      <c r="A96" s="51"/>
      <c r="B96" s="2">
        <v>45791</v>
      </c>
      <c r="C96" s="3">
        <v>1263682303</v>
      </c>
      <c r="D96" s="3">
        <v>1</v>
      </c>
      <c r="E96" s="4" t="s">
        <v>596</v>
      </c>
      <c r="F96" s="19" t="s">
        <v>591</v>
      </c>
      <c r="G96" s="5" t="s">
        <v>6</v>
      </c>
      <c r="H96" s="6">
        <v>300</v>
      </c>
    </row>
    <row r="97" spans="1:8" ht="20.100000000000001" customHeight="1" x14ac:dyDescent="0.25">
      <c r="A97" s="51"/>
      <c r="B97" s="2">
        <v>45791</v>
      </c>
      <c r="C97" s="3">
        <v>1263682303</v>
      </c>
      <c r="D97" s="3">
        <v>2</v>
      </c>
      <c r="E97" s="4" t="s">
        <v>596</v>
      </c>
      <c r="F97" s="19" t="s">
        <v>144</v>
      </c>
      <c r="G97" s="5" t="s">
        <v>6</v>
      </c>
      <c r="H97" s="6">
        <v>2000</v>
      </c>
    </row>
    <row r="98" spans="1:8" ht="20.100000000000001" customHeight="1" x14ac:dyDescent="0.25">
      <c r="A98" s="51"/>
      <c r="B98" s="2">
        <v>45791</v>
      </c>
      <c r="C98" s="3">
        <v>1263682303</v>
      </c>
      <c r="D98" s="3">
        <v>2</v>
      </c>
      <c r="E98" s="4" t="s">
        <v>596</v>
      </c>
      <c r="F98" s="19" t="s">
        <v>239</v>
      </c>
      <c r="G98" s="5" t="s">
        <v>6</v>
      </c>
      <c r="H98" s="6">
        <v>500</v>
      </c>
    </row>
    <row r="99" spans="1:8" ht="20.100000000000001" customHeight="1" x14ac:dyDescent="0.25">
      <c r="A99" s="51"/>
      <c r="B99" s="2">
        <v>45791</v>
      </c>
      <c r="C99" s="3">
        <v>315442438</v>
      </c>
      <c r="D99" s="3">
        <v>1</v>
      </c>
      <c r="E99" s="4" t="s">
        <v>597</v>
      </c>
      <c r="F99" s="19" t="s">
        <v>598</v>
      </c>
      <c r="G99" s="5" t="s">
        <v>19</v>
      </c>
      <c r="H99" s="6">
        <v>650</v>
      </c>
    </row>
    <row r="100" spans="1:8" ht="20.100000000000001" customHeight="1" x14ac:dyDescent="0.25">
      <c r="A100" s="51"/>
      <c r="B100" s="2">
        <v>45792</v>
      </c>
      <c r="C100" s="3">
        <v>2866432418</v>
      </c>
      <c r="D100" s="3">
        <v>1</v>
      </c>
      <c r="E100" s="4" t="s">
        <v>596</v>
      </c>
      <c r="F100" s="19" t="s">
        <v>225</v>
      </c>
      <c r="G100" s="5" t="s">
        <v>6</v>
      </c>
      <c r="H100" s="6">
        <v>650</v>
      </c>
    </row>
    <row r="101" spans="1:8" ht="20.100000000000001" customHeight="1" x14ac:dyDescent="0.25">
      <c r="A101" s="51"/>
      <c r="B101" s="2">
        <v>45792</v>
      </c>
      <c r="C101" s="3">
        <v>2866432418</v>
      </c>
      <c r="D101" s="3">
        <v>1</v>
      </c>
      <c r="E101" s="4" t="s">
        <v>596</v>
      </c>
      <c r="F101" s="19" t="s">
        <v>599</v>
      </c>
      <c r="G101" s="5" t="s">
        <v>6</v>
      </c>
      <c r="H101" s="6">
        <v>580</v>
      </c>
    </row>
    <row r="102" spans="1:8" ht="20.100000000000001" customHeight="1" x14ac:dyDescent="0.25">
      <c r="A102" s="51"/>
      <c r="B102" s="2">
        <v>45796</v>
      </c>
      <c r="C102" s="3">
        <v>543706635</v>
      </c>
      <c r="D102" s="3">
        <v>1</v>
      </c>
      <c r="E102" s="4" t="s">
        <v>600</v>
      </c>
      <c r="F102" s="19" t="s">
        <v>599</v>
      </c>
      <c r="G102" s="5" t="s">
        <v>6</v>
      </c>
      <c r="H102" s="6">
        <v>580</v>
      </c>
    </row>
    <row r="103" spans="1:8" ht="20.100000000000001" customHeight="1" x14ac:dyDescent="0.25">
      <c r="A103" s="51"/>
      <c r="B103" s="2">
        <v>45796</v>
      </c>
      <c r="C103" s="3">
        <v>543706635</v>
      </c>
      <c r="D103" s="3">
        <v>1</v>
      </c>
      <c r="E103" s="4" t="s">
        <v>600</v>
      </c>
      <c r="F103" s="19" t="s">
        <v>96</v>
      </c>
      <c r="G103" s="5" t="s">
        <v>6</v>
      </c>
      <c r="H103" s="6">
        <v>850</v>
      </c>
    </row>
    <row r="104" spans="1:8" ht="20.100000000000001" customHeight="1" x14ac:dyDescent="0.25">
      <c r="A104" s="51"/>
      <c r="B104" s="2">
        <v>45796</v>
      </c>
      <c r="C104" s="3">
        <v>543706635</v>
      </c>
      <c r="D104" s="3">
        <v>2</v>
      </c>
      <c r="E104" s="4" t="s">
        <v>600</v>
      </c>
      <c r="F104" s="19" t="s">
        <v>601</v>
      </c>
      <c r="G104" s="5" t="s">
        <v>6</v>
      </c>
      <c r="H104" s="6">
        <v>1100</v>
      </c>
    </row>
    <row r="105" spans="1:8" ht="20.100000000000001" customHeight="1" x14ac:dyDescent="0.25">
      <c r="A105" s="51"/>
      <c r="B105" s="2">
        <v>45798</v>
      </c>
      <c r="C105" s="3">
        <v>1021396531</v>
      </c>
      <c r="D105" s="3">
        <v>1</v>
      </c>
      <c r="E105" s="4" t="s">
        <v>113</v>
      </c>
      <c r="F105" s="19" t="s">
        <v>602</v>
      </c>
      <c r="G105" s="5" t="s">
        <v>7</v>
      </c>
      <c r="H105" s="6">
        <v>650</v>
      </c>
    </row>
    <row r="106" spans="1:8" ht="20.100000000000001" customHeight="1" x14ac:dyDescent="0.25">
      <c r="A106" s="51"/>
      <c r="B106" s="2">
        <v>45799</v>
      </c>
      <c r="C106" s="3">
        <v>2015511528</v>
      </c>
      <c r="D106" s="3">
        <v>1</v>
      </c>
      <c r="E106" s="4" t="s">
        <v>603</v>
      </c>
      <c r="F106" s="19" t="s">
        <v>96</v>
      </c>
      <c r="G106" s="5" t="s">
        <v>7</v>
      </c>
      <c r="H106" s="6">
        <v>850</v>
      </c>
    </row>
    <row r="107" spans="1:8" ht="20.100000000000001" customHeight="1" x14ac:dyDescent="0.25">
      <c r="A107" s="51"/>
      <c r="B107" s="2">
        <v>45799</v>
      </c>
      <c r="C107" s="3">
        <v>2015511528</v>
      </c>
      <c r="D107" s="3">
        <v>1</v>
      </c>
      <c r="E107" s="4" t="s">
        <v>603</v>
      </c>
      <c r="F107" s="19" t="s">
        <v>601</v>
      </c>
      <c r="G107" s="5" t="s">
        <v>7</v>
      </c>
      <c r="H107" s="6">
        <v>550</v>
      </c>
    </row>
    <row r="108" spans="1:8" ht="20.100000000000001" customHeight="1" x14ac:dyDescent="0.25">
      <c r="A108" s="51"/>
      <c r="B108" s="2">
        <v>45800</v>
      </c>
      <c r="C108" s="3">
        <v>1495355256</v>
      </c>
      <c r="D108" s="3">
        <v>1</v>
      </c>
      <c r="E108" s="4" t="s">
        <v>604</v>
      </c>
      <c r="F108" s="19" t="s">
        <v>520</v>
      </c>
      <c r="G108" s="5" t="s">
        <v>7</v>
      </c>
      <c r="H108" s="6">
        <v>290</v>
      </c>
    </row>
    <row r="109" spans="1:8" ht="20.100000000000001" customHeight="1" x14ac:dyDescent="0.25">
      <c r="A109" s="51"/>
      <c r="B109" s="2">
        <v>45803</v>
      </c>
      <c r="C109" s="3">
        <v>3985198801</v>
      </c>
      <c r="D109" s="3">
        <v>1</v>
      </c>
      <c r="E109" s="4" t="s">
        <v>605</v>
      </c>
      <c r="F109" s="19" t="s">
        <v>606</v>
      </c>
      <c r="G109" s="5" t="s">
        <v>6</v>
      </c>
      <c r="H109" s="6">
        <v>380</v>
      </c>
    </row>
    <row r="110" spans="1:8" ht="20.100000000000001" customHeight="1" x14ac:dyDescent="0.25">
      <c r="A110" s="51"/>
      <c r="B110" s="2">
        <v>45804</v>
      </c>
      <c r="C110" s="3">
        <v>1683638171</v>
      </c>
      <c r="D110" s="3">
        <v>1</v>
      </c>
      <c r="E110" s="4" t="s">
        <v>607</v>
      </c>
      <c r="F110" s="19" t="s">
        <v>144</v>
      </c>
      <c r="G110" s="5" t="s">
        <v>6</v>
      </c>
      <c r="H110" s="6">
        <v>1000</v>
      </c>
    </row>
    <row r="111" spans="1:8" ht="20.100000000000001" customHeight="1" x14ac:dyDescent="0.25">
      <c r="A111" s="51"/>
      <c r="B111" s="2">
        <v>45806</v>
      </c>
      <c r="C111" s="3">
        <v>633160635</v>
      </c>
      <c r="D111" s="3">
        <v>1</v>
      </c>
      <c r="E111" s="4" t="s">
        <v>135</v>
      </c>
      <c r="F111" s="19" t="s">
        <v>96</v>
      </c>
      <c r="G111" s="5" t="s">
        <v>6</v>
      </c>
      <c r="H111" s="6">
        <v>850</v>
      </c>
    </row>
    <row r="112" spans="1:8" ht="20.100000000000001" customHeight="1" x14ac:dyDescent="0.25">
      <c r="A112" s="51"/>
      <c r="B112" s="2">
        <v>45806</v>
      </c>
      <c r="C112" s="3">
        <v>633160635</v>
      </c>
      <c r="D112" s="3">
        <v>1</v>
      </c>
      <c r="E112" s="4" t="s">
        <v>135</v>
      </c>
      <c r="F112" s="19" t="s">
        <v>601</v>
      </c>
      <c r="G112" s="5" t="s">
        <v>6</v>
      </c>
      <c r="H112" s="6">
        <v>550</v>
      </c>
    </row>
    <row r="113" spans="1:8" ht="20.100000000000001" customHeight="1" x14ac:dyDescent="0.25">
      <c r="A113" s="51"/>
      <c r="B113" s="2">
        <v>45810</v>
      </c>
      <c r="C113" s="3">
        <v>899829202</v>
      </c>
      <c r="D113" s="3">
        <v>1</v>
      </c>
      <c r="E113" s="4" t="s">
        <v>608</v>
      </c>
      <c r="F113" s="19" t="s">
        <v>144</v>
      </c>
      <c r="G113" s="5" t="s">
        <v>6</v>
      </c>
      <c r="H113" s="6">
        <v>1000</v>
      </c>
    </row>
    <row r="114" spans="1:8" ht="20.100000000000001" customHeight="1" x14ac:dyDescent="0.25">
      <c r="A114" s="51"/>
      <c r="B114" s="2">
        <v>45810</v>
      </c>
      <c r="C114" s="3">
        <v>899829202</v>
      </c>
      <c r="D114" s="3">
        <v>1</v>
      </c>
      <c r="E114" s="4" t="s">
        <v>608</v>
      </c>
      <c r="F114" s="19" t="s">
        <v>199</v>
      </c>
      <c r="G114" s="5" t="s">
        <v>6</v>
      </c>
      <c r="H114" s="6">
        <v>250</v>
      </c>
    </row>
    <row r="115" spans="1:8" ht="20.100000000000001" customHeight="1" x14ac:dyDescent="0.25">
      <c r="A115" s="51"/>
      <c r="B115" s="2">
        <v>45814</v>
      </c>
      <c r="C115" s="3">
        <v>2836283468</v>
      </c>
      <c r="D115" s="3">
        <v>1</v>
      </c>
      <c r="E115" s="4" t="s">
        <v>609</v>
      </c>
      <c r="F115" s="19" t="s">
        <v>601</v>
      </c>
      <c r="G115" s="5" t="s">
        <v>7</v>
      </c>
      <c r="H115" s="6">
        <v>550</v>
      </c>
    </row>
    <row r="116" spans="1:8" ht="15.75" x14ac:dyDescent="0.25">
      <c r="A116" s="51"/>
      <c r="B116" s="2">
        <v>45814</v>
      </c>
      <c r="C116" s="3">
        <v>1226197366</v>
      </c>
      <c r="D116" s="3">
        <v>3</v>
      </c>
      <c r="E116" s="4" t="s">
        <v>609</v>
      </c>
      <c r="F116" s="19" t="s">
        <v>601</v>
      </c>
      <c r="G116" s="5" t="s">
        <v>7</v>
      </c>
      <c r="H116" s="6">
        <v>1650</v>
      </c>
    </row>
    <row r="117" spans="1:8" ht="15.75" x14ac:dyDescent="0.25">
      <c r="A117" s="51"/>
      <c r="B117" s="2">
        <v>45818</v>
      </c>
      <c r="C117" s="3">
        <v>883245417</v>
      </c>
      <c r="D117" s="3">
        <v>1</v>
      </c>
      <c r="E117" s="4" t="s">
        <v>610</v>
      </c>
      <c r="F117" s="19" t="s">
        <v>199</v>
      </c>
      <c r="G117" s="5" t="s">
        <v>6</v>
      </c>
      <c r="H117" s="6">
        <v>250</v>
      </c>
    </row>
    <row r="118" spans="1:8" ht="15.75" x14ac:dyDescent="0.25">
      <c r="A118" s="51"/>
      <c r="B118" s="2">
        <v>45819</v>
      </c>
      <c r="C118" s="3">
        <v>202850971</v>
      </c>
      <c r="D118" s="3">
        <v>1</v>
      </c>
      <c r="E118" s="4" t="s">
        <v>521</v>
      </c>
      <c r="F118" s="19" t="s">
        <v>611</v>
      </c>
      <c r="G118" s="5" t="s">
        <v>6</v>
      </c>
      <c r="H118" s="6">
        <v>270</v>
      </c>
    </row>
    <row r="119" spans="1:8" ht="20.100000000000001" customHeight="1" x14ac:dyDescent="0.25">
      <c r="A119" s="51"/>
      <c r="B119" s="2">
        <v>45819</v>
      </c>
      <c r="C119" s="3">
        <v>202850971</v>
      </c>
      <c r="D119" s="3">
        <v>1</v>
      </c>
      <c r="E119" s="4" t="s">
        <v>521</v>
      </c>
      <c r="F119" s="19" t="s">
        <v>612</v>
      </c>
      <c r="G119" s="5" t="s">
        <v>6</v>
      </c>
      <c r="H119" s="6">
        <v>610</v>
      </c>
    </row>
    <row r="120" spans="1:8" ht="20.100000000000001" customHeight="1" x14ac:dyDescent="0.25">
      <c r="A120" s="51"/>
      <c r="B120" s="2">
        <v>45819</v>
      </c>
      <c r="C120" s="3">
        <v>202850971</v>
      </c>
      <c r="D120" s="3">
        <v>1</v>
      </c>
      <c r="E120" s="4" t="s">
        <v>521</v>
      </c>
      <c r="F120" s="19" t="s">
        <v>613</v>
      </c>
      <c r="G120" s="5" t="s">
        <v>6</v>
      </c>
      <c r="H120" s="6">
        <v>1423</v>
      </c>
    </row>
    <row r="121" spans="1:8" ht="20.100000000000001" customHeight="1" x14ac:dyDescent="0.25">
      <c r="A121" s="51"/>
      <c r="B121" s="2">
        <v>45819</v>
      </c>
      <c r="C121" s="3">
        <v>305483539</v>
      </c>
      <c r="D121" s="3">
        <v>1</v>
      </c>
      <c r="E121" s="4" t="s">
        <v>608</v>
      </c>
      <c r="F121" s="19" t="s">
        <v>614</v>
      </c>
      <c r="G121" s="5" t="s">
        <v>6</v>
      </c>
      <c r="H121" s="6">
        <v>667.8</v>
      </c>
    </row>
    <row r="122" spans="1:8" ht="20.100000000000001" customHeight="1" x14ac:dyDescent="0.25">
      <c r="A122" s="51"/>
      <c r="B122" s="2">
        <v>45819</v>
      </c>
      <c r="C122" s="3">
        <v>305483539</v>
      </c>
      <c r="D122" s="3">
        <v>1</v>
      </c>
      <c r="E122" s="4" t="s">
        <v>608</v>
      </c>
      <c r="F122" s="19" t="s">
        <v>612</v>
      </c>
      <c r="G122" s="5" t="s">
        <v>6</v>
      </c>
      <c r="H122" s="6">
        <v>610</v>
      </c>
    </row>
    <row r="123" spans="1:8" ht="20.100000000000001" customHeight="1" x14ac:dyDescent="0.25">
      <c r="A123" s="51"/>
      <c r="B123" s="2">
        <v>45819</v>
      </c>
      <c r="C123" s="3">
        <v>305483539</v>
      </c>
      <c r="D123" s="3">
        <v>1</v>
      </c>
      <c r="E123" s="4" t="s">
        <v>608</v>
      </c>
      <c r="F123" s="19" t="s">
        <v>615</v>
      </c>
      <c r="G123" s="5" t="s">
        <v>6</v>
      </c>
      <c r="H123" s="6">
        <v>1423</v>
      </c>
    </row>
    <row r="124" spans="1:8" ht="20.100000000000001" customHeight="1" x14ac:dyDescent="0.25">
      <c r="A124" s="51"/>
      <c r="B124" s="2">
        <v>45819</v>
      </c>
      <c r="C124" s="3">
        <v>305483539</v>
      </c>
      <c r="D124" s="3">
        <v>1</v>
      </c>
      <c r="E124" s="4" t="s">
        <v>608</v>
      </c>
      <c r="F124" s="19" t="s">
        <v>616</v>
      </c>
      <c r="G124" s="5" t="s">
        <v>6</v>
      </c>
      <c r="H124" s="6">
        <v>250</v>
      </c>
    </row>
    <row r="125" spans="1:8" ht="20.100000000000001" customHeight="1" x14ac:dyDescent="0.25">
      <c r="A125" s="51"/>
      <c r="B125" s="2">
        <v>45819</v>
      </c>
      <c r="C125" s="3">
        <v>1810448396</v>
      </c>
      <c r="D125" s="3">
        <v>1</v>
      </c>
      <c r="E125" s="4" t="s">
        <v>228</v>
      </c>
      <c r="F125" s="19" t="s">
        <v>617</v>
      </c>
      <c r="G125" s="5" t="s">
        <v>6</v>
      </c>
      <c r="H125" s="6">
        <v>788.4</v>
      </c>
    </row>
    <row r="126" spans="1:8" ht="20.100000000000001" customHeight="1" x14ac:dyDescent="0.25">
      <c r="A126" s="51"/>
      <c r="B126" s="2">
        <v>45819</v>
      </c>
      <c r="C126" s="3">
        <v>1810448396</v>
      </c>
      <c r="D126" s="3">
        <v>1</v>
      </c>
      <c r="E126" s="4" t="s">
        <v>228</v>
      </c>
      <c r="F126" s="19" t="s">
        <v>618</v>
      </c>
      <c r="G126" s="5" t="s">
        <v>6</v>
      </c>
      <c r="H126" s="6">
        <v>711</v>
      </c>
    </row>
    <row r="127" spans="1:8" ht="20.100000000000001" customHeight="1" x14ac:dyDescent="0.25">
      <c r="A127" s="51"/>
      <c r="B127" s="2">
        <v>45819</v>
      </c>
      <c r="C127" s="3">
        <v>1810448396</v>
      </c>
      <c r="D127" s="3">
        <v>1</v>
      </c>
      <c r="E127" s="4" t="s">
        <v>228</v>
      </c>
      <c r="F127" s="19" t="s">
        <v>616</v>
      </c>
      <c r="G127" s="5" t="s">
        <v>6</v>
      </c>
      <c r="H127" s="6">
        <v>250</v>
      </c>
    </row>
    <row r="128" spans="1:8" ht="20.100000000000001" customHeight="1" x14ac:dyDescent="0.25">
      <c r="A128" s="51"/>
      <c r="B128" s="2">
        <v>45819</v>
      </c>
      <c r="C128" s="3">
        <v>2789098201</v>
      </c>
      <c r="D128" s="3">
        <v>1</v>
      </c>
      <c r="E128" s="4" t="s">
        <v>619</v>
      </c>
      <c r="F128" s="19" t="s">
        <v>616</v>
      </c>
      <c r="G128" s="5" t="s">
        <v>7</v>
      </c>
      <c r="H128" s="6">
        <v>250</v>
      </c>
    </row>
    <row r="129" spans="1:8" ht="20.100000000000001" customHeight="1" x14ac:dyDescent="0.25">
      <c r="A129" s="51"/>
      <c r="B129" s="2">
        <v>45819</v>
      </c>
      <c r="C129" s="3">
        <v>1921927501</v>
      </c>
      <c r="D129" s="3">
        <v>1</v>
      </c>
      <c r="E129" s="4" t="s">
        <v>620</v>
      </c>
      <c r="F129" s="19" t="s">
        <v>612</v>
      </c>
      <c r="G129" s="5" t="s">
        <v>6</v>
      </c>
      <c r="H129" s="6">
        <v>610</v>
      </c>
    </row>
    <row r="130" spans="1:8" ht="20.100000000000001" customHeight="1" x14ac:dyDescent="0.25">
      <c r="A130" s="51"/>
      <c r="B130" s="2">
        <v>45819</v>
      </c>
      <c r="C130" s="3">
        <v>1921927501</v>
      </c>
      <c r="D130" s="3">
        <v>1</v>
      </c>
      <c r="E130" s="4" t="s">
        <v>620</v>
      </c>
      <c r="F130" s="19" t="s">
        <v>616</v>
      </c>
      <c r="G130" s="5" t="s">
        <v>6</v>
      </c>
      <c r="H130" s="6">
        <v>250</v>
      </c>
    </row>
    <row r="131" spans="1:8" ht="20.100000000000001" customHeight="1" x14ac:dyDescent="0.25">
      <c r="A131" s="51"/>
      <c r="B131" s="2">
        <v>45819</v>
      </c>
      <c r="C131" s="3">
        <v>4000206531</v>
      </c>
      <c r="D131" s="3">
        <v>1</v>
      </c>
      <c r="E131" s="4" t="s">
        <v>621</v>
      </c>
      <c r="F131" s="19" t="s">
        <v>612</v>
      </c>
      <c r="G131" s="5" t="s">
        <v>19</v>
      </c>
      <c r="H131" s="6">
        <v>575</v>
      </c>
    </row>
    <row r="132" spans="1:8" ht="20.100000000000001" customHeight="1" x14ac:dyDescent="0.25">
      <c r="A132" s="51"/>
      <c r="B132" s="2">
        <v>45819</v>
      </c>
      <c r="C132" s="3">
        <v>813518429</v>
      </c>
      <c r="D132" s="3">
        <v>1</v>
      </c>
      <c r="E132" s="4" t="s">
        <v>316</v>
      </c>
      <c r="F132" s="19" t="s">
        <v>612</v>
      </c>
      <c r="G132" s="5" t="s">
        <v>6</v>
      </c>
      <c r="H132" s="6">
        <v>575</v>
      </c>
    </row>
    <row r="133" spans="1:8" ht="20.100000000000001" customHeight="1" x14ac:dyDescent="0.25">
      <c r="A133" s="51"/>
      <c r="B133" s="2">
        <v>45819</v>
      </c>
      <c r="C133" s="3">
        <v>813518429</v>
      </c>
      <c r="D133" s="3">
        <v>1</v>
      </c>
      <c r="E133" s="4" t="s">
        <v>316</v>
      </c>
      <c r="F133" s="19" t="s">
        <v>616</v>
      </c>
      <c r="G133" s="5" t="s">
        <v>6</v>
      </c>
      <c r="H133" s="6">
        <v>250</v>
      </c>
    </row>
    <row r="134" spans="1:8" ht="20.100000000000001" customHeight="1" x14ac:dyDescent="0.25">
      <c r="A134" s="51"/>
      <c r="B134" s="2">
        <v>45819</v>
      </c>
      <c r="C134" s="3">
        <v>1377650105</v>
      </c>
      <c r="D134" s="3">
        <v>1</v>
      </c>
      <c r="E134" s="4" t="s">
        <v>364</v>
      </c>
      <c r="F134" s="19" t="s">
        <v>601</v>
      </c>
      <c r="G134" s="5" t="s">
        <v>6</v>
      </c>
      <c r="H134" s="6">
        <v>550</v>
      </c>
    </row>
    <row r="135" spans="1:8" ht="20.100000000000001" customHeight="1" x14ac:dyDescent="0.25">
      <c r="A135" s="51"/>
      <c r="B135" s="2">
        <v>45825</v>
      </c>
      <c r="C135" s="3">
        <v>2723692978</v>
      </c>
      <c r="D135" s="3">
        <v>1</v>
      </c>
      <c r="E135" s="4" t="s">
        <v>622</v>
      </c>
      <c r="F135" s="19" t="s">
        <v>623</v>
      </c>
      <c r="G135" s="5" t="s">
        <v>11</v>
      </c>
      <c r="H135" s="6">
        <v>460</v>
      </c>
    </row>
    <row r="136" spans="1:8" ht="20.100000000000001" customHeight="1" x14ac:dyDescent="0.25">
      <c r="A136" s="51"/>
      <c r="B136" s="2">
        <v>45825</v>
      </c>
      <c r="C136" s="3">
        <v>3053274018</v>
      </c>
      <c r="D136" s="3">
        <v>1</v>
      </c>
      <c r="E136" s="4" t="s">
        <v>624</v>
      </c>
      <c r="F136" s="19" t="s">
        <v>625</v>
      </c>
      <c r="G136" s="5" t="s">
        <v>10</v>
      </c>
      <c r="H136" s="6">
        <v>575</v>
      </c>
    </row>
    <row r="137" spans="1:8" ht="20.100000000000001" customHeight="1" x14ac:dyDescent="0.25">
      <c r="A137" s="51"/>
      <c r="B137" s="2">
        <v>45826</v>
      </c>
      <c r="C137" s="3">
        <v>1693859939</v>
      </c>
      <c r="D137" s="3">
        <v>1</v>
      </c>
      <c r="E137" s="4" t="s">
        <v>626</v>
      </c>
      <c r="F137" s="19" t="s">
        <v>623</v>
      </c>
      <c r="G137" s="5" t="s">
        <v>11</v>
      </c>
      <c r="H137" s="6">
        <v>460</v>
      </c>
    </row>
    <row r="138" spans="1:8" ht="20.100000000000001" customHeight="1" x14ac:dyDescent="0.25">
      <c r="A138" s="51"/>
      <c r="B138" s="2">
        <v>45828</v>
      </c>
      <c r="C138" s="3">
        <v>3607709253</v>
      </c>
      <c r="D138" s="3">
        <v>1</v>
      </c>
      <c r="E138" s="4" t="s">
        <v>627</v>
      </c>
      <c r="F138" s="19" t="s">
        <v>625</v>
      </c>
      <c r="G138" s="5" t="s">
        <v>6</v>
      </c>
      <c r="H138" s="6">
        <v>575</v>
      </c>
    </row>
    <row r="139" spans="1:8" ht="20.100000000000001" customHeight="1" x14ac:dyDescent="0.25">
      <c r="A139" s="51"/>
      <c r="B139" s="2">
        <v>45828</v>
      </c>
      <c r="C139" s="3">
        <v>173886991</v>
      </c>
      <c r="D139" s="3">
        <v>1</v>
      </c>
      <c r="E139" s="4" t="s">
        <v>628</v>
      </c>
      <c r="F139" s="19" t="s">
        <v>629</v>
      </c>
      <c r="G139" s="5" t="s">
        <v>6</v>
      </c>
      <c r="H139" s="6">
        <v>1150</v>
      </c>
    </row>
    <row r="140" spans="1:8" ht="20.100000000000001" customHeight="1" x14ac:dyDescent="0.25">
      <c r="A140" s="51"/>
      <c r="B140" s="2">
        <v>45828</v>
      </c>
      <c r="C140" s="3">
        <v>173886991</v>
      </c>
      <c r="D140" s="3">
        <v>1</v>
      </c>
      <c r="E140" s="4" t="s">
        <v>628</v>
      </c>
      <c r="F140" s="19" t="s">
        <v>630</v>
      </c>
      <c r="G140" s="5" t="s">
        <v>6</v>
      </c>
      <c r="H140" s="6">
        <v>300</v>
      </c>
    </row>
    <row r="141" spans="1:8" ht="20.100000000000001" customHeight="1" x14ac:dyDescent="0.25">
      <c r="A141" s="51"/>
      <c r="B141" s="2">
        <v>45831</v>
      </c>
      <c r="C141" s="3">
        <v>1179404662</v>
      </c>
      <c r="D141" s="3">
        <v>1</v>
      </c>
      <c r="E141" s="4" t="s">
        <v>631</v>
      </c>
      <c r="F141" s="19" t="s">
        <v>630</v>
      </c>
      <c r="G141" s="5" t="s">
        <v>6</v>
      </c>
      <c r="H141" s="6">
        <v>300</v>
      </c>
    </row>
    <row r="142" spans="1:8" ht="20.100000000000001" customHeight="1" x14ac:dyDescent="0.25">
      <c r="A142" s="51"/>
      <c r="B142" s="2">
        <v>45835</v>
      </c>
      <c r="C142" s="3">
        <v>1410747975</v>
      </c>
      <c r="D142" s="3">
        <v>2</v>
      </c>
      <c r="E142" s="4" t="s">
        <v>338</v>
      </c>
      <c r="F142" s="19" t="s">
        <v>632</v>
      </c>
      <c r="G142" s="5" t="s">
        <v>6</v>
      </c>
      <c r="H142" s="6">
        <v>750</v>
      </c>
    </row>
    <row r="143" spans="1:8" ht="20.100000000000001" customHeight="1" x14ac:dyDescent="0.25">
      <c r="A143" s="51"/>
      <c r="B143" s="2">
        <v>45839</v>
      </c>
      <c r="C143" s="3">
        <v>308887955</v>
      </c>
      <c r="D143" s="3">
        <v>2</v>
      </c>
      <c r="E143" s="4" t="s">
        <v>734</v>
      </c>
      <c r="F143" s="19" t="s">
        <v>735</v>
      </c>
      <c r="G143" s="5" t="s">
        <v>7</v>
      </c>
      <c r="H143" s="6">
        <v>960</v>
      </c>
    </row>
    <row r="144" spans="1:8" ht="20.100000000000001" customHeight="1" x14ac:dyDescent="0.25">
      <c r="A144" s="51"/>
      <c r="B144" s="2">
        <v>45839</v>
      </c>
      <c r="C144" s="3">
        <v>3993061039</v>
      </c>
      <c r="D144" s="3">
        <v>1</v>
      </c>
      <c r="E144" s="4" t="s">
        <v>736</v>
      </c>
      <c r="F144" s="19" t="s">
        <v>737</v>
      </c>
      <c r="G144" s="5" t="s">
        <v>7</v>
      </c>
      <c r="H144" s="6">
        <v>850</v>
      </c>
    </row>
    <row r="145" spans="1:8" ht="20.100000000000001" customHeight="1" x14ac:dyDescent="0.25">
      <c r="A145" s="51"/>
      <c r="B145" s="2">
        <v>45839</v>
      </c>
      <c r="C145" s="3">
        <v>3993061039</v>
      </c>
      <c r="D145" s="3">
        <v>1</v>
      </c>
      <c r="E145" s="4" t="s">
        <v>736</v>
      </c>
      <c r="F145" s="19" t="s">
        <v>738</v>
      </c>
      <c r="G145" s="5" t="s">
        <v>7</v>
      </c>
      <c r="H145" s="6">
        <v>550</v>
      </c>
    </row>
    <row r="146" spans="1:8" ht="20.100000000000001" customHeight="1" x14ac:dyDescent="0.25">
      <c r="A146" s="51"/>
      <c r="B146" s="2">
        <v>45839</v>
      </c>
      <c r="C146" s="3">
        <v>2308001655</v>
      </c>
      <c r="D146" s="3">
        <v>1</v>
      </c>
      <c r="E146" s="4" t="s">
        <v>739</v>
      </c>
      <c r="F146" s="19" t="s">
        <v>740</v>
      </c>
      <c r="G146" s="5" t="s">
        <v>6</v>
      </c>
      <c r="H146" s="6">
        <v>450</v>
      </c>
    </row>
    <row r="147" spans="1:8" ht="20.100000000000001" customHeight="1" x14ac:dyDescent="0.25">
      <c r="A147" s="51"/>
      <c r="B147" s="2">
        <v>45840</v>
      </c>
      <c r="C147" s="3">
        <v>1671843409</v>
      </c>
      <c r="D147" s="3">
        <v>1</v>
      </c>
      <c r="E147" s="4" t="s">
        <v>741</v>
      </c>
      <c r="F147" s="19" t="s">
        <v>520</v>
      </c>
      <c r="G147" s="5" t="s">
        <v>7</v>
      </c>
      <c r="H147" s="6">
        <v>290</v>
      </c>
    </row>
    <row r="148" spans="1:8" ht="20.100000000000001" customHeight="1" x14ac:dyDescent="0.25">
      <c r="A148" s="51"/>
      <c r="B148" s="2">
        <v>45840</v>
      </c>
      <c r="C148" s="3">
        <v>1671843409</v>
      </c>
      <c r="D148" s="3">
        <v>1</v>
      </c>
      <c r="E148" s="4" t="s">
        <v>741</v>
      </c>
      <c r="F148" s="19" t="s">
        <v>742</v>
      </c>
      <c r="G148" s="5" t="s">
        <v>7</v>
      </c>
      <c r="H148" s="6">
        <v>460</v>
      </c>
    </row>
    <row r="149" spans="1:8" ht="20.100000000000001" customHeight="1" x14ac:dyDescent="0.25">
      <c r="A149" s="51"/>
      <c r="B149" s="2">
        <v>45840</v>
      </c>
      <c r="C149" s="3">
        <v>1671843409</v>
      </c>
      <c r="D149" s="3">
        <v>1</v>
      </c>
      <c r="E149" s="4" t="s">
        <v>741</v>
      </c>
      <c r="F149" s="19" t="s">
        <v>738</v>
      </c>
      <c r="G149" s="5" t="s">
        <v>7</v>
      </c>
      <c r="H149" s="6">
        <v>550</v>
      </c>
    </row>
    <row r="150" spans="1:8" ht="20.100000000000001" customHeight="1" x14ac:dyDescent="0.25">
      <c r="A150" s="51"/>
      <c r="B150" s="2">
        <v>45840</v>
      </c>
      <c r="C150" s="3">
        <v>1671843409</v>
      </c>
      <c r="D150" s="3">
        <v>1</v>
      </c>
      <c r="E150" s="4" t="s">
        <v>741</v>
      </c>
      <c r="F150" s="19" t="s">
        <v>737</v>
      </c>
      <c r="G150" s="5" t="s">
        <v>7</v>
      </c>
      <c r="H150" s="6">
        <v>850</v>
      </c>
    </row>
    <row r="151" spans="1:8" ht="20.100000000000001" customHeight="1" x14ac:dyDescent="0.25">
      <c r="A151" s="51"/>
      <c r="B151" s="2">
        <v>45841</v>
      </c>
      <c r="C151" s="3">
        <v>2760724030</v>
      </c>
      <c r="D151" s="3">
        <v>2</v>
      </c>
      <c r="E151" s="4" t="s">
        <v>101</v>
      </c>
      <c r="F151" s="19" t="s">
        <v>737</v>
      </c>
      <c r="G151" s="5" t="s">
        <v>6</v>
      </c>
      <c r="H151" s="6">
        <v>1700</v>
      </c>
    </row>
    <row r="152" spans="1:8" ht="20.100000000000001" customHeight="1" x14ac:dyDescent="0.25">
      <c r="A152" s="51"/>
      <c r="B152" s="2">
        <v>45841</v>
      </c>
      <c r="C152" s="3">
        <v>2740142692</v>
      </c>
      <c r="D152" s="3">
        <v>1</v>
      </c>
      <c r="E152" s="4" t="s">
        <v>593</v>
      </c>
      <c r="F152" s="19" t="s">
        <v>743</v>
      </c>
      <c r="G152" s="5" t="s">
        <v>19</v>
      </c>
      <c r="H152" s="6">
        <v>1200</v>
      </c>
    </row>
    <row r="153" spans="1:8" ht="20.100000000000001" customHeight="1" x14ac:dyDescent="0.25">
      <c r="A153" s="51"/>
      <c r="B153" s="2">
        <v>45841</v>
      </c>
      <c r="C153" s="3">
        <v>3715844638</v>
      </c>
      <c r="D153" s="3">
        <v>1</v>
      </c>
      <c r="E153" s="4" t="s">
        <v>744</v>
      </c>
      <c r="F153" s="19" t="s">
        <v>745</v>
      </c>
      <c r="G153" s="5" t="s">
        <v>13</v>
      </c>
      <c r="H153" s="6">
        <v>810</v>
      </c>
    </row>
    <row r="154" spans="1:8" ht="20.100000000000001" customHeight="1" x14ac:dyDescent="0.25">
      <c r="A154" s="51"/>
      <c r="B154" s="2">
        <v>45845</v>
      </c>
      <c r="C154" s="3">
        <v>1723484901</v>
      </c>
      <c r="D154" s="3">
        <v>1</v>
      </c>
      <c r="E154" s="4" t="s">
        <v>746</v>
      </c>
      <c r="F154" s="19" t="s">
        <v>591</v>
      </c>
      <c r="G154" s="5" t="s">
        <v>19</v>
      </c>
      <c r="H154" s="6">
        <v>300</v>
      </c>
    </row>
    <row r="155" spans="1:8" ht="20.100000000000001" customHeight="1" x14ac:dyDescent="0.25">
      <c r="A155" s="51"/>
      <c r="B155" s="2">
        <v>45845</v>
      </c>
      <c r="C155" s="3">
        <v>2326416888</v>
      </c>
      <c r="D155" s="3">
        <v>2</v>
      </c>
      <c r="E155" s="4" t="s">
        <v>150</v>
      </c>
      <c r="F155" s="19" t="s">
        <v>144</v>
      </c>
      <c r="G155" s="5" t="s">
        <v>7</v>
      </c>
      <c r="H155" s="6">
        <v>2000</v>
      </c>
    </row>
    <row r="156" spans="1:8" ht="20.100000000000001" customHeight="1" x14ac:dyDescent="0.25">
      <c r="A156" s="51"/>
      <c r="B156" s="2">
        <v>45845</v>
      </c>
      <c r="C156" s="3">
        <v>2326416888</v>
      </c>
      <c r="D156" s="3">
        <v>1</v>
      </c>
      <c r="E156" s="4" t="s">
        <v>150</v>
      </c>
      <c r="F156" s="19" t="s">
        <v>747</v>
      </c>
      <c r="G156" s="5" t="s">
        <v>7</v>
      </c>
      <c r="H156" s="6">
        <v>250</v>
      </c>
    </row>
    <row r="157" spans="1:8" ht="20.100000000000001" customHeight="1" x14ac:dyDescent="0.25">
      <c r="A157" s="51"/>
      <c r="B157" s="2">
        <v>45845</v>
      </c>
      <c r="C157" s="3">
        <v>3327479351</v>
      </c>
      <c r="D157" s="3">
        <v>1</v>
      </c>
      <c r="E157" s="4" t="s">
        <v>748</v>
      </c>
      <c r="F157" s="19" t="s">
        <v>747</v>
      </c>
      <c r="G157" s="5" t="s">
        <v>7</v>
      </c>
      <c r="H157" s="6">
        <v>250</v>
      </c>
    </row>
    <row r="158" spans="1:8" ht="20.100000000000001" customHeight="1" x14ac:dyDescent="0.25">
      <c r="A158" s="51"/>
      <c r="B158" s="2">
        <v>45846</v>
      </c>
      <c r="C158" s="3">
        <v>2690008500</v>
      </c>
      <c r="D158" s="3">
        <v>1</v>
      </c>
      <c r="E158" s="4" t="s">
        <v>477</v>
      </c>
      <c r="F158" s="19" t="s">
        <v>742</v>
      </c>
      <c r="G158" s="5" t="s">
        <v>6</v>
      </c>
      <c r="H158" s="6">
        <v>460</v>
      </c>
    </row>
    <row r="159" spans="1:8" ht="20.100000000000001" customHeight="1" x14ac:dyDescent="0.25">
      <c r="A159" s="51"/>
      <c r="B159" s="2">
        <v>45846</v>
      </c>
      <c r="C159" s="3">
        <v>2071743305</v>
      </c>
      <c r="D159" s="3">
        <v>1</v>
      </c>
      <c r="E159" s="4" t="s">
        <v>477</v>
      </c>
      <c r="F159" s="19" t="s">
        <v>588</v>
      </c>
      <c r="G159" s="5" t="s">
        <v>6</v>
      </c>
      <c r="H159" s="6">
        <v>850</v>
      </c>
    </row>
    <row r="160" spans="1:8" ht="20.100000000000001" customHeight="1" x14ac:dyDescent="0.25">
      <c r="A160" s="51"/>
      <c r="B160" s="2">
        <v>45846</v>
      </c>
      <c r="C160" s="3">
        <v>2071743305</v>
      </c>
      <c r="D160" s="3">
        <v>1</v>
      </c>
      <c r="E160" s="4" t="s">
        <v>477</v>
      </c>
      <c r="F160" s="19" t="s">
        <v>591</v>
      </c>
      <c r="G160" s="5" t="s">
        <v>6</v>
      </c>
      <c r="H160" s="6">
        <v>300</v>
      </c>
    </row>
    <row r="161" spans="1:8" ht="20.100000000000001" customHeight="1" x14ac:dyDescent="0.25">
      <c r="A161" s="51"/>
      <c r="B161" s="2">
        <v>45848</v>
      </c>
      <c r="C161" s="3">
        <v>3101773139</v>
      </c>
      <c r="D161" s="3">
        <v>1</v>
      </c>
      <c r="E161" s="4" t="s">
        <v>305</v>
      </c>
      <c r="F161" s="19" t="s">
        <v>616</v>
      </c>
      <c r="G161" s="5" t="s">
        <v>6</v>
      </c>
      <c r="H161" s="6">
        <v>150</v>
      </c>
    </row>
    <row r="162" spans="1:8" ht="20.100000000000001" customHeight="1" x14ac:dyDescent="0.25">
      <c r="A162" s="51"/>
      <c r="B162" s="2">
        <v>45849</v>
      </c>
      <c r="C162" s="3">
        <v>2605271739</v>
      </c>
      <c r="D162" s="3">
        <v>1</v>
      </c>
      <c r="E162" s="4" t="s">
        <v>679</v>
      </c>
      <c r="F162" s="19" t="s">
        <v>737</v>
      </c>
      <c r="G162" s="5" t="s">
        <v>7</v>
      </c>
      <c r="H162" s="6">
        <v>850</v>
      </c>
    </row>
    <row r="163" spans="1:8" ht="20.100000000000001" customHeight="1" x14ac:dyDescent="0.25">
      <c r="A163" s="51"/>
      <c r="B163" s="2">
        <v>45852</v>
      </c>
      <c r="C163" s="3">
        <v>2383888716</v>
      </c>
      <c r="D163" s="3">
        <v>1</v>
      </c>
      <c r="E163" s="4" t="s">
        <v>749</v>
      </c>
      <c r="F163" s="19" t="s">
        <v>591</v>
      </c>
      <c r="G163" s="5" t="s">
        <v>10</v>
      </c>
      <c r="H163" s="6">
        <v>300</v>
      </c>
    </row>
    <row r="164" spans="1:8" ht="20.100000000000001" customHeight="1" x14ac:dyDescent="0.25">
      <c r="A164" s="51"/>
      <c r="B164" s="2">
        <v>45853</v>
      </c>
      <c r="C164" s="3">
        <v>2702133236</v>
      </c>
      <c r="D164" s="3">
        <v>1</v>
      </c>
      <c r="E164" s="4" t="s">
        <v>693</v>
      </c>
      <c r="F164" s="19" t="s">
        <v>750</v>
      </c>
      <c r="G164" s="5" t="s">
        <v>7</v>
      </c>
      <c r="H164" s="6">
        <v>765</v>
      </c>
    </row>
    <row r="165" spans="1:8" ht="20.100000000000001" customHeight="1" x14ac:dyDescent="0.25">
      <c r="A165" s="51"/>
      <c r="B165" s="2">
        <v>45853</v>
      </c>
      <c r="C165" s="3">
        <v>2702133236</v>
      </c>
      <c r="D165" s="3">
        <v>1</v>
      </c>
      <c r="E165" s="4" t="s">
        <v>693</v>
      </c>
      <c r="F165" s="19" t="s">
        <v>751</v>
      </c>
      <c r="G165" s="5" t="s">
        <v>7</v>
      </c>
      <c r="H165" s="6">
        <v>950</v>
      </c>
    </row>
    <row r="166" spans="1:8" ht="20.100000000000001" customHeight="1" x14ac:dyDescent="0.25">
      <c r="A166" s="51"/>
      <c r="B166" s="2">
        <v>45853</v>
      </c>
      <c r="C166" s="3">
        <v>1782727307</v>
      </c>
      <c r="D166" s="3">
        <v>1</v>
      </c>
      <c r="E166" s="4" t="s">
        <v>752</v>
      </c>
      <c r="F166" s="19" t="s">
        <v>214</v>
      </c>
      <c r="G166" s="5" t="s">
        <v>7</v>
      </c>
      <c r="H166" s="6">
        <v>890</v>
      </c>
    </row>
    <row r="167" spans="1:8" ht="20.100000000000001" customHeight="1" x14ac:dyDescent="0.25">
      <c r="A167" s="51"/>
      <c r="B167" s="2">
        <v>45853</v>
      </c>
      <c r="C167" s="3">
        <v>1782727307</v>
      </c>
      <c r="D167" s="3">
        <v>1</v>
      </c>
      <c r="E167" s="4" t="s">
        <v>752</v>
      </c>
      <c r="F167" s="19" t="s">
        <v>753</v>
      </c>
      <c r="G167" s="5" t="s">
        <v>7</v>
      </c>
      <c r="H167" s="6">
        <v>450</v>
      </c>
    </row>
    <row r="168" spans="1:8" ht="20.100000000000001" customHeight="1" x14ac:dyDescent="0.25">
      <c r="A168" s="51"/>
      <c r="B168" s="2">
        <v>45853</v>
      </c>
      <c r="C168" s="3">
        <v>3386917913</v>
      </c>
      <c r="D168" s="3">
        <v>1</v>
      </c>
      <c r="E168" s="4" t="s">
        <v>754</v>
      </c>
      <c r="F168" s="19" t="s">
        <v>588</v>
      </c>
      <c r="G168" s="5" t="s">
        <v>7</v>
      </c>
      <c r="H168" s="6">
        <v>850</v>
      </c>
    </row>
    <row r="169" spans="1:8" ht="20.100000000000001" customHeight="1" x14ac:dyDescent="0.25">
      <c r="A169" s="51"/>
      <c r="B169" s="2">
        <v>45854</v>
      </c>
      <c r="C169" s="3">
        <v>868503230</v>
      </c>
      <c r="D169" s="3">
        <v>1</v>
      </c>
      <c r="E169" s="4" t="s">
        <v>593</v>
      </c>
      <c r="F169" s="19" t="s">
        <v>750</v>
      </c>
      <c r="G169" s="5" t="s">
        <v>19</v>
      </c>
      <c r="H169" s="6">
        <v>765</v>
      </c>
    </row>
    <row r="170" spans="1:8" ht="20.100000000000001" customHeight="1" x14ac:dyDescent="0.25">
      <c r="A170" s="51"/>
      <c r="B170" s="2">
        <v>45854</v>
      </c>
      <c r="C170" s="3">
        <v>868503230</v>
      </c>
      <c r="D170" s="3">
        <v>1</v>
      </c>
      <c r="E170" s="4" t="s">
        <v>593</v>
      </c>
      <c r="F170" s="19" t="s">
        <v>751</v>
      </c>
      <c r="G170" s="5" t="s">
        <v>19</v>
      </c>
      <c r="H170" s="6">
        <v>950</v>
      </c>
    </row>
    <row r="171" spans="1:8" ht="20.100000000000001" customHeight="1" x14ac:dyDescent="0.25">
      <c r="A171" s="51"/>
      <c r="B171" s="2">
        <v>45854</v>
      </c>
      <c r="C171" s="3">
        <v>2291485990</v>
      </c>
      <c r="D171" s="3">
        <v>1</v>
      </c>
      <c r="E171" s="4" t="s">
        <v>755</v>
      </c>
      <c r="F171" s="19" t="s">
        <v>342</v>
      </c>
      <c r="G171" s="5" t="s">
        <v>7</v>
      </c>
      <c r="H171" s="6">
        <v>380</v>
      </c>
    </row>
    <row r="172" spans="1:8" ht="20.100000000000001" customHeight="1" x14ac:dyDescent="0.25">
      <c r="A172" s="51"/>
      <c r="B172" s="2">
        <v>45854</v>
      </c>
      <c r="C172" s="3">
        <v>2291485990</v>
      </c>
      <c r="D172" s="3">
        <v>1</v>
      </c>
      <c r="E172" s="4" t="s">
        <v>755</v>
      </c>
      <c r="F172" s="19" t="s">
        <v>756</v>
      </c>
      <c r="G172" s="5" t="s">
        <v>7</v>
      </c>
      <c r="H172" s="6">
        <v>650</v>
      </c>
    </row>
    <row r="173" spans="1:8" ht="20.100000000000001" customHeight="1" x14ac:dyDescent="0.25">
      <c r="A173" s="51"/>
      <c r="B173" s="2">
        <v>45854</v>
      </c>
      <c r="C173" s="3">
        <v>3939846974</v>
      </c>
      <c r="D173" s="3">
        <v>1</v>
      </c>
      <c r="E173" s="4" t="s">
        <v>593</v>
      </c>
      <c r="F173" s="19" t="s">
        <v>757</v>
      </c>
      <c r="G173" s="5" t="s">
        <v>19</v>
      </c>
      <c r="H173" s="6">
        <v>750</v>
      </c>
    </row>
    <row r="174" spans="1:8" ht="20.100000000000001" customHeight="1" x14ac:dyDescent="0.25">
      <c r="A174" s="51"/>
      <c r="B174" s="2">
        <v>45855</v>
      </c>
      <c r="C174" s="3">
        <v>913395516</v>
      </c>
      <c r="D174" s="3">
        <v>1</v>
      </c>
      <c r="E174" s="4" t="s">
        <v>758</v>
      </c>
      <c r="F174" s="19" t="s">
        <v>759</v>
      </c>
      <c r="G174" s="5" t="s">
        <v>10</v>
      </c>
      <c r="H174" s="6">
        <v>1260</v>
      </c>
    </row>
    <row r="175" spans="1:8" ht="20.100000000000001" customHeight="1" x14ac:dyDescent="0.25">
      <c r="A175" s="51"/>
      <c r="B175" s="2">
        <v>45855</v>
      </c>
      <c r="C175" s="3">
        <v>620382432</v>
      </c>
      <c r="D175" s="3">
        <v>1</v>
      </c>
      <c r="E175" s="4" t="s">
        <v>760</v>
      </c>
      <c r="F175" s="19" t="s">
        <v>199</v>
      </c>
      <c r="G175" s="5" t="s">
        <v>7</v>
      </c>
      <c r="H175" s="6">
        <v>250</v>
      </c>
    </row>
    <row r="176" spans="1:8" ht="20.100000000000001" customHeight="1" x14ac:dyDescent="0.25">
      <c r="A176" s="51"/>
      <c r="B176" s="2">
        <v>45856</v>
      </c>
      <c r="C176" s="3">
        <v>3920904957</v>
      </c>
      <c r="D176" s="3">
        <v>1</v>
      </c>
      <c r="E176" s="4" t="s">
        <v>761</v>
      </c>
      <c r="F176" s="19" t="s">
        <v>762</v>
      </c>
      <c r="G176" s="5" t="s">
        <v>7</v>
      </c>
      <c r="H176" s="6">
        <v>550</v>
      </c>
    </row>
    <row r="177" spans="1:8" ht="20.100000000000001" customHeight="1" x14ac:dyDescent="0.25">
      <c r="A177" s="51"/>
      <c r="B177" s="2">
        <v>45861</v>
      </c>
      <c r="C177" s="3">
        <v>2087014295</v>
      </c>
      <c r="D177" s="3">
        <v>1</v>
      </c>
      <c r="E177" s="4" t="s">
        <v>763</v>
      </c>
      <c r="F177" s="19" t="s">
        <v>591</v>
      </c>
      <c r="G177" s="5" t="s">
        <v>6</v>
      </c>
      <c r="H177" s="6">
        <v>300</v>
      </c>
    </row>
    <row r="178" spans="1:8" ht="20.100000000000001" customHeight="1" x14ac:dyDescent="0.25">
      <c r="A178" s="51"/>
      <c r="B178" s="2">
        <v>45867</v>
      </c>
      <c r="C178" s="3">
        <v>4080485864</v>
      </c>
      <c r="D178" s="3">
        <v>1</v>
      </c>
      <c r="E178" s="4" t="s">
        <v>589</v>
      </c>
      <c r="F178" s="19" t="s">
        <v>203</v>
      </c>
      <c r="G178" s="5" t="s">
        <v>6</v>
      </c>
      <c r="H178" s="6">
        <v>300</v>
      </c>
    </row>
    <row r="179" spans="1:8" ht="20.100000000000001" customHeight="1" x14ac:dyDescent="0.25">
      <c r="A179" s="51"/>
      <c r="B179" s="2">
        <v>45867</v>
      </c>
      <c r="C179" s="3">
        <v>3501475719</v>
      </c>
      <c r="D179" s="3">
        <v>1</v>
      </c>
      <c r="E179" s="4" t="s">
        <v>482</v>
      </c>
      <c r="F179" s="19" t="s">
        <v>764</v>
      </c>
      <c r="G179" s="5" t="s">
        <v>11</v>
      </c>
      <c r="H179" s="6">
        <v>640</v>
      </c>
    </row>
    <row r="180" spans="1:8" ht="20.100000000000001" customHeight="1" x14ac:dyDescent="0.25">
      <c r="A180" s="51"/>
      <c r="B180" s="2">
        <v>45867</v>
      </c>
      <c r="C180" s="3">
        <v>227558597</v>
      </c>
      <c r="D180" s="3">
        <v>1</v>
      </c>
      <c r="E180" s="4" t="s">
        <v>765</v>
      </c>
      <c r="F180" s="19" t="s">
        <v>144</v>
      </c>
      <c r="G180" s="5" t="s">
        <v>6</v>
      </c>
      <c r="H180" s="6">
        <v>1000</v>
      </c>
    </row>
    <row r="181" spans="1:8" ht="20.100000000000001" customHeight="1" x14ac:dyDescent="0.25">
      <c r="A181" s="51"/>
      <c r="B181" s="2">
        <v>45867</v>
      </c>
      <c r="C181" s="3">
        <v>227558597</v>
      </c>
      <c r="D181" s="3">
        <v>1</v>
      </c>
      <c r="E181" s="4" t="s">
        <v>765</v>
      </c>
      <c r="F181" s="19" t="s">
        <v>199</v>
      </c>
      <c r="G181" s="5" t="s">
        <v>6</v>
      </c>
      <c r="H181" s="6">
        <v>250</v>
      </c>
    </row>
    <row r="182" spans="1:8" ht="20.100000000000001" customHeight="1" x14ac:dyDescent="0.25">
      <c r="A182" s="51"/>
      <c r="B182" s="2">
        <v>45867</v>
      </c>
      <c r="C182" s="3">
        <v>227558597</v>
      </c>
      <c r="D182" s="3">
        <v>1</v>
      </c>
      <c r="E182" s="4" t="s">
        <v>765</v>
      </c>
      <c r="F182" s="19" t="s">
        <v>737</v>
      </c>
      <c r="G182" s="5" t="s">
        <v>6</v>
      </c>
      <c r="H182" s="6">
        <v>850</v>
      </c>
    </row>
    <row r="183" spans="1:8" ht="20.100000000000001" customHeight="1" x14ac:dyDescent="0.25">
      <c r="A183" s="51"/>
      <c r="B183" s="2">
        <v>45868</v>
      </c>
      <c r="C183" s="3">
        <v>2292535147</v>
      </c>
      <c r="D183" s="3">
        <v>1</v>
      </c>
      <c r="E183" s="4" t="s">
        <v>766</v>
      </c>
      <c r="F183" s="19" t="s">
        <v>342</v>
      </c>
      <c r="G183" s="5" t="s">
        <v>6</v>
      </c>
      <c r="H183" s="6">
        <v>380</v>
      </c>
    </row>
    <row r="184" spans="1:8" ht="20.100000000000001" customHeight="1" x14ac:dyDescent="0.25">
      <c r="A184" s="51"/>
      <c r="B184" s="2">
        <v>45868</v>
      </c>
      <c r="C184" s="3">
        <v>4258087549</v>
      </c>
      <c r="D184" s="3">
        <v>1</v>
      </c>
      <c r="E184" s="4" t="s">
        <v>752</v>
      </c>
      <c r="F184" s="19" t="s">
        <v>214</v>
      </c>
      <c r="G184" s="5" t="s">
        <v>6</v>
      </c>
      <c r="H184" s="6">
        <v>890</v>
      </c>
    </row>
    <row r="185" spans="1:8" ht="20.100000000000001" customHeight="1" x14ac:dyDescent="0.25">
      <c r="A185" s="51"/>
      <c r="B185" s="47">
        <v>45870</v>
      </c>
      <c r="C185" s="48">
        <v>2100775723</v>
      </c>
      <c r="D185" s="3">
        <v>1</v>
      </c>
      <c r="E185" s="28" t="s">
        <v>698</v>
      </c>
      <c r="F185" s="28" t="s">
        <v>878</v>
      </c>
      <c r="G185" s="49" t="s">
        <v>6</v>
      </c>
      <c r="H185" s="6">
        <v>300</v>
      </c>
    </row>
    <row r="186" spans="1:8" ht="20.100000000000001" customHeight="1" x14ac:dyDescent="0.25">
      <c r="A186" s="51"/>
      <c r="B186" s="47">
        <v>45870</v>
      </c>
      <c r="C186" s="48">
        <v>1682197690</v>
      </c>
      <c r="D186" s="3">
        <v>1</v>
      </c>
      <c r="E186" s="28" t="s">
        <v>349</v>
      </c>
      <c r="F186" s="28" t="s">
        <v>737</v>
      </c>
      <c r="G186" s="49" t="s">
        <v>6</v>
      </c>
      <c r="H186" s="6">
        <v>850</v>
      </c>
    </row>
    <row r="187" spans="1:8" ht="20.100000000000001" customHeight="1" x14ac:dyDescent="0.25">
      <c r="A187" s="51"/>
      <c r="B187" s="47">
        <v>45870</v>
      </c>
      <c r="C187" s="48">
        <v>1682197690</v>
      </c>
      <c r="D187" s="3">
        <v>1</v>
      </c>
      <c r="E187" s="28" t="s">
        <v>349</v>
      </c>
      <c r="F187" s="28" t="s">
        <v>623</v>
      </c>
      <c r="G187" s="49" t="s">
        <v>6</v>
      </c>
      <c r="H187" s="6">
        <v>460</v>
      </c>
    </row>
    <row r="188" spans="1:8" ht="20.100000000000001" customHeight="1" x14ac:dyDescent="0.25">
      <c r="A188" s="51"/>
      <c r="B188" s="47">
        <v>45870</v>
      </c>
      <c r="C188" s="48">
        <v>1682197690</v>
      </c>
      <c r="D188" s="3">
        <v>1</v>
      </c>
      <c r="E188" s="28" t="s">
        <v>349</v>
      </c>
      <c r="F188" s="28" t="s">
        <v>221</v>
      </c>
      <c r="G188" s="49" t="s">
        <v>6</v>
      </c>
      <c r="H188" s="6">
        <v>450</v>
      </c>
    </row>
    <row r="189" spans="1:8" ht="20.100000000000001" customHeight="1" x14ac:dyDescent="0.25">
      <c r="A189" s="51"/>
      <c r="B189" s="47">
        <v>45870</v>
      </c>
      <c r="C189" s="48">
        <v>1682197690</v>
      </c>
      <c r="D189" s="3">
        <v>1</v>
      </c>
      <c r="E189" s="28" t="s">
        <v>349</v>
      </c>
      <c r="F189" s="28" t="s">
        <v>879</v>
      </c>
      <c r="G189" s="49" t="s">
        <v>6</v>
      </c>
      <c r="H189" s="6">
        <v>485</v>
      </c>
    </row>
    <row r="190" spans="1:8" ht="20.100000000000001" customHeight="1" x14ac:dyDescent="0.25">
      <c r="A190" s="51"/>
      <c r="B190" s="47">
        <v>45873</v>
      </c>
      <c r="C190" s="48">
        <v>588271172</v>
      </c>
      <c r="D190" s="3">
        <v>1</v>
      </c>
      <c r="E190" s="28" t="s">
        <v>880</v>
      </c>
      <c r="F190" s="28" t="s">
        <v>623</v>
      </c>
      <c r="G190" s="49" t="s">
        <v>6</v>
      </c>
      <c r="H190" s="6">
        <v>460</v>
      </c>
    </row>
    <row r="191" spans="1:8" ht="20.100000000000001" customHeight="1" x14ac:dyDescent="0.25">
      <c r="A191" s="51"/>
      <c r="B191" s="47">
        <v>45873</v>
      </c>
      <c r="C191" s="48">
        <v>588271172</v>
      </c>
      <c r="D191" s="3">
        <v>1</v>
      </c>
      <c r="E191" s="28" t="s">
        <v>880</v>
      </c>
      <c r="F191" s="28" t="s">
        <v>223</v>
      </c>
      <c r="G191" s="49" t="s">
        <v>6</v>
      </c>
      <c r="H191" s="6">
        <v>450</v>
      </c>
    </row>
    <row r="192" spans="1:8" ht="20.100000000000001" customHeight="1" x14ac:dyDescent="0.25">
      <c r="A192" s="51"/>
      <c r="B192" s="47">
        <v>45876</v>
      </c>
      <c r="C192" s="48">
        <v>903499531</v>
      </c>
      <c r="D192" s="3">
        <v>1</v>
      </c>
      <c r="E192" s="28" t="s">
        <v>881</v>
      </c>
      <c r="F192" s="28" t="s">
        <v>623</v>
      </c>
      <c r="G192" s="49" t="s">
        <v>6</v>
      </c>
      <c r="H192" s="6">
        <v>460</v>
      </c>
    </row>
    <row r="193" spans="1:8" ht="20.100000000000001" customHeight="1" x14ac:dyDescent="0.25">
      <c r="A193" s="51"/>
      <c r="B193" s="47">
        <v>45877</v>
      </c>
      <c r="C193" s="48">
        <v>2461093748</v>
      </c>
      <c r="D193" s="3">
        <v>1</v>
      </c>
      <c r="E193" s="28" t="s">
        <v>882</v>
      </c>
      <c r="F193" s="28" t="s">
        <v>144</v>
      </c>
      <c r="G193" s="49" t="s">
        <v>7</v>
      </c>
      <c r="H193" s="6">
        <v>1000</v>
      </c>
    </row>
    <row r="194" spans="1:8" ht="20.100000000000001" customHeight="1" x14ac:dyDescent="0.25">
      <c r="A194" s="51"/>
      <c r="B194" s="47">
        <v>45880</v>
      </c>
      <c r="C194" s="48">
        <v>174671703</v>
      </c>
      <c r="D194" s="3">
        <v>2</v>
      </c>
      <c r="E194" s="28" t="s">
        <v>883</v>
      </c>
      <c r="F194" s="28" t="s">
        <v>144</v>
      </c>
      <c r="G194" s="49" t="s">
        <v>6</v>
      </c>
      <c r="H194" s="6">
        <v>2000</v>
      </c>
    </row>
    <row r="195" spans="1:8" ht="20.100000000000001" customHeight="1" x14ac:dyDescent="0.25">
      <c r="A195" s="51"/>
      <c r="B195" s="47">
        <v>45880</v>
      </c>
      <c r="C195" s="48">
        <v>764431698</v>
      </c>
      <c r="D195" s="3">
        <v>1</v>
      </c>
      <c r="E195" s="28" t="s">
        <v>884</v>
      </c>
      <c r="F195" s="28" t="s">
        <v>233</v>
      </c>
      <c r="G195" s="49" t="s">
        <v>11</v>
      </c>
      <c r="H195" s="6">
        <v>380</v>
      </c>
    </row>
    <row r="196" spans="1:8" ht="20.100000000000001" customHeight="1" x14ac:dyDescent="0.25">
      <c r="A196" s="51"/>
      <c r="B196" s="47">
        <v>45883</v>
      </c>
      <c r="C196" s="48">
        <v>2180468170</v>
      </c>
      <c r="D196" s="3">
        <v>1</v>
      </c>
      <c r="E196" s="28" t="s">
        <v>561</v>
      </c>
      <c r="F196" s="28" t="s">
        <v>885</v>
      </c>
      <c r="G196" s="49" t="s">
        <v>6</v>
      </c>
      <c r="H196" s="6">
        <v>700</v>
      </c>
    </row>
    <row r="197" spans="1:8" ht="20.100000000000001" customHeight="1" x14ac:dyDescent="0.25">
      <c r="A197" s="51"/>
      <c r="B197" s="47">
        <v>45887</v>
      </c>
      <c r="C197" s="48">
        <v>3115074907</v>
      </c>
      <c r="D197" s="3">
        <v>1</v>
      </c>
      <c r="E197" s="28" t="s">
        <v>886</v>
      </c>
      <c r="F197" s="28" t="s">
        <v>144</v>
      </c>
      <c r="G197" s="49" t="s">
        <v>6</v>
      </c>
      <c r="H197" s="6">
        <v>1000</v>
      </c>
    </row>
    <row r="198" spans="1:8" ht="20.100000000000001" customHeight="1" x14ac:dyDescent="0.25">
      <c r="A198" s="51"/>
      <c r="B198" s="47">
        <v>45887</v>
      </c>
      <c r="C198" s="48">
        <v>3115074907</v>
      </c>
      <c r="D198" s="3">
        <v>1</v>
      </c>
      <c r="E198" s="28" t="s">
        <v>886</v>
      </c>
      <c r="F198" s="28" t="s">
        <v>239</v>
      </c>
      <c r="G198" s="49" t="s">
        <v>6</v>
      </c>
      <c r="H198" s="6">
        <v>250</v>
      </c>
    </row>
    <row r="199" spans="1:8" ht="20.100000000000001" customHeight="1" x14ac:dyDescent="0.25">
      <c r="A199" s="51"/>
      <c r="B199" s="47">
        <v>45888</v>
      </c>
      <c r="C199" s="48">
        <v>1539196551</v>
      </c>
      <c r="D199" s="3">
        <v>1</v>
      </c>
      <c r="E199" s="28" t="s">
        <v>887</v>
      </c>
      <c r="F199" s="28" t="s">
        <v>888</v>
      </c>
      <c r="G199" s="49" t="s">
        <v>6</v>
      </c>
      <c r="H199" s="6">
        <v>640</v>
      </c>
    </row>
    <row r="200" spans="1:8" ht="20.100000000000001" customHeight="1" x14ac:dyDescent="0.25">
      <c r="A200" s="51"/>
      <c r="B200" s="47">
        <v>45890</v>
      </c>
      <c r="C200" s="48">
        <v>2302230762</v>
      </c>
      <c r="D200" s="3">
        <v>1</v>
      </c>
      <c r="E200" s="28" t="s">
        <v>889</v>
      </c>
      <c r="F200" s="28" t="s">
        <v>623</v>
      </c>
      <c r="G200" s="49" t="s">
        <v>7</v>
      </c>
      <c r="H200" s="6">
        <v>460</v>
      </c>
    </row>
    <row r="201" spans="1:8" ht="20.100000000000001" customHeight="1" x14ac:dyDescent="0.25">
      <c r="A201" s="51"/>
      <c r="B201" s="47">
        <v>45890</v>
      </c>
      <c r="C201" s="48">
        <v>2302230762</v>
      </c>
      <c r="D201" s="3">
        <v>1</v>
      </c>
      <c r="E201" s="28" t="s">
        <v>889</v>
      </c>
      <c r="F201" s="28" t="s">
        <v>737</v>
      </c>
      <c r="G201" s="49" t="s">
        <v>7</v>
      </c>
      <c r="H201" s="6">
        <v>850</v>
      </c>
    </row>
    <row r="202" spans="1:8" ht="20.100000000000001" customHeight="1" x14ac:dyDescent="0.25">
      <c r="A202" s="51"/>
      <c r="B202" s="47">
        <v>45890</v>
      </c>
      <c r="C202" s="48">
        <v>464536567</v>
      </c>
      <c r="D202" s="3">
        <v>1</v>
      </c>
      <c r="E202" s="28" t="s">
        <v>890</v>
      </c>
      <c r="F202" s="28" t="s">
        <v>878</v>
      </c>
      <c r="G202" s="49" t="s">
        <v>6</v>
      </c>
      <c r="H202" s="6">
        <v>300</v>
      </c>
    </row>
    <row r="203" spans="1:8" ht="20.100000000000001" customHeight="1" x14ac:dyDescent="0.25">
      <c r="A203" s="51"/>
      <c r="B203" s="47">
        <v>45897</v>
      </c>
      <c r="C203" s="48">
        <v>896812298</v>
      </c>
      <c r="D203" s="3">
        <v>1</v>
      </c>
      <c r="E203" s="28" t="s">
        <v>517</v>
      </c>
      <c r="F203" s="28" t="s">
        <v>891</v>
      </c>
      <c r="G203" s="49" t="s">
        <v>7</v>
      </c>
      <c r="H203" s="6">
        <v>950</v>
      </c>
    </row>
    <row r="204" spans="1:8" ht="20.100000000000001" customHeight="1" x14ac:dyDescent="0.25">
      <c r="A204" s="51"/>
      <c r="B204" s="47">
        <v>45897</v>
      </c>
      <c r="C204" s="48">
        <v>517816470</v>
      </c>
      <c r="D204" s="3">
        <v>1</v>
      </c>
      <c r="E204" s="28" t="s">
        <v>507</v>
      </c>
      <c r="F204" s="28" t="s">
        <v>892</v>
      </c>
      <c r="G204" s="49" t="s">
        <v>6</v>
      </c>
      <c r="H204" s="6">
        <v>450</v>
      </c>
    </row>
    <row r="205" spans="1:8" ht="20.100000000000001" customHeight="1" x14ac:dyDescent="0.25">
      <c r="A205" s="51"/>
      <c r="B205" s="47">
        <v>45897</v>
      </c>
      <c r="C205" s="48">
        <v>517816470</v>
      </c>
      <c r="D205" s="3">
        <v>1</v>
      </c>
      <c r="E205" s="28" t="s">
        <v>507</v>
      </c>
      <c r="F205" s="28" t="s">
        <v>893</v>
      </c>
      <c r="G205" s="49" t="s">
        <v>6</v>
      </c>
      <c r="H205" s="6">
        <v>450</v>
      </c>
    </row>
    <row r="206" spans="1:8" ht="20.100000000000001" customHeight="1" x14ac:dyDescent="0.25">
      <c r="A206" s="51"/>
      <c r="B206" s="47">
        <v>45898</v>
      </c>
      <c r="C206" s="48">
        <v>3533983594</v>
      </c>
      <c r="D206" s="3">
        <v>1</v>
      </c>
      <c r="E206" s="28" t="s">
        <v>894</v>
      </c>
      <c r="F206" s="28" t="s">
        <v>895</v>
      </c>
      <c r="G206" s="49" t="s">
        <v>7</v>
      </c>
      <c r="H206" s="6">
        <v>1050</v>
      </c>
    </row>
    <row r="207" spans="1:8" ht="20.100000000000001" customHeight="1" x14ac:dyDescent="0.25">
      <c r="A207" s="51"/>
      <c r="B207" s="47">
        <v>45898</v>
      </c>
      <c r="C207" s="48">
        <v>3533983594</v>
      </c>
      <c r="D207" s="3">
        <v>1</v>
      </c>
      <c r="E207" s="28" t="s">
        <v>894</v>
      </c>
      <c r="F207" s="28" t="s">
        <v>896</v>
      </c>
      <c r="G207" s="49" t="s">
        <v>7</v>
      </c>
      <c r="H207" s="6">
        <v>450</v>
      </c>
    </row>
    <row r="208" spans="1:8" ht="20.100000000000001" customHeight="1" x14ac:dyDescent="0.25">
      <c r="A208" s="51"/>
      <c r="B208" s="47">
        <v>45898</v>
      </c>
      <c r="C208" s="48">
        <v>3533983594</v>
      </c>
      <c r="D208" s="3">
        <v>1</v>
      </c>
      <c r="E208" s="28" t="s">
        <v>894</v>
      </c>
      <c r="F208" s="28" t="s">
        <v>946</v>
      </c>
      <c r="G208" s="49" t="s">
        <v>7</v>
      </c>
      <c r="H208" s="6">
        <v>670</v>
      </c>
    </row>
    <row r="209" spans="1:8" ht="20.100000000000001" customHeight="1" x14ac:dyDescent="0.25">
      <c r="A209" s="51"/>
      <c r="B209" s="47">
        <v>45898</v>
      </c>
      <c r="C209" s="48">
        <v>1402816691</v>
      </c>
      <c r="D209" s="3">
        <v>1</v>
      </c>
      <c r="E209" s="28" t="s">
        <v>477</v>
      </c>
      <c r="F209" s="28" t="s">
        <v>737</v>
      </c>
      <c r="G209" s="49" t="s">
        <v>6</v>
      </c>
      <c r="H209" s="6">
        <v>850</v>
      </c>
    </row>
    <row r="210" spans="1:8" ht="20.100000000000001" customHeight="1" x14ac:dyDescent="0.25">
      <c r="A210" s="51"/>
      <c r="B210" s="47">
        <v>45898</v>
      </c>
      <c r="C210" s="48">
        <v>1402816691</v>
      </c>
      <c r="D210" s="3">
        <v>1</v>
      </c>
      <c r="E210" s="28" t="s">
        <v>477</v>
      </c>
      <c r="F210" s="28" t="s">
        <v>144</v>
      </c>
      <c r="G210" s="49" t="s">
        <v>6</v>
      </c>
      <c r="H210" s="6">
        <v>1000</v>
      </c>
    </row>
    <row r="211" spans="1:8" ht="20.100000000000001" customHeight="1" x14ac:dyDescent="0.25">
      <c r="A211" s="51"/>
      <c r="B211" s="47">
        <v>45898</v>
      </c>
      <c r="C211" s="48">
        <v>1402816691</v>
      </c>
      <c r="D211" s="3">
        <v>1</v>
      </c>
      <c r="E211" s="28" t="s">
        <v>477</v>
      </c>
      <c r="F211" s="28" t="s">
        <v>239</v>
      </c>
      <c r="G211" s="49" t="s">
        <v>6</v>
      </c>
      <c r="H211" s="6">
        <v>250</v>
      </c>
    </row>
    <row r="212" spans="1:8" ht="20.100000000000001" customHeight="1" x14ac:dyDescent="0.25">
      <c r="A212" s="51"/>
      <c r="B212" s="47">
        <v>45902</v>
      </c>
      <c r="C212" s="48">
        <v>3010675219</v>
      </c>
      <c r="D212" s="3">
        <v>1</v>
      </c>
      <c r="E212" s="28" t="s">
        <v>947</v>
      </c>
      <c r="F212" s="28" t="s">
        <v>885</v>
      </c>
      <c r="G212" s="49" t="s">
        <v>6</v>
      </c>
      <c r="H212" s="6">
        <v>700</v>
      </c>
    </row>
    <row r="213" spans="1:8" ht="20.100000000000001" customHeight="1" x14ac:dyDescent="0.25">
      <c r="A213" s="51"/>
      <c r="B213" s="47">
        <v>45902</v>
      </c>
      <c r="C213" s="48">
        <v>3573565902</v>
      </c>
      <c r="D213" s="3">
        <v>1</v>
      </c>
      <c r="E213" s="28" t="s">
        <v>948</v>
      </c>
      <c r="F213" s="28" t="s">
        <v>949</v>
      </c>
      <c r="G213" s="49" t="s">
        <v>6</v>
      </c>
      <c r="H213" s="6">
        <v>640</v>
      </c>
    </row>
    <row r="214" spans="1:8" ht="20.100000000000001" customHeight="1" x14ac:dyDescent="0.25">
      <c r="A214" s="51"/>
      <c r="B214" s="47">
        <v>45905</v>
      </c>
      <c r="C214" s="48">
        <v>2897560455</v>
      </c>
      <c r="D214" s="3">
        <v>1</v>
      </c>
      <c r="E214" s="28" t="s">
        <v>950</v>
      </c>
      <c r="F214" s="28" t="s">
        <v>742</v>
      </c>
      <c r="G214" s="49" t="s">
        <v>7</v>
      </c>
      <c r="H214" s="6">
        <v>460</v>
      </c>
    </row>
    <row r="215" spans="1:8" ht="20.100000000000001" customHeight="1" x14ac:dyDescent="0.25">
      <c r="A215" s="51"/>
      <c r="B215" s="47">
        <v>45905</v>
      </c>
      <c r="C215" s="48">
        <v>1825591115</v>
      </c>
      <c r="D215" s="3">
        <v>1</v>
      </c>
      <c r="E215" s="28" t="s">
        <v>951</v>
      </c>
      <c r="F215" s="28" t="s">
        <v>742</v>
      </c>
      <c r="G215" s="49" t="s">
        <v>6</v>
      </c>
      <c r="H215" s="6">
        <v>460</v>
      </c>
    </row>
    <row r="216" spans="1:8" ht="20.100000000000001" customHeight="1" x14ac:dyDescent="0.25">
      <c r="A216" s="51"/>
      <c r="B216" s="47">
        <v>45908</v>
      </c>
      <c r="C216" s="48">
        <v>3709160146</v>
      </c>
      <c r="D216" s="3">
        <v>1</v>
      </c>
      <c r="E216" s="28" t="s">
        <v>952</v>
      </c>
      <c r="F216" s="28" t="s">
        <v>144</v>
      </c>
      <c r="G216" s="49" t="s">
        <v>7</v>
      </c>
      <c r="H216" s="6">
        <v>1000</v>
      </c>
    </row>
    <row r="217" spans="1:8" ht="20.100000000000001" customHeight="1" x14ac:dyDescent="0.25">
      <c r="A217" s="51"/>
      <c r="B217" s="47">
        <v>45912</v>
      </c>
      <c r="C217" s="48">
        <v>2037335700</v>
      </c>
      <c r="D217" s="3">
        <v>1</v>
      </c>
      <c r="E217" s="28" t="s">
        <v>953</v>
      </c>
      <c r="F217" s="28" t="s">
        <v>954</v>
      </c>
      <c r="G217" s="49" t="s">
        <v>7</v>
      </c>
      <c r="H217" s="6">
        <v>495</v>
      </c>
    </row>
    <row r="218" spans="1:8" ht="20.100000000000001" customHeight="1" x14ac:dyDescent="0.25">
      <c r="A218" s="51"/>
      <c r="B218" s="47">
        <v>45917</v>
      </c>
      <c r="C218" s="48">
        <v>254691443</v>
      </c>
      <c r="D218" s="3">
        <v>1</v>
      </c>
      <c r="E218" s="28" t="s">
        <v>955</v>
      </c>
      <c r="F218" s="28" t="s">
        <v>956</v>
      </c>
      <c r="G218" s="49" t="s">
        <v>6</v>
      </c>
      <c r="H218" s="6">
        <v>670</v>
      </c>
    </row>
    <row r="219" spans="1:8" ht="20.100000000000001" customHeight="1" x14ac:dyDescent="0.25">
      <c r="A219" s="51"/>
      <c r="B219" s="47">
        <v>45919</v>
      </c>
      <c r="C219" s="48">
        <v>1250313138</v>
      </c>
      <c r="D219" s="3">
        <v>1</v>
      </c>
      <c r="E219" s="28" t="s">
        <v>957</v>
      </c>
      <c r="F219" s="28" t="s">
        <v>958</v>
      </c>
      <c r="G219" s="49" t="s">
        <v>6</v>
      </c>
      <c r="H219" s="6">
        <v>850</v>
      </c>
    </row>
    <row r="220" spans="1:8" ht="20.100000000000001" customHeight="1" x14ac:dyDescent="0.25">
      <c r="A220" s="51"/>
      <c r="B220" s="47">
        <v>45919</v>
      </c>
      <c r="C220" s="48">
        <v>1039157004</v>
      </c>
      <c r="D220" s="3">
        <v>1</v>
      </c>
      <c r="E220" s="28" t="s">
        <v>496</v>
      </c>
      <c r="F220" s="28" t="s">
        <v>958</v>
      </c>
      <c r="G220" s="49" t="s">
        <v>7</v>
      </c>
      <c r="H220" s="6">
        <v>850</v>
      </c>
    </row>
    <row r="221" spans="1:8" ht="20.100000000000001" customHeight="1" x14ac:dyDescent="0.25">
      <c r="A221" s="51"/>
      <c r="B221" s="47">
        <v>45919</v>
      </c>
      <c r="C221" s="48">
        <v>1039157004</v>
      </c>
      <c r="D221" s="3">
        <v>1</v>
      </c>
      <c r="E221" s="28" t="s">
        <v>496</v>
      </c>
      <c r="F221" s="28" t="s">
        <v>601</v>
      </c>
      <c r="G221" s="49" t="s">
        <v>7</v>
      </c>
      <c r="H221" s="6">
        <v>550</v>
      </c>
    </row>
    <row r="222" spans="1:8" ht="20.100000000000001" customHeight="1" x14ac:dyDescent="0.25">
      <c r="A222" s="51"/>
      <c r="B222" s="47">
        <v>45926</v>
      </c>
      <c r="C222" s="48">
        <v>1275546562</v>
      </c>
      <c r="D222" s="3">
        <v>1</v>
      </c>
      <c r="E222" s="28" t="s">
        <v>959</v>
      </c>
      <c r="F222" s="28" t="s">
        <v>960</v>
      </c>
      <c r="G222" s="49" t="s">
        <v>7</v>
      </c>
      <c r="H222" s="6">
        <v>550</v>
      </c>
    </row>
    <row r="223" spans="1:8" ht="20.100000000000001" customHeight="1" x14ac:dyDescent="0.25">
      <c r="A223" s="51"/>
      <c r="B223" s="47">
        <v>45926</v>
      </c>
      <c r="C223" s="48">
        <v>1275546562</v>
      </c>
      <c r="D223" s="3">
        <v>1</v>
      </c>
      <c r="E223" s="28" t="s">
        <v>959</v>
      </c>
      <c r="F223" s="28" t="s">
        <v>961</v>
      </c>
      <c r="G223" s="49" t="s">
        <v>7</v>
      </c>
      <c r="H223" s="6">
        <v>850</v>
      </c>
    </row>
    <row r="224" spans="1:8" ht="20.100000000000001" customHeight="1" x14ac:dyDescent="0.25">
      <c r="A224" s="51"/>
      <c r="B224" s="47">
        <v>45931</v>
      </c>
      <c r="C224" s="48">
        <v>3529982003</v>
      </c>
      <c r="D224" s="3">
        <v>1</v>
      </c>
      <c r="E224" s="28" t="s">
        <v>610</v>
      </c>
      <c r="F224" s="28" t="s">
        <v>737</v>
      </c>
      <c r="G224" s="49" t="s">
        <v>6</v>
      </c>
      <c r="H224" s="6">
        <v>850</v>
      </c>
    </row>
    <row r="225" spans="1:8" ht="20.100000000000001" customHeight="1" x14ac:dyDescent="0.25">
      <c r="A225" s="51"/>
      <c r="B225" s="47">
        <v>45936</v>
      </c>
      <c r="C225" s="48">
        <v>2897103644</v>
      </c>
      <c r="D225" s="3">
        <v>1</v>
      </c>
      <c r="E225" s="28" t="s">
        <v>1024</v>
      </c>
      <c r="F225" s="28" t="s">
        <v>601</v>
      </c>
      <c r="G225" s="49" t="s">
        <v>7</v>
      </c>
      <c r="H225" s="6">
        <v>550</v>
      </c>
    </row>
    <row r="226" spans="1:8" ht="20.100000000000001" customHeight="1" x14ac:dyDescent="0.25">
      <c r="A226" s="51"/>
      <c r="B226" s="47">
        <v>45936</v>
      </c>
      <c r="C226" s="48">
        <v>1623277996</v>
      </c>
      <c r="D226" s="3">
        <v>1</v>
      </c>
      <c r="E226" s="28" t="s">
        <v>1025</v>
      </c>
      <c r="F226" s="28" t="s">
        <v>1026</v>
      </c>
      <c r="G226" s="49" t="s">
        <v>6</v>
      </c>
      <c r="H226" s="6">
        <v>450</v>
      </c>
    </row>
    <row r="227" spans="1:8" ht="20.100000000000001" customHeight="1" x14ac:dyDescent="0.25">
      <c r="A227" s="51"/>
      <c r="B227" s="47">
        <v>45936</v>
      </c>
      <c r="C227" s="48">
        <v>1623277996</v>
      </c>
      <c r="D227" s="3">
        <v>1</v>
      </c>
      <c r="E227" s="28" t="s">
        <v>1025</v>
      </c>
      <c r="F227" s="28" t="s">
        <v>753</v>
      </c>
      <c r="G227" s="49" t="s">
        <v>6</v>
      </c>
      <c r="H227" s="6">
        <v>450</v>
      </c>
    </row>
    <row r="228" spans="1:8" ht="20.100000000000001" customHeight="1" x14ac:dyDescent="0.25">
      <c r="A228" s="51"/>
      <c r="B228" s="47">
        <v>45937</v>
      </c>
      <c r="C228" s="48">
        <v>2855157970</v>
      </c>
      <c r="D228" s="3">
        <v>1</v>
      </c>
      <c r="E228" s="28" t="s">
        <v>517</v>
      </c>
      <c r="F228" s="28" t="s">
        <v>1027</v>
      </c>
      <c r="G228" s="49" t="s">
        <v>6</v>
      </c>
      <c r="H228" s="6">
        <v>950</v>
      </c>
    </row>
    <row r="229" spans="1:8" ht="20.100000000000001" customHeight="1" x14ac:dyDescent="0.25">
      <c r="A229" s="51"/>
      <c r="B229" s="47">
        <v>45937</v>
      </c>
      <c r="C229" s="48">
        <v>4216865372</v>
      </c>
      <c r="D229" s="3">
        <v>1</v>
      </c>
      <c r="E229" s="28" t="s">
        <v>1028</v>
      </c>
      <c r="F229" s="28" t="s">
        <v>520</v>
      </c>
      <c r="G229" s="49" t="s">
        <v>7</v>
      </c>
      <c r="H229" s="6">
        <v>290</v>
      </c>
    </row>
    <row r="230" spans="1:8" ht="20.100000000000001" customHeight="1" x14ac:dyDescent="0.25">
      <c r="A230" s="51"/>
      <c r="B230" s="47">
        <v>45938</v>
      </c>
      <c r="C230" s="48">
        <v>2404401480</v>
      </c>
      <c r="D230" s="3">
        <v>1</v>
      </c>
      <c r="E230" s="28" t="s">
        <v>739</v>
      </c>
      <c r="F230" s="28" t="s">
        <v>1029</v>
      </c>
      <c r="G230" s="49" t="s">
        <v>6</v>
      </c>
      <c r="H230" s="6">
        <v>950</v>
      </c>
    </row>
    <row r="231" spans="1:8" ht="20.100000000000001" customHeight="1" x14ac:dyDescent="0.25">
      <c r="A231" s="51"/>
      <c r="B231" s="47">
        <v>45938</v>
      </c>
      <c r="C231" s="48">
        <v>2404401480</v>
      </c>
      <c r="D231" s="3">
        <v>1</v>
      </c>
      <c r="E231" s="28" t="s">
        <v>739</v>
      </c>
      <c r="F231" s="28" t="s">
        <v>1030</v>
      </c>
      <c r="G231" s="49" t="s">
        <v>11</v>
      </c>
      <c r="H231" s="6">
        <v>900</v>
      </c>
    </row>
    <row r="232" spans="1:8" ht="20.100000000000001" customHeight="1" x14ac:dyDescent="0.25">
      <c r="A232" s="51"/>
      <c r="B232" s="47">
        <v>45939</v>
      </c>
      <c r="C232" s="48">
        <v>583483998</v>
      </c>
      <c r="D232" s="3">
        <v>1</v>
      </c>
      <c r="E232" s="28" t="s">
        <v>1031</v>
      </c>
      <c r="F232" s="28" t="s">
        <v>203</v>
      </c>
      <c r="G232" s="49" t="s">
        <v>7</v>
      </c>
      <c r="H232" s="6">
        <v>300</v>
      </c>
    </row>
    <row r="233" spans="1:8" ht="20.100000000000001" customHeight="1" x14ac:dyDescent="0.25">
      <c r="A233" s="51"/>
      <c r="B233" s="47">
        <v>45944</v>
      </c>
      <c r="C233" s="48">
        <v>4057153859</v>
      </c>
      <c r="D233" s="3">
        <v>1</v>
      </c>
      <c r="E233" s="28" t="s">
        <v>246</v>
      </c>
      <c r="F233" s="28" t="s">
        <v>1032</v>
      </c>
      <c r="G233" s="49" t="s">
        <v>7</v>
      </c>
      <c r="H233" s="6">
        <v>890</v>
      </c>
    </row>
    <row r="234" spans="1:8" ht="20.100000000000001" customHeight="1" x14ac:dyDescent="0.25">
      <c r="A234" s="51"/>
      <c r="B234" s="47">
        <v>45945</v>
      </c>
      <c r="C234" s="48">
        <v>3749855943</v>
      </c>
      <c r="D234" s="3">
        <v>1</v>
      </c>
      <c r="E234" s="28" t="s">
        <v>1033</v>
      </c>
      <c r="F234" s="28" t="s">
        <v>1027</v>
      </c>
      <c r="G234" s="49" t="s">
        <v>11</v>
      </c>
      <c r="H234" s="6">
        <v>950</v>
      </c>
    </row>
    <row r="235" spans="1:8" ht="20.100000000000001" customHeight="1" x14ac:dyDescent="0.25">
      <c r="A235" s="51"/>
      <c r="B235" s="47">
        <v>45947</v>
      </c>
      <c r="C235" s="48">
        <v>2449295460</v>
      </c>
      <c r="D235" s="3">
        <v>1</v>
      </c>
      <c r="E235" s="28" t="s">
        <v>812</v>
      </c>
      <c r="F235" s="28" t="s">
        <v>737</v>
      </c>
      <c r="G235" s="49" t="s">
        <v>6</v>
      </c>
      <c r="H235" s="6">
        <v>850</v>
      </c>
    </row>
    <row r="236" spans="1:8" ht="20.100000000000001" customHeight="1" x14ac:dyDescent="0.25">
      <c r="A236" s="51"/>
      <c r="B236" s="47">
        <v>45951</v>
      </c>
      <c r="C236" s="48">
        <v>3589621628</v>
      </c>
      <c r="D236" s="3">
        <v>1</v>
      </c>
      <c r="E236" s="28" t="s">
        <v>739</v>
      </c>
      <c r="F236" s="28" t="s">
        <v>1034</v>
      </c>
      <c r="G236" s="49" t="s">
        <v>6</v>
      </c>
      <c r="H236" s="6">
        <v>450</v>
      </c>
    </row>
    <row r="237" spans="1:8" ht="20.100000000000001" customHeight="1" x14ac:dyDescent="0.25">
      <c r="A237" s="51"/>
      <c r="B237" s="47">
        <v>45954</v>
      </c>
      <c r="C237" s="48">
        <v>1858815655</v>
      </c>
      <c r="D237" s="3">
        <v>1</v>
      </c>
      <c r="E237" s="28" t="s">
        <v>1035</v>
      </c>
      <c r="F237" s="28" t="s">
        <v>895</v>
      </c>
      <c r="G237" s="49" t="s">
        <v>6</v>
      </c>
      <c r="H237" s="6">
        <v>1050</v>
      </c>
    </row>
    <row r="238" spans="1:8" ht="20.100000000000001" customHeight="1" x14ac:dyDescent="0.25">
      <c r="A238" s="51"/>
      <c r="B238" s="47">
        <v>45954</v>
      </c>
      <c r="C238" s="48">
        <v>1946701151</v>
      </c>
      <c r="D238" s="3">
        <v>1</v>
      </c>
      <c r="E238" s="28" t="s">
        <v>101</v>
      </c>
      <c r="F238" s="28" t="s">
        <v>737</v>
      </c>
      <c r="G238" s="49" t="s">
        <v>6</v>
      </c>
      <c r="H238" s="6">
        <v>850</v>
      </c>
    </row>
    <row r="239" spans="1:8" ht="20.100000000000001" customHeight="1" x14ac:dyDescent="0.25">
      <c r="A239" s="51"/>
      <c r="B239" s="47">
        <v>45960</v>
      </c>
      <c r="C239" s="48">
        <v>2980398406</v>
      </c>
      <c r="D239" s="3">
        <v>1</v>
      </c>
      <c r="E239" s="28" t="s">
        <v>1036</v>
      </c>
      <c r="F239" s="28" t="s">
        <v>1037</v>
      </c>
      <c r="G239" s="49" t="s">
        <v>7</v>
      </c>
      <c r="H239" s="6">
        <v>850</v>
      </c>
    </row>
    <row r="240" spans="1:8" ht="20.100000000000001" customHeight="1" x14ac:dyDescent="0.25">
      <c r="A240" s="51"/>
      <c r="B240" s="47">
        <v>45961</v>
      </c>
      <c r="C240" s="48">
        <v>1661290147</v>
      </c>
      <c r="D240" s="3">
        <v>1</v>
      </c>
      <c r="E240" s="28" t="s">
        <v>1038</v>
      </c>
      <c r="F240" s="28" t="s">
        <v>1039</v>
      </c>
      <c r="G240" s="49" t="s">
        <v>6</v>
      </c>
      <c r="H240" s="6">
        <v>575</v>
      </c>
    </row>
    <row r="241" spans="1:8" ht="20.100000000000001" customHeight="1" x14ac:dyDescent="0.25">
      <c r="A241" s="51"/>
      <c r="B241" s="47">
        <v>45961</v>
      </c>
      <c r="C241" s="48">
        <v>1661290147</v>
      </c>
      <c r="D241" s="3">
        <v>1</v>
      </c>
      <c r="E241" s="28" t="s">
        <v>1038</v>
      </c>
      <c r="F241" s="28" t="s">
        <v>949</v>
      </c>
      <c r="G241" s="49" t="s">
        <v>6</v>
      </c>
      <c r="H241" s="6">
        <v>640</v>
      </c>
    </row>
    <row r="242" spans="1:8" ht="20.100000000000001" customHeight="1" x14ac:dyDescent="0.25">
      <c r="A242" s="51"/>
      <c r="B242" s="47">
        <v>45964</v>
      </c>
      <c r="C242" s="48">
        <v>413355122</v>
      </c>
      <c r="D242" s="3">
        <v>1</v>
      </c>
      <c r="E242" s="28" t="s">
        <v>1083</v>
      </c>
      <c r="F242" s="28" t="s">
        <v>334</v>
      </c>
      <c r="G242" s="49" t="s">
        <v>6</v>
      </c>
      <c r="H242" s="6">
        <v>550</v>
      </c>
    </row>
    <row r="243" spans="1:8" ht="20.100000000000001" customHeight="1" x14ac:dyDescent="0.25">
      <c r="A243" s="51"/>
      <c r="B243" s="47">
        <v>45965</v>
      </c>
      <c r="C243" s="48">
        <v>4255203486</v>
      </c>
      <c r="D243" s="3">
        <v>1</v>
      </c>
      <c r="E243" s="28" t="s">
        <v>1084</v>
      </c>
      <c r="F243" s="28" t="s">
        <v>239</v>
      </c>
      <c r="G243" s="49" t="s">
        <v>7</v>
      </c>
      <c r="H243" s="6">
        <v>250</v>
      </c>
    </row>
    <row r="244" spans="1:8" ht="20.100000000000001" customHeight="1" x14ac:dyDescent="0.25">
      <c r="A244" s="51"/>
      <c r="B244" s="47">
        <v>45966</v>
      </c>
      <c r="C244" s="48">
        <v>2379563435</v>
      </c>
      <c r="D244" s="3">
        <v>2</v>
      </c>
      <c r="E244" s="28" t="s">
        <v>889</v>
      </c>
      <c r="F244" s="28" t="s">
        <v>737</v>
      </c>
      <c r="G244" s="49" t="s">
        <v>6</v>
      </c>
      <c r="H244" s="6">
        <v>1700</v>
      </c>
    </row>
    <row r="245" spans="1:8" ht="20.100000000000001" customHeight="1" x14ac:dyDescent="0.25">
      <c r="A245" s="51"/>
      <c r="B245" s="47">
        <v>45966</v>
      </c>
      <c r="C245" s="48">
        <v>3827844233</v>
      </c>
      <c r="D245" s="3">
        <v>1</v>
      </c>
      <c r="E245" s="28" t="s">
        <v>256</v>
      </c>
      <c r="F245" s="28" t="s">
        <v>737</v>
      </c>
      <c r="G245" s="49" t="s">
        <v>7</v>
      </c>
      <c r="H245" s="6">
        <v>850</v>
      </c>
    </row>
    <row r="246" spans="1:8" ht="20.100000000000001" customHeight="1" x14ac:dyDescent="0.25">
      <c r="A246" s="51"/>
      <c r="B246" s="47">
        <v>45971</v>
      </c>
      <c r="C246" s="48">
        <v>3451274642</v>
      </c>
      <c r="D246" s="3">
        <v>1</v>
      </c>
      <c r="E246" s="28" t="s">
        <v>135</v>
      </c>
      <c r="F246" s="28" t="s">
        <v>737</v>
      </c>
      <c r="G246" s="49" t="s">
        <v>19</v>
      </c>
      <c r="H246" s="6">
        <v>850</v>
      </c>
    </row>
    <row r="247" spans="1:8" ht="20.100000000000001" customHeight="1" x14ac:dyDescent="0.25">
      <c r="A247" s="51"/>
      <c r="B247" s="47">
        <v>45971</v>
      </c>
      <c r="C247" s="48">
        <v>3451274642</v>
      </c>
      <c r="D247" s="3">
        <v>1</v>
      </c>
      <c r="E247" s="28" t="s">
        <v>135</v>
      </c>
      <c r="F247" s="28" t="s">
        <v>1085</v>
      </c>
      <c r="G247" s="49" t="s">
        <v>19</v>
      </c>
      <c r="H247" s="6">
        <v>550</v>
      </c>
    </row>
    <row r="248" spans="1:8" ht="20.100000000000001" customHeight="1" x14ac:dyDescent="0.25">
      <c r="A248" s="51"/>
      <c r="B248" s="47">
        <v>45972</v>
      </c>
      <c r="C248" s="48">
        <v>1322664740</v>
      </c>
      <c r="D248" s="3">
        <v>1</v>
      </c>
      <c r="E248" s="28" t="s">
        <v>534</v>
      </c>
      <c r="F248" s="28" t="s">
        <v>737</v>
      </c>
      <c r="G248" s="49" t="s">
        <v>6</v>
      </c>
      <c r="H248" s="6">
        <v>850</v>
      </c>
    </row>
    <row r="249" spans="1:8" ht="20.100000000000001" customHeight="1" x14ac:dyDescent="0.25">
      <c r="A249" s="51"/>
      <c r="B249" s="47">
        <v>45972</v>
      </c>
      <c r="C249" s="48">
        <v>1322664740</v>
      </c>
      <c r="D249" s="3">
        <v>1</v>
      </c>
      <c r="E249" s="28" t="s">
        <v>534</v>
      </c>
      <c r="F249" s="28" t="s">
        <v>1086</v>
      </c>
      <c r="G249" s="49" t="s">
        <v>6</v>
      </c>
      <c r="H249" s="6">
        <v>325</v>
      </c>
    </row>
    <row r="250" spans="1:8" ht="20.100000000000001" customHeight="1" x14ac:dyDescent="0.25">
      <c r="A250" s="51"/>
      <c r="B250" s="47">
        <v>45972</v>
      </c>
      <c r="C250" s="48">
        <v>776882755</v>
      </c>
      <c r="D250" s="3">
        <v>1</v>
      </c>
      <c r="E250" s="28" t="s">
        <v>1087</v>
      </c>
      <c r="F250" s="28" t="s">
        <v>239</v>
      </c>
      <c r="G250" s="49" t="s">
        <v>6</v>
      </c>
      <c r="H250" s="6">
        <v>250</v>
      </c>
    </row>
    <row r="251" spans="1:8" ht="20.100000000000001" customHeight="1" x14ac:dyDescent="0.25">
      <c r="A251" s="51"/>
      <c r="B251" s="47">
        <v>45979</v>
      </c>
      <c r="C251" s="48">
        <v>592006422</v>
      </c>
      <c r="D251" s="3">
        <v>1</v>
      </c>
      <c r="E251" s="28" t="s">
        <v>416</v>
      </c>
      <c r="F251" s="28" t="s">
        <v>1088</v>
      </c>
      <c r="G251" s="49" t="s">
        <v>11</v>
      </c>
      <c r="H251" s="6">
        <v>350</v>
      </c>
    </row>
    <row r="252" spans="1:8" ht="20.100000000000001" customHeight="1" x14ac:dyDescent="0.25">
      <c r="A252" s="51"/>
      <c r="B252" s="47">
        <v>45979</v>
      </c>
      <c r="C252" s="48">
        <v>592006422</v>
      </c>
      <c r="D252" s="3">
        <v>1</v>
      </c>
      <c r="E252" s="28" t="s">
        <v>416</v>
      </c>
      <c r="F252" s="28" t="s">
        <v>144</v>
      </c>
      <c r="G252" s="49" t="s">
        <v>11</v>
      </c>
      <c r="H252" s="6">
        <v>1000</v>
      </c>
    </row>
    <row r="253" spans="1:8" ht="20.100000000000001" customHeight="1" x14ac:dyDescent="0.25">
      <c r="A253" s="51"/>
      <c r="B253" s="47">
        <v>45979</v>
      </c>
      <c r="C253" s="48">
        <v>3138273598</v>
      </c>
      <c r="D253" s="3">
        <v>1</v>
      </c>
      <c r="E253" s="28" t="s">
        <v>185</v>
      </c>
      <c r="F253" s="28" t="s">
        <v>1089</v>
      </c>
      <c r="G253" s="49" t="s">
        <v>6</v>
      </c>
      <c r="H253" s="6">
        <v>500</v>
      </c>
    </row>
    <row r="254" spans="1:8" ht="20.100000000000001" customHeight="1" x14ac:dyDescent="0.25">
      <c r="A254" s="51"/>
      <c r="B254" s="47">
        <v>45979</v>
      </c>
      <c r="C254" s="48">
        <v>356598215</v>
      </c>
      <c r="D254" s="3">
        <v>1</v>
      </c>
      <c r="E254" s="28" t="s">
        <v>135</v>
      </c>
      <c r="F254" s="28" t="s">
        <v>1090</v>
      </c>
      <c r="G254" s="49" t="s">
        <v>6</v>
      </c>
      <c r="H254" s="6">
        <v>500</v>
      </c>
    </row>
    <row r="255" spans="1:8" ht="20.100000000000001" customHeight="1" x14ac:dyDescent="0.25">
      <c r="A255" s="51"/>
      <c r="B255" s="47">
        <v>45979</v>
      </c>
      <c r="C255" s="48">
        <v>1673413944</v>
      </c>
      <c r="D255" s="3">
        <v>1</v>
      </c>
      <c r="E255" s="28" t="s">
        <v>837</v>
      </c>
      <c r="F255" s="28" t="s">
        <v>1091</v>
      </c>
      <c r="G255" s="49" t="s">
        <v>7</v>
      </c>
      <c r="H255" s="6">
        <v>1400</v>
      </c>
    </row>
    <row r="256" spans="1:8" ht="20.100000000000001" customHeight="1" x14ac:dyDescent="0.25">
      <c r="A256" s="51"/>
      <c r="B256" s="47">
        <v>45979</v>
      </c>
      <c r="C256" s="48">
        <v>2108180692</v>
      </c>
      <c r="D256" s="3">
        <v>1</v>
      </c>
      <c r="E256" s="28" t="s">
        <v>1092</v>
      </c>
      <c r="F256" s="28" t="s">
        <v>1089</v>
      </c>
      <c r="G256" s="49" t="s">
        <v>13</v>
      </c>
      <c r="H256" s="6">
        <v>500</v>
      </c>
    </row>
    <row r="257" spans="1:8" ht="20.100000000000001" customHeight="1" x14ac:dyDescent="0.25">
      <c r="A257" s="51"/>
      <c r="B257" s="47">
        <v>45979</v>
      </c>
      <c r="C257" s="48">
        <v>2108180692</v>
      </c>
      <c r="D257" s="3">
        <v>1</v>
      </c>
      <c r="E257" s="28" t="s">
        <v>1092</v>
      </c>
      <c r="F257" s="28" t="s">
        <v>1090</v>
      </c>
      <c r="G257" s="49" t="s">
        <v>13</v>
      </c>
      <c r="H257" s="6">
        <v>500</v>
      </c>
    </row>
    <row r="258" spans="1:8" ht="20.100000000000001" customHeight="1" x14ac:dyDescent="0.25">
      <c r="A258" s="51"/>
      <c r="B258" s="47">
        <v>45979</v>
      </c>
      <c r="C258" s="48">
        <v>1866483479</v>
      </c>
      <c r="D258" s="3">
        <v>1</v>
      </c>
      <c r="E258" s="28" t="s">
        <v>1093</v>
      </c>
      <c r="F258" s="28" t="s">
        <v>1089</v>
      </c>
      <c r="G258" s="49" t="s">
        <v>6</v>
      </c>
      <c r="H258" s="6">
        <v>500</v>
      </c>
    </row>
    <row r="259" spans="1:8" ht="20.100000000000001" customHeight="1" x14ac:dyDescent="0.25">
      <c r="A259" s="51"/>
      <c r="B259" s="47">
        <v>45979</v>
      </c>
      <c r="C259" s="48">
        <v>1866483479</v>
      </c>
      <c r="D259" s="3">
        <v>1</v>
      </c>
      <c r="E259" s="28" t="s">
        <v>1093</v>
      </c>
      <c r="F259" s="28" t="s">
        <v>1094</v>
      </c>
      <c r="G259" s="49" t="s">
        <v>6</v>
      </c>
      <c r="H259" s="6">
        <v>640</v>
      </c>
    </row>
    <row r="260" spans="1:8" ht="20.100000000000001" customHeight="1" x14ac:dyDescent="0.25">
      <c r="A260" s="51"/>
      <c r="B260" s="47">
        <v>45979</v>
      </c>
      <c r="C260" s="48">
        <v>1981597906</v>
      </c>
      <c r="D260" s="3">
        <v>1</v>
      </c>
      <c r="E260" s="28" t="s">
        <v>1095</v>
      </c>
      <c r="F260" s="28" t="s">
        <v>1096</v>
      </c>
      <c r="G260" s="49" t="s">
        <v>7</v>
      </c>
      <c r="H260" s="6">
        <v>1000</v>
      </c>
    </row>
    <row r="261" spans="1:8" ht="20.100000000000001" customHeight="1" x14ac:dyDescent="0.25">
      <c r="A261" s="51"/>
      <c r="B261" s="47">
        <v>45979</v>
      </c>
      <c r="C261" s="48">
        <v>1981597906</v>
      </c>
      <c r="D261" s="3">
        <v>1</v>
      </c>
      <c r="E261" s="28" t="s">
        <v>1095</v>
      </c>
      <c r="F261" s="28" t="s">
        <v>1097</v>
      </c>
      <c r="G261" s="49" t="s">
        <v>7</v>
      </c>
      <c r="H261" s="6">
        <v>930</v>
      </c>
    </row>
    <row r="262" spans="1:8" ht="20.100000000000001" customHeight="1" x14ac:dyDescent="0.25">
      <c r="A262" s="51"/>
      <c r="B262" s="47">
        <v>45980</v>
      </c>
      <c r="C262" s="48">
        <v>3918153712</v>
      </c>
      <c r="D262" s="3">
        <v>1</v>
      </c>
      <c r="E262" s="28" t="s">
        <v>1098</v>
      </c>
      <c r="F262" s="28" t="s">
        <v>1090</v>
      </c>
      <c r="G262" s="49" t="s">
        <v>6</v>
      </c>
      <c r="H262" s="6">
        <v>500</v>
      </c>
    </row>
    <row r="263" spans="1:8" ht="20.100000000000001" customHeight="1" x14ac:dyDescent="0.25">
      <c r="A263" s="51"/>
      <c r="B263" s="47">
        <v>45980</v>
      </c>
      <c r="C263" s="48">
        <v>1344031929</v>
      </c>
      <c r="D263" s="3">
        <v>1</v>
      </c>
      <c r="E263" s="28" t="s">
        <v>133</v>
      </c>
      <c r="F263" s="28" t="s">
        <v>1099</v>
      </c>
      <c r="G263" s="49" t="s">
        <v>7</v>
      </c>
      <c r="H263" s="6">
        <v>1100</v>
      </c>
    </row>
    <row r="264" spans="1:8" ht="20.100000000000001" customHeight="1" x14ac:dyDescent="0.25">
      <c r="A264" s="51"/>
      <c r="B264" s="47">
        <v>45980</v>
      </c>
      <c r="C264" s="48">
        <v>1980189653</v>
      </c>
      <c r="D264" s="3">
        <v>1</v>
      </c>
      <c r="E264" s="28" t="s">
        <v>1100</v>
      </c>
      <c r="F264" s="28" t="s">
        <v>1089</v>
      </c>
      <c r="G264" s="49" t="s">
        <v>6</v>
      </c>
      <c r="H264" s="6">
        <v>500</v>
      </c>
    </row>
    <row r="265" spans="1:8" ht="20.100000000000001" customHeight="1" x14ac:dyDescent="0.25">
      <c r="A265" s="51"/>
      <c r="B265" s="47">
        <v>45980</v>
      </c>
      <c r="C265" s="48">
        <v>3661906380</v>
      </c>
      <c r="D265" s="3">
        <v>1</v>
      </c>
      <c r="E265" s="28" t="s">
        <v>1101</v>
      </c>
      <c r="F265" s="28" t="s">
        <v>1090</v>
      </c>
      <c r="G265" s="49" t="s">
        <v>11</v>
      </c>
      <c r="H265" s="6">
        <v>500</v>
      </c>
    </row>
    <row r="266" spans="1:8" ht="20.100000000000001" customHeight="1" x14ac:dyDescent="0.25">
      <c r="A266" s="51"/>
      <c r="B266" s="47">
        <v>45980</v>
      </c>
      <c r="C266" s="48">
        <v>1020347162</v>
      </c>
      <c r="D266" s="3">
        <v>1</v>
      </c>
      <c r="E266" s="28" t="s">
        <v>620</v>
      </c>
      <c r="F266" s="28" t="s">
        <v>1091</v>
      </c>
      <c r="G266" s="49" t="s">
        <v>7</v>
      </c>
      <c r="H266" s="6">
        <v>1400</v>
      </c>
    </row>
    <row r="267" spans="1:8" ht="20.100000000000001" customHeight="1" x14ac:dyDescent="0.25">
      <c r="A267" s="51"/>
      <c r="B267" s="47">
        <v>45980</v>
      </c>
      <c r="C267" s="48">
        <v>1694518157</v>
      </c>
      <c r="D267" s="3">
        <v>1</v>
      </c>
      <c r="E267" s="28" t="s">
        <v>534</v>
      </c>
      <c r="F267" s="28" t="s">
        <v>1091</v>
      </c>
      <c r="G267" s="49" t="s">
        <v>7</v>
      </c>
      <c r="H267" s="6">
        <v>1299</v>
      </c>
    </row>
    <row r="268" spans="1:8" ht="20.100000000000001" customHeight="1" x14ac:dyDescent="0.25">
      <c r="A268" s="51"/>
      <c r="B268" s="47">
        <v>45980</v>
      </c>
      <c r="C268" s="48">
        <v>1694518157</v>
      </c>
      <c r="D268" s="3">
        <v>1</v>
      </c>
      <c r="E268" s="28" t="s">
        <v>534</v>
      </c>
      <c r="F268" s="28" t="s">
        <v>737</v>
      </c>
      <c r="G268" s="49" t="s">
        <v>7</v>
      </c>
      <c r="H268" s="6">
        <v>750</v>
      </c>
    </row>
    <row r="269" spans="1:8" ht="20.100000000000001" customHeight="1" x14ac:dyDescent="0.25">
      <c r="A269" s="51"/>
      <c r="B269" s="47">
        <v>45980</v>
      </c>
      <c r="C269" s="48">
        <v>1694518157</v>
      </c>
      <c r="D269" s="3">
        <v>1</v>
      </c>
      <c r="E269" s="28" t="s">
        <v>534</v>
      </c>
      <c r="F269" s="28" t="s">
        <v>588</v>
      </c>
      <c r="G269" s="49" t="s">
        <v>7</v>
      </c>
      <c r="H269" s="6">
        <v>750</v>
      </c>
    </row>
    <row r="270" spans="1:8" ht="20.100000000000001" customHeight="1" x14ac:dyDescent="0.25">
      <c r="A270" s="51"/>
      <c r="B270" s="47">
        <v>45981</v>
      </c>
      <c r="C270" s="48">
        <v>2460765672</v>
      </c>
      <c r="D270" s="3">
        <v>1</v>
      </c>
      <c r="E270" s="28" t="s">
        <v>297</v>
      </c>
      <c r="F270" s="28" t="s">
        <v>1102</v>
      </c>
      <c r="G270" s="49" t="s">
        <v>7</v>
      </c>
      <c r="H270" s="6">
        <v>1199</v>
      </c>
    </row>
    <row r="271" spans="1:8" ht="20.100000000000001" customHeight="1" x14ac:dyDescent="0.25">
      <c r="A271" s="51"/>
      <c r="B271" s="47">
        <v>45981</v>
      </c>
      <c r="C271" s="48">
        <v>2460765672</v>
      </c>
      <c r="D271" s="3">
        <v>1</v>
      </c>
      <c r="E271" s="28" t="s">
        <v>297</v>
      </c>
      <c r="F271" s="28">
        <v>83295399</v>
      </c>
      <c r="G271" s="49" t="s">
        <v>7</v>
      </c>
      <c r="H271" s="6">
        <v>1098</v>
      </c>
    </row>
    <row r="272" spans="1:8" ht="20.100000000000001" customHeight="1" x14ac:dyDescent="0.25">
      <c r="A272" s="51"/>
      <c r="B272" s="47">
        <v>45981</v>
      </c>
      <c r="C272" s="48">
        <v>2460765672</v>
      </c>
      <c r="D272" s="3">
        <v>1</v>
      </c>
      <c r="E272" s="28" t="s">
        <v>297</v>
      </c>
      <c r="F272" s="28" t="s">
        <v>1103</v>
      </c>
      <c r="G272" s="49" t="s">
        <v>7</v>
      </c>
      <c r="H272" s="6">
        <v>1000</v>
      </c>
    </row>
    <row r="273" spans="1:8" ht="20.100000000000001" customHeight="1" x14ac:dyDescent="0.25">
      <c r="A273" s="51"/>
      <c r="B273" s="47">
        <v>45981</v>
      </c>
      <c r="C273" s="48">
        <v>2456438400</v>
      </c>
      <c r="D273" s="3">
        <v>1</v>
      </c>
      <c r="E273" s="28" t="s">
        <v>447</v>
      </c>
      <c r="F273" s="28" t="s">
        <v>1090</v>
      </c>
      <c r="G273" s="49" t="s">
        <v>6</v>
      </c>
      <c r="H273" s="6">
        <v>500</v>
      </c>
    </row>
    <row r="274" spans="1:8" ht="20.100000000000001" customHeight="1" x14ac:dyDescent="0.25">
      <c r="A274" s="51"/>
      <c r="B274" s="47">
        <v>45981</v>
      </c>
      <c r="C274" s="48">
        <v>1254903775</v>
      </c>
      <c r="D274" s="3">
        <v>1</v>
      </c>
      <c r="E274" s="28" t="s">
        <v>739</v>
      </c>
      <c r="F274" s="28" t="s">
        <v>1104</v>
      </c>
      <c r="G274" s="49" t="s">
        <v>6</v>
      </c>
      <c r="H274" s="6">
        <v>500</v>
      </c>
    </row>
    <row r="275" spans="1:8" ht="20.100000000000001" customHeight="1" x14ac:dyDescent="0.25">
      <c r="A275" s="51"/>
      <c r="B275" s="47">
        <v>45981</v>
      </c>
      <c r="C275" s="48">
        <v>3568518469</v>
      </c>
      <c r="D275" s="3">
        <v>1</v>
      </c>
      <c r="E275" s="28" t="s">
        <v>796</v>
      </c>
      <c r="F275" s="28" t="s">
        <v>1105</v>
      </c>
      <c r="G275" s="49" t="s">
        <v>6</v>
      </c>
      <c r="H275" s="6">
        <v>999</v>
      </c>
    </row>
    <row r="276" spans="1:8" ht="20.100000000000001" customHeight="1" x14ac:dyDescent="0.25">
      <c r="A276" s="51"/>
      <c r="B276" s="47">
        <v>45981</v>
      </c>
      <c r="C276" s="48">
        <v>3568518469</v>
      </c>
      <c r="D276" s="3">
        <v>1</v>
      </c>
      <c r="E276" s="28" t="s">
        <v>796</v>
      </c>
      <c r="F276" s="28" t="s">
        <v>1102</v>
      </c>
      <c r="G276" s="49" t="s">
        <v>6</v>
      </c>
      <c r="H276" s="6">
        <v>999</v>
      </c>
    </row>
    <row r="277" spans="1:8" ht="20.100000000000001" customHeight="1" x14ac:dyDescent="0.25">
      <c r="A277" s="51"/>
      <c r="B277" s="47">
        <v>45981</v>
      </c>
      <c r="C277" s="48">
        <v>3568518469</v>
      </c>
      <c r="D277" s="3">
        <v>1</v>
      </c>
      <c r="E277" s="28" t="s">
        <v>796</v>
      </c>
      <c r="F277" s="28" t="s">
        <v>1106</v>
      </c>
      <c r="G277" s="49" t="s">
        <v>6</v>
      </c>
      <c r="H277" s="6">
        <v>930</v>
      </c>
    </row>
    <row r="278" spans="1:8" ht="20.100000000000001" customHeight="1" x14ac:dyDescent="0.25">
      <c r="A278" s="51"/>
      <c r="B278" s="47">
        <v>45981</v>
      </c>
      <c r="C278" s="48">
        <v>3568518469</v>
      </c>
      <c r="D278" s="3">
        <v>1</v>
      </c>
      <c r="E278" s="28" t="s">
        <v>796</v>
      </c>
      <c r="F278" s="28" t="s">
        <v>1107</v>
      </c>
      <c r="G278" s="49" t="s">
        <v>6</v>
      </c>
      <c r="H278" s="6">
        <v>549.77</v>
      </c>
    </row>
    <row r="279" spans="1:8" ht="20.100000000000001" customHeight="1" x14ac:dyDescent="0.25">
      <c r="A279" s="51"/>
      <c r="B279" s="47">
        <v>45982</v>
      </c>
      <c r="C279" s="48">
        <v>419513487</v>
      </c>
      <c r="D279" s="3">
        <v>1</v>
      </c>
      <c r="E279" s="28" t="s">
        <v>1108</v>
      </c>
      <c r="F279" s="28" t="s">
        <v>1109</v>
      </c>
      <c r="G279" s="49" t="s">
        <v>6</v>
      </c>
      <c r="H279" s="6">
        <v>575</v>
      </c>
    </row>
    <row r="280" spans="1:8" ht="20.100000000000001" customHeight="1" x14ac:dyDescent="0.25">
      <c r="A280" s="51"/>
      <c r="B280" s="47">
        <v>45982</v>
      </c>
      <c r="C280" s="48">
        <v>4053617566</v>
      </c>
      <c r="D280" s="3">
        <v>1</v>
      </c>
      <c r="E280" s="28" t="s">
        <v>1110</v>
      </c>
      <c r="F280" s="28" t="s">
        <v>1090</v>
      </c>
      <c r="G280" s="49" t="s">
        <v>6</v>
      </c>
      <c r="H280" s="6">
        <v>500</v>
      </c>
    </row>
    <row r="281" spans="1:8" ht="20.100000000000001" customHeight="1" x14ac:dyDescent="0.25">
      <c r="A281" s="51"/>
      <c r="B281" s="47">
        <v>45985</v>
      </c>
      <c r="C281" s="48">
        <v>1671972613</v>
      </c>
      <c r="D281" s="3">
        <v>1</v>
      </c>
      <c r="E281" s="28" t="s">
        <v>341</v>
      </c>
      <c r="F281" s="28" t="s">
        <v>1111</v>
      </c>
      <c r="G281" s="49" t="s">
        <v>10</v>
      </c>
      <c r="H281" s="6">
        <v>580</v>
      </c>
    </row>
    <row r="282" spans="1:8" ht="20.100000000000001" customHeight="1" x14ac:dyDescent="0.25">
      <c r="A282" s="51"/>
      <c r="B282" s="47">
        <v>45985</v>
      </c>
      <c r="C282" s="48">
        <v>1671972613</v>
      </c>
      <c r="D282" s="3">
        <v>2</v>
      </c>
      <c r="E282" s="28" t="s">
        <v>341</v>
      </c>
      <c r="F282" s="28" t="s">
        <v>737</v>
      </c>
      <c r="G282" s="49" t="s">
        <v>10</v>
      </c>
      <c r="H282" s="6">
        <v>1500</v>
      </c>
    </row>
    <row r="283" spans="1:8" ht="20.100000000000001" customHeight="1" x14ac:dyDescent="0.25">
      <c r="A283" s="51"/>
      <c r="B283" s="47">
        <v>45985</v>
      </c>
      <c r="C283" s="48">
        <v>1671972613</v>
      </c>
      <c r="D283" s="3">
        <v>2</v>
      </c>
      <c r="E283" s="28" t="s">
        <v>341</v>
      </c>
      <c r="F283" s="28" t="s">
        <v>1085</v>
      </c>
      <c r="G283" s="49" t="s">
        <v>10</v>
      </c>
      <c r="H283" s="6">
        <v>1180</v>
      </c>
    </row>
    <row r="284" spans="1:8" ht="20.100000000000001" customHeight="1" x14ac:dyDescent="0.25">
      <c r="A284" s="51"/>
      <c r="B284" s="47">
        <v>45985</v>
      </c>
      <c r="C284" s="48">
        <v>1671972613</v>
      </c>
      <c r="D284" s="3">
        <v>1</v>
      </c>
      <c r="E284" s="28" t="s">
        <v>341</v>
      </c>
      <c r="F284" s="28" t="s">
        <v>1112</v>
      </c>
      <c r="G284" s="49" t="s">
        <v>10</v>
      </c>
      <c r="H284" s="6">
        <v>450</v>
      </c>
    </row>
    <row r="285" spans="1:8" ht="20.100000000000001" customHeight="1" x14ac:dyDescent="0.25">
      <c r="A285" s="51"/>
      <c r="B285" s="47">
        <v>45988</v>
      </c>
      <c r="C285" s="48">
        <v>24136401</v>
      </c>
      <c r="D285" s="3">
        <v>1</v>
      </c>
      <c r="E285" s="28" t="s">
        <v>419</v>
      </c>
      <c r="F285" s="28" t="s">
        <v>1113</v>
      </c>
      <c r="G285" s="49" t="s">
        <v>19</v>
      </c>
      <c r="H285" s="6">
        <v>1300</v>
      </c>
    </row>
    <row r="286" spans="1:8" ht="20.100000000000001" customHeight="1" x14ac:dyDescent="0.25">
      <c r="A286" s="51"/>
      <c r="B286" s="47">
        <v>45992</v>
      </c>
      <c r="C286" s="48">
        <v>2124759364</v>
      </c>
      <c r="D286" s="3">
        <v>2</v>
      </c>
      <c r="E286" s="28" t="s">
        <v>101</v>
      </c>
      <c r="F286" s="28" t="s">
        <v>737</v>
      </c>
      <c r="G286" s="49" t="s">
        <v>6</v>
      </c>
      <c r="H286" s="6">
        <v>1500</v>
      </c>
    </row>
    <row r="287" spans="1:8" ht="20.100000000000001" customHeight="1" x14ac:dyDescent="0.25">
      <c r="A287" s="51"/>
      <c r="B287" s="47">
        <v>45995</v>
      </c>
      <c r="C287" s="48">
        <v>110250615</v>
      </c>
      <c r="D287" s="3">
        <v>1</v>
      </c>
      <c r="E287" s="28" t="s">
        <v>477</v>
      </c>
      <c r="F287" s="28" t="s">
        <v>1229</v>
      </c>
      <c r="G287" s="49" t="s">
        <v>6</v>
      </c>
      <c r="H287" s="6">
        <v>250</v>
      </c>
    </row>
    <row r="288" spans="1:8" ht="20.100000000000001" customHeight="1" x14ac:dyDescent="0.25">
      <c r="A288" s="51"/>
      <c r="B288" s="47">
        <v>45995</v>
      </c>
      <c r="C288" s="48">
        <v>110250615</v>
      </c>
      <c r="D288" s="3">
        <v>2</v>
      </c>
      <c r="E288" s="28" t="s">
        <v>477</v>
      </c>
      <c r="F288" s="28" t="s">
        <v>1230</v>
      </c>
      <c r="G288" s="49" t="s">
        <v>6</v>
      </c>
      <c r="H288" s="6">
        <v>490</v>
      </c>
    </row>
    <row r="289" spans="1:8" ht="20.100000000000001" customHeight="1" x14ac:dyDescent="0.25">
      <c r="A289" s="51"/>
      <c r="B289" s="47">
        <v>46000</v>
      </c>
      <c r="C289" s="48">
        <v>1195067160</v>
      </c>
      <c r="D289" s="3">
        <v>1</v>
      </c>
      <c r="E289" s="28" t="s">
        <v>1231</v>
      </c>
      <c r="F289" s="28" t="s">
        <v>144</v>
      </c>
      <c r="G289" s="49" t="s">
        <v>6</v>
      </c>
      <c r="H289" s="6">
        <v>1000</v>
      </c>
    </row>
    <row r="290" spans="1:8" ht="20.100000000000001" customHeight="1" x14ac:dyDescent="0.25">
      <c r="A290" s="51"/>
      <c r="B290" s="47">
        <v>46001</v>
      </c>
      <c r="C290" s="48">
        <v>1615613178</v>
      </c>
      <c r="D290" s="3">
        <v>1</v>
      </c>
      <c r="E290" s="28" t="s">
        <v>1232</v>
      </c>
      <c r="F290" s="28" t="s">
        <v>591</v>
      </c>
      <c r="G290" s="49" t="s">
        <v>7</v>
      </c>
      <c r="H290" s="6">
        <v>350</v>
      </c>
    </row>
    <row r="291" spans="1:8" ht="20.100000000000001" customHeight="1" x14ac:dyDescent="0.25">
      <c r="A291" s="51"/>
      <c r="B291" s="47">
        <v>46001</v>
      </c>
      <c r="C291" s="48">
        <v>3021553856</v>
      </c>
      <c r="D291" s="3">
        <v>1</v>
      </c>
      <c r="E291" s="28" t="s">
        <v>1193</v>
      </c>
      <c r="F291" s="28" t="s">
        <v>745</v>
      </c>
      <c r="G291" s="49" t="s">
        <v>19</v>
      </c>
      <c r="H291" s="6">
        <v>810</v>
      </c>
    </row>
    <row r="292" spans="1:8" ht="20.100000000000001" customHeight="1" x14ac:dyDescent="0.25">
      <c r="A292" s="51"/>
      <c r="B292" s="47">
        <v>46001</v>
      </c>
      <c r="C292" s="48">
        <v>3021553856</v>
      </c>
      <c r="D292" s="3">
        <v>1</v>
      </c>
      <c r="E292" s="28" t="s">
        <v>1193</v>
      </c>
      <c r="F292" s="28" t="s">
        <v>1233</v>
      </c>
      <c r="G292" s="49" t="s">
        <v>19</v>
      </c>
      <c r="H292" s="6">
        <v>730</v>
      </c>
    </row>
    <row r="293" spans="1:8" ht="20.100000000000001" customHeight="1" x14ac:dyDescent="0.25">
      <c r="A293" s="51"/>
      <c r="B293" s="47">
        <v>46002</v>
      </c>
      <c r="C293" s="48">
        <v>2386772829</v>
      </c>
      <c r="D293" s="3">
        <v>1</v>
      </c>
      <c r="E293" s="28" t="s">
        <v>1234</v>
      </c>
      <c r="F293" s="28" t="s">
        <v>1085</v>
      </c>
      <c r="G293" s="49" t="s">
        <v>6</v>
      </c>
      <c r="H293" s="6">
        <v>550</v>
      </c>
    </row>
    <row r="294" spans="1:8" ht="20.100000000000001" customHeight="1" x14ac:dyDescent="0.25">
      <c r="A294" s="51"/>
      <c r="B294" s="47">
        <v>46003</v>
      </c>
      <c r="C294" s="48">
        <v>1339051458</v>
      </c>
      <c r="D294" s="3">
        <v>1</v>
      </c>
      <c r="E294" s="28" t="s">
        <v>1235</v>
      </c>
      <c r="F294" s="28" t="s">
        <v>1236</v>
      </c>
      <c r="G294" s="49" t="s">
        <v>7</v>
      </c>
      <c r="H294" s="6">
        <v>950</v>
      </c>
    </row>
    <row r="295" spans="1:8" ht="20.100000000000001" customHeight="1" x14ac:dyDescent="0.25">
      <c r="A295" s="51"/>
      <c r="B295" s="47">
        <v>46006</v>
      </c>
      <c r="C295" s="48">
        <v>1678328464</v>
      </c>
      <c r="D295" s="3">
        <v>1</v>
      </c>
      <c r="E295" s="28" t="s">
        <v>754</v>
      </c>
      <c r="F295" s="28" t="s">
        <v>239</v>
      </c>
      <c r="G295" s="49" t="s">
        <v>11</v>
      </c>
      <c r="H295" s="6">
        <v>250</v>
      </c>
    </row>
    <row r="296" spans="1:8" ht="20.100000000000001" customHeight="1" x14ac:dyDescent="0.25">
      <c r="A296" s="51"/>
      <c r="B296" s="47">
        <v>46006</v>
      </c>
      <c r="C296" s="48">
        <v>852574634</v>
      </c>
      <c r="D296" s="3">
        <v>1</v>
      </c>
      <c r="E296" s="28" t="s">
        <v>1237</v>
      </c>
      <c r="F296" s="28" t="s">
        <v>233</v>
      </c>
      <c r="G296" s="49" t="s">
        <v>10</v>
      </c>
      <c r="H296" s="6">
        <v>380</v>
      </c>
    </row>
    <row r="297" spans="1:8" ht="20.100000000000001" customHeight="1" x14ac:dyDescent="0.25">
      <c r="A297" s="51"/>
      <c r="B297" s="47">
        <v>46007</v>
      </c>
      <c r="C297" s="48">
        <v>2297384326</v>
      </c>
      <c r="D297" s="3">
        <v>1</v>
      </c>
      <c r="E297" s="28" t="s">
        <v>1238</v>
      </c>
      <c r="F297" s="28" t="s">
        <v>1239</v>
      </c>
      <c r="G297" s="49" t="s">
        <v>6</v>
      </c>
      <c r="H297" s="6">
        <v>650</v>
      </c>
    </row>
    <row r="298" spans="1:8" ht="20.100000000000001" customHeight="1" x14ac:dyDescent="0.25">
      <c r="A298" s="51"/>
      <c r="B298" s="47">
        <v>46009</v>
      </c>
      <c r="C298" s="48">
        <v>2992196965</v>
      </c>
      <c r="D298" s="3">
        <v>2</v>
      </c>
      <c r="E298" s="28" t="s">
        <v>1240</v>
      </c>
      <c r="F298" s="28" t="s">
        <v>1241</v>
      </c>
      <c r="G298" s="49" t="s">
        <v>6</v>
      </c>
      <c r="H298" s="6">
        <v>470</v>
      </c>
    </row>
    <row r="299" spans="1:8" ht="20.100000000000001" customHeight="1" x14ac:dyDescent="0.25">
      <c r="A299" s="51"/>
      <c r="B299" s="47">
        <v>46009</v>
      </c>
      <c r="C299" s="48">
        <v>2992196965</v>
      </c>
      <c r="D299" s="3">
        <v>1</v>
      </c>
      <c r="E299" s="28" t="s">
        <v>1240</v>
      </c>
      <c r="F299" s="28" t="s">
        <v>1242</v>
      </c>
      <c r="G299" s="49" t="s">
        <v>6</v>
      </c>
      <c r="H299" s="6">
        <v>200</v>
      </c>
    </row>
    <row r="300" spans="1:8" ht="20.100000000000001" customHeight="1" x14ac:dyDescent="0.25">
      <c r="A300" s="52"/>
      <c r="B300" s="13"/>
      <c r="C300" s="13"/>
      <c r="D300" s="14"/>
      <c r="E300" s="14" t="s">
        <v>5</v>
      </c>
      <c r="F300" s="18"/>
      <c r="G300" s="15"/>
      <c r="H300" s="17">
        <f>SUM(H3:H299)</f>
        <v>213205.22</v>
      </c>
    </row>
    <row r="301" spans="1:8" ht="20.100000000000001" customHeight="1" x14ac:dyDescent="0.25">
      <c r="F301"/>
    </row>
    <row r="302" spans="1:8" x14ac:dyDescent="0.25">
      <c r="F302"/>
    </row>
    <row r="303" spans="1:8" x14ac:dyDescent="0.25">
      <c r="F303"/>
    </row>
    <row r="304" spans="1:8" x14ac:dyDescent="0.25">
      <c r="F304"/>
    </row>
    <row r="305" spans="6:6" x14ac:dyDescent="0.25">
      <c r="F305"/>
    </row>
    <row r="306" spans="6:6" x14ac:dyDescent="0.25">
      <c r="F306"/>
    </row>
  </sheetData>
  <autoFilter ref="B1:H300" xr:uid="{00000000-0009-0000-0000-000001000000}"/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H171"/>
  <sheetViews>
    <sheetView workbookViewId="0">
      <pane ySplit="2" topLeftCell="A12" activePane="bottomLeft" state="frozen"/>
      <selection activeCell="E54" sqref="E54"/>
      <selection pane="bottomLeft" activeCell="E38" sqref="E38"/>
    </sheetView>
  </sheetViews>
  <sheetFormatPr baseColWidth="10" defaultColWidth="9.140625" defaultRowHeight="15" x14ac:dyDescent="0.25"/>
  <cols>
    <col min="1" max="1" width="20.5703125" bestFit="1" customWidth="1"/>
    <col min="2" max="2" width="14" bestFit="1" customWidth="1"/>
    <col min="3" max="3" width="17.42578125" customWidth="1"/>
    <col min="4" max="4" width="11" customWidth="1"/>
    <col min="5" max="5" width="34.28515625" bestFit="1" customWidth="1"/>
    <col min="6" max="6" width="49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0" t="s">
        <v>9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54"/>
      <c r="B2" s="86"/>
      <c r="C2" s="88"/>
      <c r="D2" s="88"/>
      <c r="E2" s="88"/>
      <c r="F2" s="88"/>
      <c r="G2" s="82"/>
      <c r="H2" s="84"/>
    </row>
    <row r="3" spans="1:8" ht="15.75" x14ac:dyDescent="0.25">
      <c r="A3" s="54"/>
      <c r="B3" s="2">
        <v>45670</v>
      </c>
      <c r="C3" s="3">
        <v>1584874036</v>
      </c>
      <c r="D3" s="3">
        <v>1</v>
      </c>
      <c r="E3" s="4" t="s">
        <v>152</v>
      </c>
      <c r="F3" s="19" t="s">
        <v>102</v>
      </c>
      <c r="G3" s="5" t="s">
        <v>7</v>
      </c>
      <c r="H3" s="6">
        <v>2800</v>
      </c>
    </row>
    <row r="4" spans="1:8" ht="15.75" x14ac:dyDescent="0.25">
      <c r="A4" s="54"/>
      <c r="B4" s="2">
        <v>45700</v>
      </c>
      <c r="C4" s="3">
        <v>1742293672</v>
      </c>
      <c r="D4" s="3">
        <v>1</v>
      </c>
      <c r="E4" s="4" t="s">
        <v>200</v>
      </c>
      <c r="F4" s="19" t="s">
        <v>240</v>
      </c>
      <c r="G4" s="5" t="s">
        <v>6</v>
      </c>
      <c r="H4" s="6">
        <v>2800</v>
      </c>
    </row>
    <row r="5" spans="1:8" ht="20.100000000000001" customHeight="1" x14ac:dyDescent="0.25">
      <c r="A5" s="54"/>
      <c r="B5" s="2">
        <v>45701</v>
      </c>
      <c r="C5" s="3">
        <v>3569110488</v>
      </c>
      <c r="D5" s="3">
        <v>2</v>
      </c>
      <c r="E5" s="4" t="s">
        <v>241</v>
      </c>
      <c r="F5" s="19" t="s">
        <v>242</v>
      </c>
      <c r="G5" s="5" t="s">
        <v>7</v>
      </c>
      <c r="H5" s="6">
        <v>5600</v>
      </c>
    </row>
    <row r="6" spans="1:8" ht="20.100000000000001" customHeight="1" x14ac:dyDescent="0.25">
      <c r="A6" s="54"/>
      <c r="B6" s="2">
        <v>45706</v>
      </c>
      <c r="C6" s="3">
        <v>3552724814</v>
      </c>
      <c r="D6" s="3">
        <v>2</v>
      </c>
      <c r="E6" s="4" t="s">
        <v>215</v>
      </c>
      <c r="F6" s="19" t="s">
        <v>243</v>
      </c>
      <c r="G6" s="5" t="s">
        <v>7</v>
      </c>
      <c r="H6" s="6">
        <v>5500</v>
      </c>
    </row>
    <row r="7" spans="1:8" ht="20.100000000000001" customHeight="1" x14ac:dyDescent="0.25">
      <c r="A7" s="54"/>
      <c r="B7" s="2">
        <v>45722</v>
      </c>
      <c r="C7" s="3">
        <v>3979231340</v>
      </c>
      <c r="D7" s="3">
        <v>1</v>
      </c>
      <c r="E7" s="4" t="s">
        <v>365</v>
      </c>
      <c r="F7" s="19" t="s">
        <v>240</v>
      </c>
      <c r="G7" s="5" t="s">
        <v>19</v>
      </c>
      <c r="H7" s="6">
        <v>2800</v>
      </c>
    </row>
    <row r="8" spans="1:8" ht="15.75" x14ac:dyDescent="0.25">
      <c r="A8" s="54"/>
      <c r="B8" s="2">
        <v>45733</v>
      </c>
      <c r="C8" s="3">
        <v>352800455</v>
      </c>
      <c r="D8" s="3">
        <v>1</v>
      </c>
      <c r="E8" s="4" t="s">
        <v>215</v>
      </c>
      <c r="F8" s="19" t="s">
        <v>240</v>
      </c>
      <c r="G8" s="5" t="s">
        <v>6</v>
      </c>
      <c r="H8" s="6">
        <v>2800</v>
      </c>
    </row>
    <row r="9" spans="1:8" ht="20.100000000000001" customHeight="1" x14ac:dyDescent="0.25">
      <c r="A9" s="54"/>
      <c r="B9" s="2">
        <v>45733</v>
      </c>
      <c r="C9" s="3">
        <v>352800455</v>
      </c>
      <c r="D9" s="3">
        <v>1</v>
      </c>
      <c r="E9" s="4" t="s">
        <v>215</v>
      </c>
      <c r="F9" s="19" t="s">
        <v>242</v>
      </c>
      <c r="G9" s="5" t="s">
        <v>6</v>
      </c>
      <c r="H9" s="6">
        <v>2500</v>
      </c>
    </row>
    <row r="10" spans="1:8" ht="20.100000000000001" customHeight="1" x14ac:dyDescent="0.25">
      <c r="A10" s="54"/>
      <c r="B10" s="2">
        <v>45790</v>
      </c>
      <c r="C10" s="3">
        <v>1588610819</v>
      </c>
      <c r="D10" s="3">
        <v>2</v>
      </c>
      <c r="E10" s="4" t="s">
        <v>633</v>
      </c>
      <c r="F10" s="19" t="s">
        <v>242</v>
      </c>
      <c r="G10" s="5" t="s">
        <v>7</v>
      </c>
      <c r="H10" s="6">
        <v>5000</v>
      </c>
    </row>
    <row r="11" spans="1:8" ht="20.100000000000001" customHeight="1" x14ac:dyDescent="0.25">
      <c r="A11" s="54"/>
      <c r="B11" s="2">
        <v>45807</v>
      </c>
      <c r="C11" s="3">
        <v>1849510375</v>
      </c>
      <c r="D11" s="3">
        <v>2</v>
      </c>
      <c r="E11" s="4" t="s">
        <v>241</v>
      </c>
      <c r="F11" s="19" t="s">
        <v>242</v>
      </c>
      <c r="G11" s="5" t="s">
        <v>7</v>
      </c>
      <c r="H11" s="6">
        <v>5600</v>
      </c>
    </row>
    <row r="12" spans="1:8" ht="20.100000000000001" customHeight="1" x14ac:dyDescent="0.25">
      <c r="A12" s="54"/>
      <c r="B12" s="2">
        <v>45819</v>
      </c>
      <c r="C12" s="3">
        <v>3729214098</v>
      </c>
      <c r="D12" s="3">
        <v>1</v>
      </c>
      <c r="E12" s="4" t="s">
        <v>549</v>
      </c>
      <c r="F12" s="19" t="s">
        <v>240</v>
      </c>
      <c r="G12" s="5" t="s">
        <v>7</v>
      </c>
      <c r="H12" s="6">
        <v>2800</v>
      </c>
    </row>
    <row r="13" spans="1:8" ht="20.100000000000001" customHeight="1" x14ac:dyDescent="0.25">
      <c r="A13" s="54"/>
      <c r="B13" s="2">
        <v>45819</v>
      </c>
      <c r="C13" s="3">
        <v>850674363</v>
      </c>
      <c r="D13" s="3">
        <v>1</v>
      </c>
      <c r="E13" s="4" t="s">
        <v>634</v>
      </c>
      <c r="F13" s="19" t="s">
        <v>240</v>
      </c>
      <c r="G13" s="5" t="s">
        <v>6</v>
      </c>
      <c r="H13" s="6">
        <v>2800</v>
      </c>
    </row>
    <row r="14" spans="1:8" ht="20.100000000000001" customHeight="1" x14ac:dyDescent="0.25">
      <c r="A14" s="54"/>
      <c r="B14" s="2">
        <v>45833</v>
      </c>
      <c r="C14" s="3">
        <v>3660595390</v>
      </c>
      <c r="D14" s="3">
        <v>2</v>
      </c>
      <c r="E14" s="4" t="s">
        <v>362</v>
      </c>
      <c r="F14" s="19" t="s">
        <v>635</v>
      </c>
      <c r="G14" s="5" t="s">
        <v>7</v>
      </c>
      <c r="H14" s="6">
        <v>5600</v>
      </c>
    </row>
    <row r="15" spans="1:8" ht="20.100000000000001" customHeight="1" x14ac:dyDescent="0.25">
      <c r="A15" s="54"/>
      <c r="B15" s="2">
        <v>45833</v>
      </c>
      <c r="C15" s="3">
        <v>3173534867</v>
      </c>
      <c r="D15" s="3">
        <v>1</v>
      </c>
      <c r="E15" s="4" t="s">
        <v>636</v>
      </c>
      <c r="F15" s="19" t="s">
        <v>240</v>
      </c>
      <c r="G15" s="5" t="s">
        <v>7</v>
      </c>
      <c r="H15" s="6">
        <v>2800</v>
      </c>
    </row>
    <row r="16" spans="1:8" ht="20.100000000000001" customHeight="1" x14ac:dyDescent="0.25">
      <c r="A16" s="54"/>
      <c r="B16" s="2">
        <v>45852</v>
      </c>
      <c r="C16" s="3">
        <v>2383888716</v>
      </c>
      <c r="D16" s="3">
        <v>1</v>
      </c>
      <c r="E16" s="4" t="s">
        <v>749</v>
      </c>
      <c r="F16" s="19" t="s">
        <v>240</v>
      </c>
      <c r="G16" s="5" t="s">
        <v>10</v>
      </c>
      <c r="H16" s="6">
        <v>2800</v>
      </c>
    </row>
    <row r="17" spans="1:8" ht="20.100000000000001" customHeight="1" x14ac:dyDescent="0.25">
      <c r="A17" s="54"/>
      <c r="B17" s="47">
        <v>45912</v>
      </c>
      <c r="C17" s="48">
        <v>2574010395</v>
      </c>
      <c r="D17" s="3">
        <v>2</v>
      </c>
      <c r="E17" s="28" t="s">
        <v>957</v>
      </c>
      <c r="F17" s="28" t="s">
        <v>962</v>
      </c>
      <c r="G17" s="49" t="s">
        <v>7</v>
      </c>
      <c r="H17" s="6">
        <v>5000</v>
      </c>
    </row>
    <row r="18" spans="1:8" ht="20.100000000000001" customHeight="1" x14ac:dyDescent="0.25">
      <c r="A18" s="54"/>
      <c r="B18" s="47">
        <v>45923</v>
      </c>
      <c r="C18" s="48">
        <v>3595323005</v>
      </c>
      <c r="D18" s="3">
        <v>2</v>
      </c>
      <c r="E18" s="28" t="s">
        <v>79</v>
      </c>
      <c r="F18" s="28" t="s">
        <v>962</v>
      </c>
      <c r="G18" s="49" t="s">
        <v>6</v>
      </c>
      <c r="H18" s="6">
        <v>5000</v>
      </c>
    </row>
    <row r="19" spans="1:8" ht="20.100000000000001" customHeight="1" x14ac:dyDescent="0.25">
      <c r="A19" s="54"/>
      <c r="B19" s="47">
        <v>45926</v>
      </c>
      <c r="C19" s="48">
        <v>1159874120</v>
      </c>
      <c r="D19" s="3">
        <v>1</v>
      </c>
      <c r="E19" s="28" t="s">
        <v>365</v>
      </c>
      <c r="F19" s="28" t="s">
        <v>240</v>
      </c>
      <c r="G19" s="49" t="s">
        <v>11</v>
      </c>
      <c r="H19" s="6">
        <v>2800</v>
      </c>
    </row>
    <row r="20" spans="1:8" ht="20.100000000000001" customHeight="1" x14ac:dyDescent="0.25">
      <c r="A20" s="54"/>
      <c r="B20" s="47">
        <v>45929</v>
      </c>
      <c r="C20" s="48">
        <v>3715976598</v>
      </c>
      <c r="D20" s="3">
        <v>1</v>
      </c>
      <c r="E20" s="28" t="s">
        <v>105</v>
      </c>
      <c r="F20" s="28" t="s">
        <v>240</v>
      </c>
      <c r="G20" s="49" t="s">
        <v>13</v>
      </c>
      <c r="H20" s="6">
        <v>2800</v>
      </c>
    </row>
    <row r="21" spans="1:8" ht="20.100000000000001" customHeight="1" x14ac:dyDescent="0.25">
      <c r="A21" s="54"/>
      <c r="B21" s="47">
        <v>45938</v>
      </c>
      <c r="C21" s="48">
        <v>2529512201</v>
      </c>
      <c r="D21" s="3">
        <v>2</v>
      </c>
      <c r="E21" s="28" t="s">
        <v>241</v>
      </c>
      <c r="F21" s="28" t="s">
        <v>102</v>
      </c>
      <c r="G21" s="49" t="s">
        <v>7</v>
      </c>
      <c r="H21" s="6">
        <v>5000</v>
      </c>
    </row>
    <row r="22" spans="1:8" ht="20.100000000000001" customHeight="1" x14ac:dyDescent="0.25">
      <c r="A22" s="54"/>
      <c r="B22" s="47">
        <v>45953</v>
      </c>
      <c r="C22" s="48">
        <v>1261260486</v>
      </c>
      <c r="D22" s="3">
        <v>1</v>
      </c>
      <c r="E22" s="28" t="s">
        <v>1040</v>
      </c>
      <c r="F22" s="28" t="s">
        <v>1041</v>
      </c>
      <c r="G22" s="49" t="s">
        <v>7</v>
      </c>
      <c r="H22" s="6">
        <v>2668</v>
      </c>
    </row>
    <row r="23" spans="1:8" ht="20.100000000000001" customHeight="1" x14ac:dyDescent="0.25">
      <c r="A23" s="54"/>
      <c r="B23" s="47">
        <v>45953</v>
      </c>
      <c r="C23" s="48">
        <v>1261260486</v>
      </c>
      <c r="D23" s="3">
        <v>1</v>
      </c>
      <c r="E23" s="28" t="s">
        <v>1040</v>
      </c>
      <c r="F23" s="28" t="s">
        <v>1042</v>
      </c>
      <c r="G23" s="49" t="s">
        <v>7</v>
      </c>
      <c r="H23" s="6">
        <v>2668</v>
      </c>
    </row>
    <row r="24" spans="1:8" ht="20.100000000000001" customHeight="1" x14ac:dyDescent="0.25">
      <c r="A24" s="54"/>
      <c r="B24" s="47">
        <v>45953</v>
      </c>
      <c r="C24" s="48">
        <v>1261260486</v>
      </c>
      <c r="D24" s="3">
        <v>1</v>
      </c>
      <c r="E24" s="28" t="s">
        <v>1040</v>
      </c>
      <c r="F24" s="28" t="s">
        <v>1043</v>
      </c>
      <c r="G24" s="49" t="s">
        <v>7</v>
      </c>
      <c r="H24" s="6">
        <v>2668</v>
      </c>
    </row>
    <row r="25" spans="1:8" ht="20.100000000000001" customHeight="1" x14ac:dyDescent="0.25">
      <c r="A25" s="54"/>
      <c r="B25" s="47">
        <v>45960</v>
      </c>
      <c r="C25" s="48">
        <v>2980398406</v>
      </c>
      <c r="D25" s="3">
        <v>2</v>
      </c>
      <c r="E25" s="28" t="s">
        <v>1036</v>
      </c>
      <c r="F25" s="28" t="s">
        <v>102</v>
      </c>
      <c r="G25" s="49" t="s">
        <v>7</v>
      </c>
      <c r="H25" s="6">
        <v>6000</v>
      </c>
    </row>
    <row r="26" spans="1:8" ht="20.100000000000001" customHeight="1" x14ac:dyDescent="0.25">
      <c r="A26" s="54"/>
      <c r="B26" s="47">
        <v>45986</v>
      </c>
      <c r="C26" s="48">
        <v>836977182</v>
      </c>
      <c r="D26" s="3">
        <v>3</v>
      </c>
      <c r="E26" s="28" t="s">
        <v>301</v>
      </c>
      <c r="F26" s="28" t="s">
        <v>243</v>
      </c>
      <c r="G26" s="49" t="s">
        <v>6</v>
      </c>
      <c r="H26" s="6">
        <v>9450</v>
      </c>
    </row>
    <row r="27" spans="1:8" ht="20.100000000000001" customHeight="1" x14ac:dyDescent="0.25">
      <c r="A27" s="54"/>
      <c r="B27" s="47">
        <v>46001</v>
      </c>
      <c r="C27" s="48">
        <v>1615613178</v>
      </c>
      <c r="D27" s="3">
        <v>1</v>
      </c>
      <c r="E27" s="28" t="s">
        <v>1232</v>
      </c>
      <c r="F27" s="28" t="s">
        <v>240</v>
      </c>
      <c r="G27" s="49" t="s">
        <v>7</v>
      </c>
      <c r="H27" s="6">
        <v>3150</v>
      </c>
    </row>
    <row r="28" spans="1:8" ht="20.100000000000001" customHeight="1" x14ac:dyDescent="0.25">
      <c r="A28" s="55"/>
      <c r="B28" s="13"/>
      <c r="C28" s="14"/>
      <c r="D28" s="14"/>
      <c r="E28" s="18" t="s">
        <v>5</v>
      </c>
      <c r="F28" s="15"/>
      <c r="G28" s="16"/>
      <c r="H28" s="17">
        <f>SUM(H3:H27)</f>
        <v>99404</v>
      </c>
    </row>
    <row r="145" spans="2:8" ht="15.75" x14ac:dyDescent="0.25">
      <c r="B145" s="71"/>
      <c r="C145" s="71"/>
      <c r="D145" s="71"/>
      <c r="E145" s="71"/>
      <c r="F145" s="72"/>
      <c r="G145" s="71"/>
      <c r="H145" s="71"/>
    </row>
    <row r="146" spans="2:8" ht="15.75" x14ac:dyDescent="0.25">
      <c r="B146" s="71"/>
      <c r="C146" s="71"/>
      <c r="D146" s="71"/>
      <c r="E146" s="71"/>
      <c r="F146" s="72"/>
      <c r="G146" s="71"/>
      <c r="H146" s="71"/>
    </row>
    <row r="147" spans="2:8" ht="15.75" x14ac:dyDescent="0.25">
      <c r="B147" s="71"/>
      <c r="C147" s="71"/>
      <c r="D147" s="71"/>
      <c r="E147" s="71"/>
      <c r="F147" s="72"/>
      <c r="G147" s="71"/>
      <c r="H147" s="71"/>
    </row>
    <row r="148" spans="2:8" ht="15.75" x14ac:dyDescent="0.25">
      <c r="B148" s="71"/>
      <c r="C148" s="71"/>
      <c r="D148" s="71"/>
      <c r="E148" s="71"/>
      <c r="F148" s="72"/>
      <c r="G148" s="71"/>
      <c r="H148" s="71"/>
    </row>
    <row r="149" spans="2:8" ht="15.75" x14ac:dyDescent="0.25">
      <c r="B149" s="71"/>
      <c r="C149" s="71"/>
      <c r="D149" s="71"/>
      <c r="E149" s="71"/>
      <c r="F149" s="72"/>
      <c r="G149" s="71"/>
      <c r="H149" s="71"/>
    </row>
    <row r="150" spans="2:8" ht="15.75" x14ac:dyDescent="0.25">
      <c r="B150" s="71"/>
      <c r="C150" s="71"/>
      <c r="D150" s="71"/>
      <c r="E150" s="71"/>
      <c r="F150" s="72"/>
      <c r="G150" s="71"/>
      <c r="H150" s="71"/>
    </row>
    <row r="151" spans="2:8" ht="15.75" x14ac:dyDescent="0.25">
      <c r="B151" s="71"/>
      <c r="C151" s="71"/>
      <c r="D151" s="71"/>
      <c r="E151" s="71"/>
      <c r="F151" s="72"/>
      <c r="G151" s="71"/>
      <c r="H151" s="71"/>
    </row>
    <row r="152" spans="2:8" ht="15.75" x14ac:dyDescent="0.25">
      <c r="B152" s="71"/>
      <c r="C152" s="71"/>
      <c r="D152" s="71"/>
      <c r="E152" s="71"/>
      <c r="F152" s="72"/>
      <c r="G152" s="71"/>
      <c r="H152" s="71"/>
    </row>
    <row r="153" spans="2:8" ht="15.75" x14ac:dyDescent="0.25">
      <c r="B153" s="71"/>
      <c r="C153" s="71"/>
      <c r="D153" s="71"/>
      <c r="E153" s="71"/>
      <c r="F153" s="72"/>
      <c r="G153" s="71"/>
      <c r="H153" s="71"/>
    </row>
    <row r="154" spans="2:8" ht="15.75" x14ac:dyDescent="0.25">
      <c r="B154" s="71"/>
      <c r="C154" s="71"/>
      <c r="D154" s="71"/>
      <c r="E154" s="71"/>
      <c r="F154" s="72"/>
      <c r="G154" s="71"/>
      <c r="H154" s="71"/>
    </row>
    <row r="155" spans="2:8" ht="15.75" x14ac:dyDescent="0.25">
      <c r="B155" s="71"/>
      <c r="C155" s="71"/>
      <c r="D155" s="71"/>
      <c r="E155" s="71"/>
      <c r="F155" s="72"/>
      <c r="G155" s="71"/>
      <c r="H155" s="71"/>
    </row>
    <row r="156" spans="2:8" ht="15.75" x14ac:dyDescent="0.25">
      <c r="B156" s="71"/>
      <c r="C156" s="71"/>
      <c r="D156" s="71"/>
      <c r="E156" s="71"/>
      <c r="F156" s="72"/>
      <c r="G156" s="71"/>
      <c r="H156" s="71"/>
    </row>
    <row r="157" spans="2:8" ht="15.75" x14ac:dyDescent="0.25">
      <c r="B157" s="71"/>
      <c r="C157" s="71"/>
      <c r="D157" s="71"/>
      <c r="E157" s="71"/>
      <c r="F157" s="72"/>
      <c r="G157" s="71"/>
      <c r="H157" s="71"/>
    </row>
    <row r="158" spans="2:8" ht="15.75" x14ac:dyDescent="0.25">
      <c r="B158" s="71"/>
      <c r="C158" s="71"/>
      <c r="D158" s="71"/>
      <c r="E158" s="71"/>
      <c r="F158" s="72"/>
      <c r="G158" s="71"/>
      <c r="H158" s="71"/>
    </row>
    <row r="159" spans="2:8" ht="15.75" x14ac:dyDescent="0.25">
      <c r="B159" s="71"/>
      <c r="C159" s="71"/>
      <c r="D159" s="71"/>
      <c r="E159" s="71"/>
      <c r="F159" s="72"/>
      <c r="G159" s="71"/>
      <c r="H159" s="71"/>
    </row>
    <row r="160" spans="2:8" ht="15.75" x14ac:dyDescent="0.25">
      <c r="B160" s="71"/>
      <c r="C160" s="71"/>
      <c r="D160" s="71"/>
      <c r="E160" s="71"/>
      <c r="F160" s="72"/>
      <c r="G160" s="71"/>
      <c r="H160" s="71"/>
    </row>
    <row r="161" spans="2:8" ht="15.75" x14ac:dyDescent="0.25">
      <c r="B161" s="71"/>
      <c r="C161" s="71"/>
      <c r="D161" s="71"/>
      <c r="E161" s="71"/>
      <c r="F161" s="72"/>
      <c r="G161" s="71"/>
      <c r="H161" s="71"/>
    </row>
    <row r="162" spans="2:8" ht="15.75" x14ac:dyDescent="0.25">
      <c r="B162" s="71"/>
      <c r="C162" s="71"/>
      <c r="D162" s="71"/>
      <c r="E162" s="71"/>
      <c r="F162" s="72"/>
      <c r="G162" s="71"/>
      <c r="H162" s="71"/>
    </row>
    <row r="163" spans="2:8" ht="15.75" x14ac:dyDescent="0.25">
      <c r="B163" s="71"/>
      <c r="C163" s="71"/>
      <c r="D163" s="71"/>
      <c r="E163" s="71"/>
      <c r="F163" s="72"/>
      <c r="G163" s="71"/>
      <c r="H163" s="71"/>
    </row>
    <row r="164" spans="2:8" ht="15.75" x14ac:dyDescent="0.25">
      <c r="B164" s="71"/>
      <c r="C164" s="71"/>
      <c r="D164" s="71"/>
      <c r="E164" s="71"/>
      <c r="F164" s="72"/>
      <c r="G164" s="71"/>
      <c r="H164" s="71"/>
    </row>
    <row r="165" spans="2:8" ht="15.75" x14ac:dyDescent="0.25">
      <c r="B165" s="71"/>
      <c r="C165" s="71"/>
      <c r="D165" s="71"/>
      <c r="E165" s="71"/>
      <c r="F165" s="72"/>
      <c r="G165" s="71"/>
      <c r="H165" s="71"/>
    </row>
    <row r="166" spans="2:8" ht="15.75" x14ac:dyDescent="0.25">
      <c r="B166" s="71"/>
      <c r="C166" s="71"/>
      <c r="D166" s="71"/>
      <c r="E166" s="71"/>
      <c r="F166" s="72"/>
      <c r="G166" s="71"/>
      <c r="H166" s="71"/>
    </row>
    <row r="167" spans="2:8" ht="15.75" x14ac:dyDescent="0.25">
      <c r="B167" s="71"/>
      <c r="C167" s="71"/>
      <c r="D167" s="71"/>
      <c r="E167" s="71"/>
      <c r="F167" s="72"/>
      <c r="G167" s="71"/>
      <c r="H167" s="71"/>
    </row>
    <row r="168" spans="2:8" ht="15.75" x14ac:dyDescent="0.25">
      <c r="B168" s="71"/>
      <c r="C168" s="71"/>
      <c r="D168" s="71"/>
      <c r="E168" s="71"/>
      <c r="F168" s="72"/>
      <c r="G168" s="71"/>
      <c r="H168" s="71"/>
    </row>
    <row r="169" spans="2:8" ht="15.75" x14ac:dyDescent="0.25">
      <c r="B169" s="71"/>
      <c r="C169" s="71"/>
      <c r="D169" s="71"/>
      <c r="E169" s="71"/>
      <c r="F169" s="72"/>
      <c r="G169" s="71"/>
      <c r="H169" s="71"/>
    </row>
    <row r="170" spans="2:8" ht="15.75" x14ac:dyDescent="0.25">
      <c r="B170" s="71"/>
      <c r="C170" s="71"/>
      <c r="D170" s="71"/>
      <c r="E170" s="71"/>
      <c r="F170" s="72"/>
      <c r="G170" s="71"/>
      <c r="H170" s="71"/>
    </row>
    <row r="171" spans="2:8" ht="15.75" x14ac:dyDescent="0.25">
      <c r="B171" s="71"/>
      <c r="C171" s="71"/>
      <c r="D171" s="71"/>
      <c r="E171" s="71"/>
      <c r="F171" s="72"/>
      <c r="G171" s="71"/>
      <c r="H171" s="71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H202"/>
  <sheetViews>
    <sheetView workbookViewId="0">
      <pane ySplit="2" topLeftCell="A86" activePane="bottomLeft" state="frozen"/>
      <selection activeCell="E228" sqref="E228"/>
      <selection pane="bottomLeft" activeCell="A97" sqref="A97:XFD105"/>
    </sheetView>
  </sheetViews>
  <sheetFormatPr baseColWidth="10" defaultColWidth="9.140625" defaultRowHeight="15" x14ac:dyDescent="0.25"/>
  <cols>
    <col min="1" max="1" width="13.5703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3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9" t="s">
        <v>12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57"/>
      <c r="B2" s="86"/>
      <c r="C2" s="88"/>
      <c r="D2" s="88"/>
      <c r="E2" s="88"/>
      <c r="F2" s="88"/>
      <c r="G2" s="82"/>
      <c r="H2" s="84"/>
    </row>
    <row r="3" spans="1:8" ht="20.100000000000001" customHeight="1" x14ac:dyDescent="0.25">
      <c r="A3" s="57"/>
      <c r="B3" s="2">
        <v>45667</v>
      </c>
      <c r="C3" s="3">
        <v>3286452906</v>
      </c>
      <c r="D3" s="3">
        <v>4</v>
      </c>
      <c r="E3" s="4" t="s">
        <v>153</v>
      </c>
      <c r="F3" s="4" t="s">
        <v>98</v>
      </c>
      <c r="G3" s="5" t="s">
        <v>10</v>
      </c>
      <c r="H3" s="6">
        <v>925</v>
      </c>
    </row>
    <row r="4" spans="1:8" ht="20.100000000000001" customHeight="1" x14ac:dyDescent="0.25">
      <c r="A4" s="57"/>
      <c r="B4" s="2">
        <v>45667</v>
      </c>
      <c r="C4" s="3">
        <v>3286452906</v>
      </c>
      <c r="D4" s="3">
        <v>4</v>
      </c>
      <c r="E4" s="4" t="s">
        <v>153</v>
      </c>
      <c r="F4" s="4" t="s">
        <v>97</v>
      </c>
      <c r="G4" s="5" t="s">
        <v>10</v>
      </c>
      <c r="H4" s="6">
        <v>700</v>
      </c>
    </row>
    <row r="5" spans="1:8" ht="20.100000000000001" customHeight="1" x14ac:dyDescent="0.25">
      <c r="A5" s="57"/>
      <c r="B5" s="2">
        <v>45670</v>
      </c>
      <c r="C5" s="3">
        <v>1920352681</v>
      </c>
      <c r="D5" s="3">
        <v>4</v>
      </c>
      <c r="E5" s="4" t="s">
        <v>154</v>
      </c>
      <c r="F5" s="4" t="s">
        <v>111</v>
      </c>
      <c r="G5" s="5" t="s">
        <v>6</v>
      </c>
      <c r="H5" s="6">
        <v>1250</v>
      </c>
    </row>
    <row r="6" spans="1:8" ht="20.100000000000001" customHeight="1" x14ac:dyDescent="0.25">
      <c r="A6" s="57"/>
      <c r="B6" s="2">
        <v>45670</v>
      </c>
      <c r="C6" s="3">
        <v>1920352681</v>
      </c>
      <c r="D6" s="3">
        <v>4</v>
      </c>
      <c r="E6" s="4" t="s">
        <v>154</v>
      </c>
      <c r="F6" s="4" t="s">
        <v>97</v>
      </c>
      <c r="G6" s="5" t="s">
        <v>6</v>
      </c>
      <c r="H6" s="6">
        <v>700</v>
      </c>
    </row>
    <row r="7" spans="1:8" ht="20.100000000000001" customHeight="1" x14ac:dyDescent="0.25">
      <c r="A7" s="57"/>
      <c r="B7" s="2">
        <v>45670</v>
      </c>
      <c r="C7" s="3">
        <v>1920352681</v>
      </c>
      <c r="D7" s="3">
        <v>4</v>
      </c>
      <c r="E7" s="4" t="s">
        <v>154</v>
      </c>
      <c r="F7" s="4" t="s">
        <v>98</v>
      </c>
      <c r="G7" s="5" t="s">
        <v>6</v>
      </c>
      <c r="H7" s="6">
        <v>975</v>
      </c>
    </row>
    <row r="8" spans="1:8" ht="20.100000000000001" customHeight="1" x14ac:dyDescent="0.25">
      <c r="A8" s="57"/>
      <c r="B8" s="2">
        <v>45674</v>
      </c>
      <c r="C8" s="3">
        <v>3478801301</v>
      </c>
      <c r="D8" s="3">
        <v>4</v>
      </c>
      <c r="E8" s="4" t="s">
        <v>155</v>
      </c>
      <c r="F8" s="4" t="s">
        <v>97</v>
      </c>
      <c r="G8" s="5" t="s">
        <v>11</v>
      </c>
      <c r="H8" s="6">
        <v>700</v>
      </c>
    </row>
    <row r="9" spans="1:8" ht="20.100000000000001" customHeight="1" x14ac:dyDescent="0.25">
      <c r="A9" s="57"/>
      <c r="B9" s="2">
        <v>45674</v>
      </c>
      <c r="C9" s="3">
        <v>3478801301</v>
      </c>
      <c r="D9" s="3">
        <v>4</v>
      </c>
      <c r="E9" s="4" t="s">
        <v>155</v>
      </c>
      <c r="F9" s="4" t="s">
        <v>98</v>
      </c>
      <c r="G9" s="5" t="s">
        <v>11</v>
      </c>
      <c r="H9" s="6">
        <v>925</v>
      </c>
    </row>
    <row r="10" spans="1:8" ht="20.100000000000001" customHeight="1" x14ac:dyDescent="0.25">
      <c r="A10" s="57"/>
      <c r="B10" s="2">
        <v>45674</v>
      </c>
      <c r="C10" s="3">
        <v>3478801301</v>
      </c>
      <c r="D10" s="3">
        <v>4</v>
      </c>
      <c r="E10" s="4" t="s">
        <v>155</v>
      </c>
      <c r="F10" s="4" t="s">
        <v>111</v>
      </c>
      <c r="G10" s="5" t="s">
        <v>11</v>
      </c>
      <c r="H10" s="6">
        <v>1250</v>
      </c>
    </row>
    <row r="11" spans="1:8" ht="20.100000000000001" customHeight="1" x14ac:dyDescent="0.25">
      <c r="A11" s="57"/>
      <c r="B11" s="2">
        <v>45706</v>
      </c>
      <c r="C11" s="3">
        <v>422527388</v>
      </c>
      <c r="D11" s="3">
        <v>1</v>
      </c>
      <c r="E11" s="4" t="s">
        <v>244</v>
      </c>
      <c r="F11" s="4" t="s">
        <v>245</v>
      </c>
      <c r="G11" s="5" t="s">
        <v>7</v>
      </c>
      <c r="H11" s="6">
        <v>266</v>
      </c>
    </row>
    <row r="12" spans="1:8" ht="20.100000000000001" customHeight="1" x14ac:dyDescent="0.25">
      <c r="A12" s="57"/>
      <c r="B12" s="2">
        <v>45720</v>
      </c>
      <c r="C12" s="3">
        <v>327306954</v>
      </c>
      <c r="D12" s="3">
        <v>4</v>
      </c>
      <c r="E12" s="4" t="s">
        <v>78</v>
      </c>
      <c r="F12" s="4" t="s">
        <v>12</v>
      </c>
      <c r="G12" s="5" t="s">
        <v>6</v>
      </c>
      <c r="H12" s="6">
        <v>480</v>
      </c>
    </row>
    <row r="13" spans="1:8" ht="20.100000000000001" customHeight="1" x14ac:dyDescent="0.25">
      <c r="A13" s="57"/>
      <c r="B13" s="2">
        <v>45727</v>
      </c>
      <c r="C13" s="3">
        <v>3985915992</v>
      </c>
      <c r="D13" s="3">
        <v>4</v>
      </c>
      <c r="E13" s="4" t="s">
        <v>145</v>
      </c>
      <c r="F13" s="4" t="s">
        <v>98</v>
      </c>
      <c r="G13" s="5" t="s">
        <v>6</v>
      </c>
      <c r="H13" s="6">
        <v>975</v>
      </c>
    </row>
    <row r="14" spans="1:8" ht="20.100000000000001" customHeight="1" x14ac:dyDescent="0.25">
      <c r="A14" s="57"/>
      <c r="B14" s="2">
        <v>45733</v>
      </c>
      <c r="C14" s="3">
        <v>1108558680</v>
      </c>
      <c r="D14" s="3">
        <v>4</v>
      </c>
      <c r="E14" s="4" t="s">
        <v>343</v>
      </c>
      <c r="F14" s="4" t="s">
        <v>366</v>
      </c>
      <c r="G14" s="5" t="s">
        <v>6</v>
      </c>
      <c r="H14" s="6">
        <v>750</v>
      </c>
    </row>
    <row r="15" spans="1:8" ht="20.100000000000001" customHeight="1" x14ac:dyDescent="0.25">
      <c r="A15" s="57"/>
      <c r="B15" s="2">
        <v>45733</v>
      </c>
      <c r="C15" s="3">
        <v>1108558680</v>
      </c>
      <c r="D15" s="3">
        <v>4</v>
      </c>
      <c r="E15" s="4" t="s">
        <v>343</v>
      </c>
      <c r="F15" s="4" t="s">
        <v>367</v>
      </c>
      <c r="G15" s="5" t="s">
        <v>6</v>
      </c>
      <c r="H15" s="6">
        <v>750</v>
      </c>
    </row>
    <row r="16" spans="1:8" ht="20.100000000000001" customHeight="1" x14ac:dyDescent="0.25">
      <c r="A16" s="57"/>
      <c r="B16" s="2">
        <v>45736</v>
      </c>
      <c r="C16" s="3">
        <v>28918143</v>
      </c>
      <c r="D16" s="3">
        <v>4</v>
      </c>
      <c r="E16" s="4" t="s">
        <v>368</v>
      </c>
      <c r="F16" s="4" t="s">
        <v>97</v>
      </c>
      <c r="G16" s="5" t="s">
        <v>6</v>
      </c>
      <c r="H16" s="6">
        <v>700</v>
      </c>
    </row>
    <row r="17" spans="1:8" ht="20.100000000000001" customHeight="1" x14ac:dyDescent="0.25">
      <c r="A17" s="57"/>
      <c r="B17" s="2">
        <v>45736</v>
      </c>
      <c r="C17" s="3">
        <v>28918143</v>
      </c>
      <c r="D17" s="3">
        <v>4</v>
      </c>
      <c r="E17" s="4" t="s">
        <v>368</v>
      </c>
      <c r="F17" s="4" t="s">
        <v>98</v>
      </c>
      <c r="G17" s="5" t="s">
        <v>6</v>
      </c>
      <c r="H17" s="6">
        <v>925</v>
      </c>
    </row>
    <row r="18" spans="1:8" ht="20.100000000000001" customHeight="1" x14ac:dyDescent="0.25">
      <c r="A18" s="57"/>
      <c r="B18" s="2">
        <v>45754</v>
      </c>
      <c r="C18" s="3">
        <v>2211139111</v>
      </c>
      <c r="D18" s="3">
        <v>1</v>
      </c>
      <c r="E18" s="4" t="s">
        <v>516</v>
      </c>
      <c r="F18" s="4" t="s">
        <v>98</v>
      </c>
      <c r="G18" s="5" t="s">
        <v>6</v>
      </c>
      <c r="H18" s="6">
        <v>264.5</v>
      </c>
    </row>
    <row r="19" spans="1:8" ht="20.100000000000001" customHeight="1" x14ac:dyDescent="0.25">
      <c r="A19" s="57"/>
      <c r="B19" s="2">
        <v>45754</v>
      </c>
      <c r="C19" s="3">
        <v>2211139111</v>
      </c>
      <c r="D19" s="3">
        <v>1</v>
      </c>
      <c r="E19" s="4" t="s">
        <v>516</v>
      </c>
      <c r="F19" s="4" t="s">
        <v>97</v>
      </c>
      <c r="G19" s="5" t="s">
        <v>6</v>
      </c>
      <c r="H19" s="6">
        <v>264.5</v>
      </c>
    </row>
    <row r="20" spans="1:8" ht="20.100000000000001" customHeight="1" x14ac:dyDescent="0.25">
      <c r="A20" s="57"/>
      <c r="B20" s="2">
        <v>45754</v>
      </c>
      <c r="C20" s="3">
        <v>1567835815</v>
      </c>
      <c r="D20" s="3">
        <v>4</v>
      </c>
      <c r="E20" s="4" t="s">
        <v>524</v>
      </c>
      <c r="F20" s="4" t="s">
        <v>111</v>
      </c>
      <c r="G20" s="5" t="s">
        <v>7</v>
      </c>
      <c r="H20" s="6">
        <v>1250</v>
      </c>
    </row>
    <row r="21" spans="1:8" ht="20.100000000000001" customHeight="1" x14ac:dyDescent="0.25">
      <c r="A21" s="57"/>
      <c r="B21" s="2">
        <v>45754</v>
      </c>
      <c r="C21" s="3">
        <v>1567835815</v>
      </c>
      <c r="D21" s="3">
        <v>4</v>
      </c>
      <c r="E21" s="4" t="s">
        <v>524</v>
      </c>
      <c r="F21" s="4" t="s">
        <v>97</v>
      </c>
      <c r="G21" s="5" t="s">
        <v>7</v>
      </c>
      <c r="H21" s="6">
        <v>700</v>
      </c>
    </row>
    <row r="22" spans="1:8" ht="20.100000000000001" customHeight="1" x14ac:dyDescent="0.25">
      <c r="A22" s="57"/>
      <c r="B22" s="2">
        <v>45754</v>
      </c>
      <c r="C22" s="3">
        <v>1567835815</v>
      </c>
      <c r="D22" s="3">
        <v>4</v>
      </c>
      <c r="E22" s="4" t="s">
        <v>524</v>
      </c>
      <c r="F22" s="4" t="s">
        <v>98</v>
      </c>
      <c r="G22" s="5" t="s">
        <v>7</v>
      </c>
      <c r="H22" s="6">
        <v>925</v>
      </c>
    </row>
    <row r="23" spans="1:8" ht="20.100000000000001" customHeight="1" x14ac:dyDescent="0.25">
      <c r="A23" s="57"/>
      <c r="B23" s="2">
        <v>45756</v>
      </c>
      <c r="C23" s="3">
        <v>2146977850</v>
      </c>
      <c r="D23" s="3">
        <v>4</v>
      </c>
      <c r="E23" s="4" t="s">
        <v>525</v>
      </c>
      <c r="F23" s="4" t="s">
        <v>526</v>
      </c>
      <c r="G23" s="5" t="s">
        <v>10</v>
      </c>
      <c r="H23" s="6">
        <v>700</v>
      </c>
    </row>
    <row r="24" spans="1:8" ht="20.100000000000001" customHeight="1" x14ac:dyDescent="0.25">
      <c r="A24" s="57"/>
      <c r="B24" s="2">
        <v>45756</v>
      </c>
      <c r="C24" s="3">
        <v>2146977850</v>
      </c>
      <c r="D24" s="3">
        <v>2</v>
      </c>
      <c r="E24" s="4" t="s">
        <v>525</v>
      </c>
      <c r="F24" s="4" t="s">
        <v>527</v>
      </c>
      <c r="G24" s="5" t="s">
        <v>10</v>
      </c>
      <c r="H24" s="6">
        <v>472</v>
      </c>
    </row>
    <row r="25" spans="1:8" ht="20.100000000000001" customHeight="1" x14ac:dyDescent="0.25">
      <c r="A25" s="57"/>
      <c r="B25" s="2">
        <v>45770</v>
      </c>
      <c r="C25" s="3">
        <v>1945782748</v>
      </c>
      <c r="D25" s="3">
        <v>5</v>
      </c>
      <c r="E25" s="4" t="s">
        <v>338</v>
      </c>
      <c r="F25" s="4" t="s">
        <v>528</v>
      </c>
      <c r="G25" s="5" t="s">
        <v>6</v>
      </c>
      <c r="H25" s="6">
        <v>1350</v>
      </c>
    </row>
    <row r="26" spans="1:8" ht="20.100000000000001" customHeight="1" x14ac:dyDescent="0.25">
      <c r="A26" s="57"/>
      <c r="B26" s="2">
        <v>45770</v>
      </c>
      <c r="C26" s="3">
        <v>1945782748</v>
      </c>
      <c r="D26" s="3">
        <v>4</v>
      </c>
      <c r="E26" s="4" t="s">
        <v>338</v>
      </c>
      <c r="F26" s="4" t="s">
        <v>98</v>
      </c>
      <c r="G26" s="5" t="s">
        <v>6</v>
      </c>
      <c r="H26" s="6">
        <v>950</v>
      </c>
    </row>
    <row r="27" spans="1:8" ht="15.75" x14ac:dyDescent="0.25">
      <c r="A27" s="57"/>
      <c r="B27" s="2">
        <v>45770</v>
      </c>
      <c r="C27" s="3">
        <v>1945782748</v>
      </c>
      <c r="D27" s="3">
        <v>4</v>
      </c>
      <c r="E27" s="4" t="s">
        <v>338</v>
      </c>
      <c r="F27" s="4" t="s">
        <v>97</v>
      </c>
      <c r="G27" s="5" t="s">
        <v>6</v>
      </c>
      <c r="H27" s="6">
        <v>700</v>
      </c>
    </row>
    <row r="28" spans="1:8" ht="20.100000000000001" customHeight="1" x14ac:dyDescent="0.25">
      <c r="A28" s="57"/>
      <c r="B28" s="2">
        <v>45771</v>
      </c>
      <c r="C28" s="3">
        <v>2680770500</v>
      </c>
      <c r="D28" s="3">
        <v>4</v>
      </c>
      <c r="E28" s="4" t="s">
        <v>529</v>
      </c>
      <c r="F28" s="4" t="s">
        <v>366</v>
      </c>
      <c r="G28" s="5" t="s">
        <v>6</v>
      </c>
      <c r="H28" s="6">
        <v>500</v>
      </c>
    </row>
    <row r="29" spans="1:8" ht="20.100000000000001" customHeight="1" x14ac:dyDescent="0.25">
      <c r="A29" s="57"/>
      <c r="B29" s="2">
        <v>45771</v>
      </c>
      <c r="C29" s="3">
        <v>2680770500</v>
      </c>
      <c r="D29" s="3">
        <v>4</v>
      </c>
      <c r="E29" s="4" t="s">
        <v>529</v>
      </c>
      <c r="F29" s="4" t="s">
        <v>98</v>
      </c>
      <c r="G29" s="5" t="s">
        <v>6</v>
      </c>
      <c r="H29" s="6">
        <v>925</v>
      </c>
    </row>
    <row r="30" spans="1:8" ht="20.100000000000001" customHeight="1" x14ac:dyDescent="0.25">
      <c r="A30" s="57"/>
      <c r="B30" s="2">
        <v>45776</v>
      </c>
      <c r="C30" s="3">
        <v>2926461610</v>
      </c>
      <c r="D30" s="3">
        <v>1</v>
      </c>
      <c r="E30" s="4" t="s">
        <v>244</v>
      </c>
      <c r="F30" s="4" t="s">
        <v>245</v>
      </c>
      <c r="G30" s="5" t="s">
        <v>11</v>
      </c>
      <c r="H30" s="6">
        <v>266</v>
      </c>
    </row>
    <row r="31" spans="1:8" ht="20.100000000000001" customHeight="1" x14ac:dyDescent="0.25">
      <c r="A31" s="57"/>
      <c r="B31" s="2">
        <v>45784</v>
      </c>
      <c r="C31" s="3">
        <v>274680723</v>
      </c>
      <c r="D31" s="3">
        <v>4</v>
      </c>
      <c r="E31" s="4" t="s">
        <v>78</v>
      </c>
      <c r="F31" s="4" t="s">
        <v>98</v>
      </c>
      <c r="G31" s="5" t="s">
        <v>6</v>
      </c>
      <c r="H31" s="6">
        <v>925</v>
      </c>
    </row>
    <row r="32" spans="1:8" ht="20.100000000000001" customHeight="1" x14ac:dyDescent="0.25">
      <c r="A32" s="57"/>
      <c r="B32" s="2">
        <v>45812</v>
      </c>
      <c r="C32" s="3">
        <v>2561035022</v>
      </c>
      <c r="D32" s="3">
        <v>2</v>
      </c>
      <c r="E32" s="4" t="s">
        <v>637</v>
      </c>
      <c r="F32" s="4" t="s">
        <v>98</v>
      </c>
      <c r="G32" s="5" t="s">
        <v>6</v>
      </c>
      <c r="H32" s="6">
        <v>463</v>
      </c>
    </row>
    <row r="33" spans="1:8" ht="20.100000000000001" customHeight="1" x14ac:dyDescent="0.25">
      <c r="A33" s="57"/>
      <c r="B33" s="2">
        <v>45812</v>
      </c>
      <c r="C33" s="3">
        <v>2561035022</v>
      </c>
      <c r="D33" s="3">
        <v>2</v>
      </c>
      <c r="E33" s="4" t="s">
        <v>637</v>
      </c>
      <c r="F33" s="4" t="s">
        <v>97</v>
      </c>
      <c r="G33" s="5" t="s">
        <v>6</v>
      </c>
      <c r="H33" s="6">
        <v>350</v>
      </c>
    </row>
    <row r="34" spans="1:8" ht="20.100000000000001" customHeight="1" x14ac:dyDescent="0.25">
      <c r="A34" s="57"/>
      <c r="B34" s="2">
        <v>45812</v>
      </c>
      <c r="C34" s="3">
        <v>2561035022</v>
      </c>
      <c r="D34" s="3">
        <v>2</v>
      </c>
      <c r="E34" s="4" t="s">
        <v>637</v>
      </c>
      <c r="F34" s="4" t="s">
        <v>638</v>
      </c>
      <c r="G34" s="5" t="s">
        <v>6</v>
      </c>
      <c r="H34" s="6">
        <v>350</v>
      </c>
    </row>
    <row r="35" spans="1:8" ht="15.75" x14ac:dyDescent="0.25">
      <c r="A35" s="57"/>
      <c r="B35" s="2">
        <v>45819</v>
      </c>
      <c r="C35" s="3">
        <v>1459635664</v>
      </c>
      <c r="D35" s="3">
        <v>4</v>
      </c>
      <c r="E35" s="4" t="s">
        <v>639</v>
      </c>
      <c r="F35" s="4" t="s">
        <v>98</v>
      </c>
      <c r="G35" s="5" t="s">
        <v>7</v>
      </c>
      <c r="H35" s="6">
        <v>950</v>
      </c>
    </row>
    <row r="36" spans="1:8" ht="20.100000000000001" customHeight="1" x14ac:dyDescent="0.25">
      <c r="A36" s="57"/>
      <c r="B36" s="2">
        <v>45819</v>
      </c>
      <c r="C36" s="3">
        <v>1459635664</v>
      </c>
      <c r="D36" s="3">
        <v>4</v>
      </c>
      <c r="E36" s="4" t="s">
        <v>639</v>
      </c>
      <c r="F36" s="4" t="s">
        <v>640</v>
      </c>
      <c r="G36" s="5" t="s">
        <v>7</v>
      </c>
      <c r="H36" s="6">
        <v>700</v>
      </c>
    </row>
    <row r="37" spans="1:8" ht="20.100000000000001" customHeight="1" x14ac:dyDescent="0.25">
      <c r="A37" s="57"/>
      <c r="B37" s="2">
        <v>45819</v>
      </c>
      <c r="C37" s="3">
        <v>1459635664</v>
      </c>
      <c r="D37" s="3">
        <v>4</v>
      </c>
      <c r="E37" s="4" t="s">
        <v>639</v>
      </c>
      <c r="F37" s="4" t="s">
        <v>97</v>
      </c>
      <c r="G37" s="5" t="s">
        <v>7</v>
      </c>
      <c r="H37" s="6">
        <v>700</v>
      </c>
    </row>
    <row r="38" spans="1:8" ht="20.100000000000001" customHeight="1" x14ac:dyDescent="0.25">
      <c r="A38" s="57"/>
      <c r="B38" s="2">
        <v>45825</v>
      </c>
      <c r="C38" s="3">
        <v>2508145774</v>
      </c>
      <c r="D38" s="3">
        <v>4</v>
      </c>
      <c r="E38" s="4" t="s">
        <v>641</v>
      </c>
      <c r="F38" s="4" t="s">
        <v>366</v>
      </c>
      <c r="G38" s="5" t="s">
        <v>6</v>
      </c>
      <c r="H38" s="6">
        <v>600</v>
      </c>
    </row>
    <row r="39" spans="1:8" ht="20.100000000000001" customHeight="1" x14ac:dyDescent="0.25">
      <c r="A39" s="57"/>
      <c r="B39" s="2">
        <v>45834</v>
      </c>
      <c r="C39" s="3" t="s">
        <v>642</v>
      </c>
      <c r="D39" s="3">
        <v>1</v>
      </c>
      <c r="E39" s="4" t="s">
        <v>244</v>
      </c>
      <c r="F39" s="4" t="s">
        <v>527</v>
      </c>
      <c r="G39" s="5" t="s">
        <v>6</v>
      </c>
      <c r="H39" s="6">
        <v>266</v>
      </c>
    </row>
    <row r="40" spans="1:8" ht="20.100000000000001" customHeight="1" x14ac:dyDescent="0.25">
      <c r="A40" s="57"/>
      <c r="B40" s="2">
        <v>45860</v>
      </c>
      <c r="C40" s="3">
        <v>265962801</v>
      </c>
      <c r="D40" s="3">
        <v>4</v>
      </c>
      <c r="E40" s="4" t="s">
        <v>767</v>
      </c>
      <c r="F40" s="4" t="s">
        <v>768</v>
      </c>
      <c r="G40" s="5" t="s">
        <v>19</v>
      </c>
      <c r="H40" s="6">
        <v>900</v>
      </c>
    </row>
    <row r="41" spans="1:8" ht="20.100000000000001" customHeight="1" x14ac:dyDescent="0.25">
      <c r="A41" s="57"/>
      <c r="B41" s="2">
        <v>45862</v>
      </c>
      <c r="C41" s="3">
        <v>171067031</v>
      </c>
      <c r="D41" s="3">
        <v>4</v>
      </c>
      <c r="E41" s="4" t="s">
        <v>769</v>
      </c>
      <c r="F41" s="4" t="s">
        <v>111</v>
      </c>
      <c r="G41" s="5" t="s">
        <v>6</v>
      </c>
      <c r="H41" s="6">
        <v>1250</v>
      </c>
    </row>
    <row r="42" spans="1:8" ht="20.100000000000001" customHeight="1" x14ac:dyDescent="0.25">
      <c r="A42" s="57"/>
      <c r="B42" s="2">
        <v>45862</v>
      </c>
      <c r="C42" s="3">
        <v>171067031</v>
      </c>
      <c r="D42" s="3">
        <v>4</v>
      </c>
      <c r="E42" s="4" t="s">
        <v>769</v>
      </c>
      <c r="F42" s="4" t="s">
        <v>770</v>
      </c>
      <c r="G42" s="5" t="s">
        <v>6</v>
      </c>
      <c r="H42" s="6">
        <v>1250</v>
      </c>
    </row>
    <row r="43" spans="1:8" ht="20.100000000000001" customHeight="1" x14ac:dyDescent="0.25">
      <c r="A43" s="57"/>
      <c r="B43" s="2">
        <v>45862</v>
      </c>
      <c r="C43" s="3">
        <v>171067031</v>
      </c>
      <c r="D43" s="3">
        <v>4</v>
      </c>
      <c r="E43" s="4" t="s">
        <v>769</v>
      </c>
      <c r="F43" s="4" t="s">
        <v>97</v>
      </c>
      <c r="G43" s="5" t="s">
        <v>6</v>
      </c>
      <c r="H43" s="6">
        <v>700</v>
      </c>
    </row>
    <row r="44" spans="1:8" ht="20.100000000000001" customHeight="1" x14ac:dyDescent="0.25">
      <c r="A44" s="57"/>
      <c r="B44" s="2">
        <v>45862</v>
      </c>
      <c r="C44" s="3">
        <v>1577667912</v>
      </c>
      <c r="D44" s="3">
        <v>1</v>
      </c>
      <c r="E44" s="4" t="s">
        <v>516</v>
      </c>
      <c r="F44" s="4" t="s">
        <v>98</v>
      </c>
      <c r="G44" s="5" t="s">
        <v>6</v>
      </c>
      <c r="H44" s="6">
        <v>264.5</v>
      </c>
    </row>
    <row r="45" spans="1:8" ht="20.100000000000001" customHeight="1" x14ac:dyDescent="0.25">
      <c r="A45" s="57"/>
      <c r="B45" s="2">
        <v>45862</v>
      </c>
      <c r="C45" s="3">
        <v>1577667912</v>
      </c>
      <c r="D45" s="3">
        <v>1</v>
      </c>
      <c r="E45" s="4" t="s">
        <v>516</v>
      </c>
      <c r="F45" s="4" t="s">
        <v>97</v>
      </c>
      <c r="G45" s="5" t="s">
        <v>6</v>
      </c>
      <c r="H45" s="6">
        <v>264.5</v>
      </c>
    </row>
    <row r="46" spans="1:8" ht="20.100000000000001" customHeight="1" x14ac:dyDescent="0.25">
      <c r="A46" s="57"/>
      <c r="B46" s="2">
        <v>45868</v>
      </c>
      <c r="C46" s="3">
        <v>3773121931</v>
      </c>
      <c r="D46" s="3">
        <v>4</v>
      </c>
      <c r="E46" s="4" t="s">
        <v>771</v>
      </c>
      <c r="F46" s="4" t="s">
        <v>97</v>
      </c>
      <c r="G46" s="5" t="s">
        <v>7</v>
      </c>
      <c r="H46" s="6">
        <v>600</v>
      </c>
    </row>
    <row r="47" spans="1:8" ht="20.100000000000001" customHeight="1" x14ac:dyDescent="0.25">
      <c r="A47" s="57"/>
      <c r="B47" s="2">
        <v>45868</v>
      </c>
      <c r="C47" s="3">
        <v>3773121931</v>
      </c>
      <c r="D47" s="3">
        <v>4</v>
      </c>
      <c r="E47" s="4" t="s">
        <v>771</v>
      </c>
      <c r="F47" s="4" t="s">
        <v>111</v>
      </c>
      <c r="G47" s="5" t="s">
        <v>7</v>
      </c>
      <c r="H47" s="6">
        <v>1100</v>
      </c>
    </row>
    <row r="48" spans="1:8" ht="20.100000000000001" customHeight="1" x14ac:dyDescent="0.25">
      <c r="A48" s="57"/>
      <c r="B48" s="2">
        <v>45868</v>
      </c>
      <c r="C48" s="3">
        <v>3773121931</v>
      </c>
      <c r="D48" s="3">
        <v>4</v>
      </c>
      <c r="E48" s="4" t="s">
        <v>771</v>
      </c>
      <c r="F48" s="4" t="s">
        <v>98</v>
      </c>
      <c r="G48" s="5" t="s">
        <v>7</v>
      </c>
      <c r="H48" s="6">
        <v>900</v>
      </c>
    </row>
    <row r="49" spans="1:8" ht="20.100000000000001" customHeight="1" x14ac:dyDescent="0.25">
      <c r="A49" s="57"/>
      <c r="B49" s="2">
        <v>45876</v>
      </c>
      <c r="C49" s="3">
        <v>1661225929</v>
      </c>
      <c r="D49" s="3">
        <v>4</v>
      </c>
      <c r="E49" s="4" t="s">
        <v>897</v>
      </c>
      <c r="F49" s="4" t="s">
        <v>98</v>
      </c>
      <c r="G49" s="5" t="s">
        <v>7</v>
      </c>
      <c r="H49" s="6">
        <v>925</v>
      </c>
    </row>
    <row r="50" spans="1:8" ht="20.100000000000001" customHeight="1" x14ac:dyDescent="0.25">
      <c r="A50" s="57"/>
      <c r="B50" s="2">
        <v>45876</v>
      </c>
      <c r="C50" s="3">
        <v>1661225929</v>
      </c>
      <c r="D50" s="3">
        <v>4</v>
      </c>
      <c r="E50" s="4" t="s">
        <v>897</v>
      </c>
      <c r="F50" s="4" t="s">
        <v>97</v>
      </c>
      <c r="G50" s="5" t="s">
        <v>7</v>
      </c>
      <c r="H50" s="6">
        <v>700</v>
      </c>
    </row>
    <row r="51" spans="1:8" ht="20.100000000000001" customHeight="1" x14ac:dyDescent="0.25">
      <c r="A51" s="57"/>
      <c r="B51" s="2">
        <v>45876</v>
      </c>
      <c r="C51" s="3">
        <v>1661225929</v>
      </c>
      <c r="D51" s="3">
        <v>4</v>
      </c>
      <c r="E51" s="4" t="s">
        <v>897</v>
      </c>
      <c r="F51" s="4" t="s">
        <v>898</v>
      </c>
      <c r="G51" s="5" t="s">
        <v>7</v>
      </c>
      <c r="H51" s="6">
        <v>1250</v>
      </c>
    </row>
    <row r="52" spans="1:8" ht="20.100000000000001" customHeight="1" x14ac:dyDescent="0.25">
      <c r="A52" s="57"/>
      <c r="B52" s="47">
        <v>45901</v>
      </c>
      <c r="C52" s="48">
        <v>3530507849</v>
      </c>
      <c r="D52" s="3">
        <v>4</v>
      </c>
      <c r="E52" s="28" t="s">
        <v>883</v>
      </c>
      <c r="F52" s="28" t="s">
        <v>111</v>
      </c>
      <c r="G52" s="49" t="s">
        <v>19</v>
      </c>
      <c r="H52" s="6">
        <v>1250</v>
      </c>
    </row>
    <row r="53" spans="1:8" ht="20.100000000000001" customHeight="1" x14ac:dyDescent="0.25">
      <c r="A53" s="57"/>
      <c r="B53" s="47">
        <v>45901</v>
      </c>
      <c r="C53" s="48">
        <v>3530507849</v>
      </c>
      <c r="D53" s="3">
        <v>4</v>
      </c>
      <c r="E53" s="28" t="s">
        <v>883</v>
      </c>
      <c r="F53" s="28" t="s">
        <v>97</v>
      </c>
      <c r="G53" s="49" t="s">
        <v>19</v>
      </c>
      <c r="H53" s="6">
        <v>700</v>
      </c>
    </row>
    <row r="54" spans="1:8" ht="20.100000000000001" customHeight="1" x14ac:dyDescent="0.25">
      <c r="A54" s="57"/>
      <c r="B54" s="47">
        <v>45901</v>
      </c>
      <c r="C54" s="48">
        <v>3530507849</v>
      </c>
      <c r="D54" s="3">
        <v>4</v>
      </c>
      <c r="E54" s="28" t="s">
        <v>883</v>
      </c>
      <c r="F54" s="28" t="s">
        <v>367</v>
      </c>
      <c r="G54" s="49" t="s">
        <v>19</v>
      </c>
      <c r="H54" s="6">
        <v>700</v>
      </c>
    </row>
    <row r="55" spans="1:8" ht="20.100000000000001" customHeight="1" x14ac:dyDescent="0.25">
      <c r="A55" s="57"/>
      <c r="B55" s="47">
        <v>45901</v>
      </c>
      <c r="C55" s="48">
        <v>3530507849</v>
      </c>
      <c r="D55" s="3">
        <v>4</v>
      </c>
      <c r="E55" s="28" t="s">
        <v>883</v>
      </c>
      <c r="F55" s="28" t="s">
        <v>963</v>
      </c>
      <c r="G55" s="49" t="s">
        <v>19</v>
      </c>
      <c r="H55" s="6">
        <v>700</v>
      </c>
    </row>
    <row r="56" spans="1:8" ht="20.100000000000001" customHeight="1" x14ac:dyDescent="0.25">
      <c r="A56" s="57"/>
      <c r="B56" s="47">
        <v>45901</v>
      </c>
      <c r="C56" s="48">
        <v>3530507849</v>
      </c>
      <c r="D56" s="3">
        <v>4</v>
      </c>
      <c r="E56" s="28" t="s">
        <v>883</v>
      </c>
      <c r="F56" s="28" t="s">
        <v>964</v>
      </c>
      <c r="G56" s="49" t="s">
        <v>19</v>
      </c>
      <c r="H56" s="6">
        <v>700</v>
      </c>
    </row>
    <row r="57" spans="1:8" ht="20.100000000000001" customHeight="1" x14ac:dyDescent="0.25">
      <c r="A57" s="57"/>
      <c r="B57" s="47">
        <v>45901</v>
      </c>
      <c r="C57" s="48">
        <v>3530507849</v>
      </c>
      <c r="D57" s="3">
        <v>4</v>
      </c>
      <c r="E57" s="28" t="s">
        <v>883</v>
      </c>
      <c r="F57" s="28" t="s">
        <v>98</v>
      </c>
      <c r="G57" s="49" t="s">
        <v>19</v>
      </c>
      <c r="H57" s="6">
        <v>950</v>
      </c>
    </row>
    <row r="58" spans="1:8" ht="20.100000000000001" customHeight="1" x14ac:dyDescent="0.25">
      <c r="A58" s="57"/>
      <c r="B58" s="47">
        <v>45904</v>
      </c>
      <c r="C58" s="48">
        <v>2739683474</v>
      </c>
      <c r="D58" s="3">
        <v>4</v>
      </c>
      <c r="E58" s="28" t="s">
        <v>965</v>
      </c>
      <c r="F58" s="28" t="s">
        <v>98</v>
      </c>
      <c r="G58" s="49" t="s">
        <v>19</v>
      </c>
      <c r="H58" s="6">
        <v>925</v>
      </c>
    </row>
    <row r="59" spans="1:8" ht="20.100000000000001" customHeight="1" x14ac:dyDescent="0.25">
      <c r="A59" s="57"/>
      <c r="B59" s="47">
        <v>45904</v>
      </c>
      <c r="C59" s="48">
        <v>2739683474</v>
      </c>
      <c r="D59" s="3">
        <v>4</v>
      </c>
      <c r="E59" s="28" t="s">
        <v>965</v>
      </c>
      <c r="F59" s="28" t="s">
        <v>97</v>
      </c>
      <c r="G59" s="49" t="s">
        <v>19</v>
      </c>
      <c r="H59" s="6">
        <v>700</v>
      </c>
    </row>
    <row r="60" spans="1:8" ht="20.100000000000001" customHeight="1" x14ac:dyDescent="0.25">
      <c r="A60" s="57"/>
      <c r="B60" s="47">
        <v>45904</v>
      </c>
      <c r="C60" s="48">
        <v>2739683474</v>
      </c>
      <c r="D60" s="3">
        <v>4</v>
      </c>
      <c r="E60" s="28" t="s">
        <v>965</v>
      </c>
      <c r="F60" s="28" t="s">
        <v>111</v>
      </c>
      <c r="G60" s="49" t="s">
        <v>19</v>
      </c>
      <c r="H60" s="6">
        <v>1250</v>
      </c>
    </row>
    <row r="61" spans="1:8" ht="20.100000000000001" customHeight="1" x14ac:dyDescent="0.25">
      <c r="A61" s="57"/>
      <c r="B61" s="47">
        <v>45910</v>
      </c>
      <c r="C61" s="48">
        <v>3548791869</v>
      </c>
      <c r="D61" s="3">
        <v>4</v>
      </c>
      <c r="E61" s="28" t="s">
        <v>316</v>
      </c>
      <c r="F61" s="28" t="s">
        <v>98</v>
      </c>
      <c r="G61" s="49" t="s">
        <v>7</v>
      </c>
      <c r="H61" s="6">
        <v>950</v>
      </c>
    </row>
    <row r="62" spans="1:8" ht="20.100000000000001" customHeight="1" x14ac:dyDescent="0.25">
      <c r="A62" s="57"/>
      <c r="B62" s="47">
        <v>45912</v>
      </c>
      <c r="C62" s="48">
        <v>1304512233</v>
      </c>
      <c r="D62" s="3">
        <v>2</v>
      </c>
      <c r="E62" s="28" t="s">
        <v>966</v>
      </c>
      <c r="F62" s="28" t="s">
        <v>967</v>
      </c>
      <c r="G62" s="49" t="s">
        <v>7</v>
      </c>
      <c r="H62" s="6">
        <v>750</v>
      </c>
    </row>
    <row r="63" spans="1:8" ht="20.100000000000001" customHeight="1" x14ac:dyDescent="0.25">
      <c r="A63" s="57"/>
      <c r="B63" s="47">
        <v>45919</v>
      </c>
      <c r="C63" s="48">
        <v>2845985692</v>
      </c>
      <c r="D63" s="3">
        <v>4</v>
      </c>
      <c r="E63" s="28" t="s">
        <v>968</v>
      </c>
      <c r="F63" s="28" t="s">
        <v>98</v>
      </c>
      <c r="G63" s="49" t="s">
        <v>7</v>
      </c>
      <c r="H63" s="6">
        <v>975</v>
      </c>
    </row>
    <row r="64" spans="1:8" ht="20.100000000000001" customHeight="1" x14ac:dyDescent="0.25">
      <c r="A64" s="57"/>
      <c r="B64" s="47">
        <v>45931</v>
      </c>
      <c r="C64" s="48">
        <v>510544714</v>
      </c>
      <c r="D64" s="3">
        <v>4</v>
      </c>
      <c r="E64" s="28" t="s">
        <v>1044</v>
      </c>
      <c r="F64" s="28" t="s">
        <v>98</v>
      </c>
      <c r="G64" s="49" t="s">
        <v>19</v>
      </c>
      <c r="H64" s="6">
        <v>925</v>
      </c>
    </row>
    <row r="65" spans="1:8" ht="20.100000000000001" customHeight="1" x14ac:dyDescent="0.25">
      <c r="A65" s="57"/>
      <c r="B65" s="47">
        <v>45931</v>
      </c>
      <c r="C65" s="48">
        <v>510544714</v>
      </c>
      <c r="D65" s="3">
        <v>4</v>
      </c>
      <c r="E65" s="28" t="s">
        <v>1044</v>
      </c>
      <c r="F65" s="28" t="s">
        <v>97</v>
      </c>
      <c r="G65" s="49" t="s">
        <v>19</v>
      </c>
      <c r="H65" s="6">
        <v>700</v>
      </c>
    </row>
    <row r="66" spans="1:8" ht="20.100000000000001" customHeight="1" x14ac:dyDescent="0.25">
      <c r="A66" s="57"/>
      <c r="B66" s="47">
        <v>45966</v>
      </c>
      <c r="C66" s="48">
        <v>2855552957</v>
      </c>
      <c r="D66" s="3">
        <v>4</v>
      </c>
      <c r="E66" s="28" t="s">
        <v>1114</v>
      </c>
      <c r="F66" s="28" t="s">
        <v>98</v>
      </c>
      <c r="G66" s="49" t="s">
        <v>7</v>
      </c>
      <c r="H66" s="6">
        <v>925</v>
      </c>
    </row>
    <row r="67" spans="1:8" ht="20.100000000000001" customHeight="1" x14ac:dyDescent="0.25">
      <c r="A67" s="57"/>
      <c r="B67" s="47">
        <v>45972</v>
      </c>
      <c r="C67" s="48">
        <v>3220261729</v>
      </c>
      <c r="D67" s="3">
        <v>4</v>
      </c>
      <c r="E67" s="28" t="s">
        <v>1115</v>
      </c>
      <c r="F67" s="28" t="s">
        <v>98</v>
      </c>
      <c r="G67" s="49" t="s">
        <v>19</v>
      </c>
      <c r="H67" s="6">
        <v>950</v>
      </c>
    </row>
    <row r="68" spans="1:8" ht="20.100000000000001" customHeight="1" x14ac:dyDescent="0.25">
      <c r="A68" s="57"/>
      <c r="B68" s="47">
        <v>45973</v>
      </c>
      <c r="C68" s="48">
        <v>1419395822</v>
      </c>
      <c r="D68" s="3">
        <v>2</v>
      </c>
      <c r="E68" s="28" t="s">
        <v>525</v>
      </c>
      <c r="F68" s="28" t="s">
        <v>245</v>
      </c>
      <c r="G68" s="49" t="s">
        <v>13</v>
      </c>
      <c r="H68" s="6">
        <v>350</v>
      </c>
    </row>
    <row r="69" spans="1:8" ht="20.100000000000001" customHeight="1" x14ac:dyDescent="0.25">
      <c r="A69" s="57"/>
      <c r="B69" s="47">
        <v>45978</v>
      </c>
      <c r="C69" s="48">
        <v>2739556163</v>
      </c>
      <c r="D69" s="3">
        <v>4</v>
      </c>
      <c r="E69" s="28" t="s">
        <v>1066</v>
      </c>
      <c r="F69" s="28" t="s">
        <v>1116</v>
      </c>
      <c r="G69" s="49" t="s">
        <v>6</v>
      </c>
      <c r="H69" s="6">
        <v>1250</v>
      </c>
    </row>
    <row r="70" spans="1:8" ht="20.100000000000001" customHeight="1" x14ac:dyDescent="0.25">
      <c r="A70" s="57"/>
      <c r="B70" s="47">
        <v>45979</v>
      </c>
      <c r="C70" s="48">
        <v>2318094234</v>
      </c>
      <c r="D70" s="3">
        <v>4</v>
      </c>
      <c r="E70" s="28" t="s">
        <v>1117</v>
      </c>
      <c r="F70" s="28" t="s">
        <v>1118</v>
      </c>
      <c r="G70" s="49" t="s">
        <v>19</v>
      </c>
      <c r="H70" s="6">
        <v>1250</v>
      </c>
    </row>
    <row r="71" spans="1:8" ht="20.100000000000001" customHeight="1" x14ac:dyDescent="0.25">
      <c r="A71" s="57"/>
      <c r="B71" s="47">
        <v>45982</v>
      </c>
      <c r="C71" s="48">
        <v>2287553813</v>
      </c>
      <c r="D71" s="3">
        <v>4</v>
      </c>
      <c r="E71" s="28" t="s">
        <v>609</v>
      </c>
      <c r="F71" s="28" t="s">
        <v>1116</v>
      </c>
      <c r="G71" s="49" t="s">
        <v>7</v>
      </c>
      <c r="H71" s="6">
        <v>1150</v>
      </c>
    </row>
    <row r="72" spans="1:8" ht="20.100000000000001" customHeight="1" x14ac:dyDescent="0.25">
      <c r="A72" s="57"/>
      <c r="B72" s="47">
        <v>45982</v>
      </c>
      <c r="C72" s="48">
        <v>2760134018</v>
      </c>
      <c r="D72" s="3">
        <v>2</v>
      </c>
      <c r="E72" s="28" t="s">
        <v>1119</v>
      </c>
      <c r="F72" s="28" t="s">
        <v>98</v>
      </c>
      <c r="G72" s="49" t="s">
        <v>6</v>
      </c>
      <c r="H72" s="6">
        <v>462.5</v>
      </c>
    </row>
    <row r="73" spans="1:8" ht="20.100000000000001" customHeight="1" x14ac:dyDescent="0.25">
      <c r="A73" s="57"/>
      <c r="B73" s="47">
        <v>45982</v>
      </c>
      <c r="C73" s="48">
        <v>2760134018</v>
      </c>
      <c r="D73" s="3">
        <v>2</v>
      </c>
      <c r="E73" s="28" t="s">
        <v>1119</v>
      </c>
      <c r="F73" s="28" t="s">
        <v>366</v>
      </c>
      <c r="G73" s="49" t="s">
        <v>6</v>
      </c>
      <c r="H73" s="6">
        <v>250</v>
      </c>
    </row>
    <row r="74" spans="1:8" ht="20.100000000000001" customHeight="1" x14ac:dyDescent="0.25">
      <c r="A74" s="57"/>
      <c r="B74" s="47">
        <v>45985</v>
      </c>
      <c r="C74" s="48">
        <v>749948033</v>
      </c>
      <c r="D74" s="3">
        <v>4</v>
      </c>
      <c r="E74" s="28" t="s">
        <v>272</v>
      </c>
      <c r="F74" s="28" t="s">
        <v>98</v>
      </c>
      <c r="G74" s="49" t="s">
        <v>19</v>
      </c>
      <c r="H74" s="6">
        <v>925</v>
      </c>
    </row>
    <row r="75" spans="1:8" ht="20.100000000000001" customHeight="1" x14ac:dyDescent="0.25">
      <c r="A75" s="57"/>
      <c r="B75" s="47">
        <v>45985</v>
      </c>
      <c r="C75" s="48">
        <v>749948033</v>
      </c>
      <c r="D75" s="3">
        <v>4</v>
      </c>
      <c r="E75" s="28" t="s">
        <v>272</v>
      </c>
      <c r="F75" s="28" t="s">
        <v>1121</v>
      </c>
      <c r="G75" s="49" t="s">
        <v>19</v>
      </c>
      <c r="H75" s="6">
        <v>500</v>
      </c>
    </row>
    <row r="76" spans="1:8" ht="20.100000000000001" customHeight="1" x14ac:dyDescent="0.25">
      <c r="A76" s="57"/>
      <c r="B76" s="47">
        <v>45985</v>
      </c>
      <c r="C76" s="48">
        <v>749948033</v>
      </c>
      <c r="D76" s="3">
        <v>4</v>
      </c>
      <c r="E76" s="28" t="s">
        <v>272</v>
      </c>
      <c r="F76" s="28" t="s">
        <v>97</v>
      </c>
      <c r="G76" s="49" t="s">
        <v>19</v>
      </c>
      <c r="H76" s="6">
        <v>700</v>
      </c>
    </row>
    <row r="77" spans="1:8" ht="20.100000000000001" customHeight="1" x14ac:dyDescent="0.25">
      <c r="A77" s="57"/>
      <c r="B77" s="47">
        <v>45985</v>
      </c>
      <c r="C77" s="48">
        <v>749948033</v>
      </c>
      <c r="D77" s="3">
        <v>4</v>
      </c>
      <c r="E77" s="28" t="s">
        <v>1120</v>
      </c>
      <c r="F77" s="28" t="s">
        <v>528</v>
      </c>
      <c r="G77" s="49" t="s">
        <v>19</v>
      </c>
      <c r="H77" s="6">
        <v>1250</v>
      </c>
    </row>
    <row r="78" spans="1:8" ht="20.100000000000001" customHeight="1" x14ac:dyDescent="0.25">
      <c r="A78" s="57"/>
      <c r="B78" s="47">
        <v>45985</v>
      </c>
      <c r="C78" s="48">
        <v>749948033</v>
      </c>
      <c r="D78" s="3">
        <v>4</v>
      </c>
      <c r="E78" s="28" t="s">
        <v>1120</v>
      </c>
      <c r="F78" s="28" t="s">
        <v>98</v>
      </c>
      <c r="G78" s="49" t="s">
        <v>19</v>
      </c>
      <c r="H78" s="6">
        <v>925</v>
      </c>
    </row>
    <row r="79" spans="1:8" ht="20.100000000000001" customHeight="1" x14ac:dyDescent="0.25">
      <c r="A79" s="57"/>
      <c r="B79" s="47">
        <v>45985</v>
      </c>
      <c r="C79" s="48">
        <v>749948033</v>
      </c>
      <c r="D79" s="3">
        <v>4</v>
      </c>
      <c r="E79" s="28" t="s">
        <v>1120</v>
      </c>
      <c r="F79" s="28" t="s">
        <v>97</v>
      </c>
      <c r="G79" s="49" t="s">
        <v>19</v>
      </c>
      <c r="H79" s="6">
        <v>700</v>
      </c>
    </row>
    <row r="80" spans="1:8" ht="20.100000000000001" customHeight="1" x14ac:dyDescent="0.25">
      <c r="A80" s="57"/>
      <c r="B80" s="47">
        <v>45988</v>
      </c>
      <c r="C80" s="48">
        <v>24136401</v>
      </c>
      <c r="D80" s="3">
        <v>4</v>
      </c>
      <c r="E80" s="28" t="s">
        <v>419</v>
      </c>
      <c r="F80" s="28" t="s">
        <v>97</v>
      </c>
      <c r="G80" s="49" t="s">
        <v>19</v>
      </c>
      <c r="H80" s="6">
        <v>700</v>
      </c>
    </row>
    <row r="81" spans="1:8" ht="15.75" x14ac:dyDescent="0.25">
      <c r="A81" s="57"/>
      <c r="B81" s="47">
        <v>45988</v>
      </c>
      <c r="C81" s="48">
        <v>24136401</v>
      </c>
      <c r="D81" s="3">
        <v>4</v>
      </c>
      <c r="E81" s="28" t="s">
        <v>419</v>
      </c>
      <c r="F81" s="28" t="s">
        <v>98</v>
      </c>
      <c r="G81" s="49" t="s">
        <v>19</v>
      </c>
      <c r="H81" s="6">
        <v>925</v>
      </c>
    </row>
    <row r="82" spans="1:8" ht="20.100000000000001" customHeight="1" x14ac:dyDescent="0.25">
      <c r="A82" s="57"/>
      <c r="B82" s="47">
        <v>45989</v>
      </c>
      <c r="C82" s="48">
        <v>819546196</v>
      </c>
      <c r="D82" s="3">
        <v>4</v>
      </c>
      <c r="E82" s="28" t="s">
        <v>1122</v>
      </c>
      <c r="F82" s="28" t="s">
        <v>98</v>
      </c>
      <c r="G82" s="49" t="s">
        <v>19</v>
      </c>
      <c r="H82" s="6">
        <v>925</v>
      </c>
    </row>
    <row r="83" spans="1:8" ht="20.100000000000001" customHeight="1" x14ac:dyDescent="0.25">
      <c r="A83" s="57"/>
      <c r="B83" s="47">
        <v>45989</v>
      </c>
      <c r="C83" s="48">
        <v>819546196</v>
      </c>
      <c r="D83" s="3">
        <v>4</v>
      </c>
      <c r="E83" s="28" t="s">
        <v>1122</v>
      </c>
      <c r="F83" s="28" t="s">
        <v>1121</v>
      </c>
      <c r="G83" s="49" t="s">
        <v>19</v>
      </c>
      <c r="H83" s="6">
        <v>500</v>
      </c>
    </row>
    <row r="84" spans="1:8" ht="20.100000000000001" customHeight="1" x14ac:dyDescent="0.25">
      <c r="A84" s="57"/>
      <c r="B84" s="47">
        <v>45989</v>
      </c>
      <c r="C84" s="48">
        <v>2475901975</v>
      </c>
      <c r="D84" s="3">
        <v>4</v>
      </c>
      <c r="E84" s="28" t="s">
        <v>639</v>
      </c>
      <c r="F84" s="28" t="s">
        <v>111</v>
      </c>
      <c r="G84" s="49" t="s">
        <v>6</v>
      </c>
      <c r="H84" s="6">
        <v>1250</v>
      </c>
    </row>
    <row r="85" spans="1:8" ht="20.100000000000001" customHeight="1" x14ac:dyDescent="0.25">
      <c r="A85" s="57"/>
      <c r="B85" s="47">
        <v>45999</v>
      </c>
      <c r="C85" s="48">
        <v>3663546295</v>
      </c>
      <c r="D85" s="3">
        <v>4</v>
      </c>
      <c r="E85" s="28" t="s">
        <v>1243</v>
      </c>
      <c r="F85" s="28" t="s">
        <v>111</v>
      </c>
      <c r="G85" s="49" t="s">
        <v>7</v>
      </c>
      <c r="H85" s="6">
        <v>1250</v>
      </c>
    </row>
    <row r="86" spans="1:8" ht="20.100000000000001" customHeight="1" x14ac:dyDescent="0.25">
      <c r="A86" s="57"/>
      <c r="B86" s="47">
        <v>45999</v>
      </c>
      <c r="C86" s="48">
        <v>3663546295</v>
      </c>
      <c r="D86" s="3">
        <v>4</v>
      </c>
      <c r="E86" s="28" t="s">
        <v>1243</v>
      </c>
      <c r="F86" s="28" t="s">
        <v>97</v>
      </c>
      <c r="G86" s="49" t="s">
        <v>7</v>
      </c>
      <c r="H86" s="6">
        <v>700</v>
      </c>
    </row>
    <row r="87" spans="1:8" ht="20.100000000000001" customHeight="1" x14ac:dyDescent="0.25">
      <c r="A87" s="57"/>
      <c r="B87" s="47">
        <v>45999</v>
      </c>
      <c r="C87" s="48">
        <v>1905478278</v>
      </c>
      <c r="D87" s="3">
        <v>1</v>
      </c>
      <c r="E87" s="28" t="s">
        <v>516</v>
      </c>
      <c r="F87" s="28" t="s">
        <v>1244</v>
      </c>
      <c r="G87" s="49" t="s">
        <v>6</v>
      </c>
      <c r="H87" s="6">
        <v>264.5</v>
      </c>
    </row>
    <row r="88" spans="1:8" ht="20.100000000000001" customHeight="1" x14ac:dyDescent="0.25">
      <c r="A88" s="57"/>
      <c r="B88" s="47">
        <v>45999</v>
      </c>
      <c r="C88" s="48">
        <v>1905478278</v>
      </c>
      <c r="D88" s="3">
        <v>1</v>
      </c>
      <c r="E88" s="28" t="s">
        <v>516</v>
      </c>
      <c r="F88" s="28" t="s">
        <v>97</v>
      </c>
      <c r="G88" s="49" t="s">
        <v>6</v>
      </c>
      <c r="H88" s="6">
        <v>264.5</v>
      </c>
    </row>
    <row r="89" spans="1:8" ht="20.100000000000001" customHeight="1" x14ac:dyDescent="0.25">
      <c r="A89" s="57"/>
      <c r="B89" s="47">
        <v>46000</v>
      </c>
      <c r="C89" s="48">
        <v>4018225937</v>
      </c>
      <c r="D89" s="3">
        <v>4</v>
      </c>
      <c r="E89" s="28" t="s">
        <v>1245</v>
      </c>
      <c r="F89" s="28" t="s">
        <v>1244</v>
      </c>
      <c r="G89" s="49" t="s">
        <v>7</v>
      </c>
      <c r="H89" s="6">
        <v>925</v>
      </c>
    </row>
    <row r="90" spans="1:8" ht="20.100000000000001" customHeight="1" x14ac:dyDescent="0.25">
      <c r="A90" s="57"/>
      <c r="B90" s="47">
        <v>46006</v>
      </c>
      <c r="C90" s="48">
        <v>886456887</v>
      </c>
      <c r="D90" s="3">
        <v>4</v>
      </c>
      <c r="E90" s="28" t="s">
        <v>1135</v>
      </c>
      <c r="F90" s="28" t="s">
        <v>111</v>
      </c>
      <c r="G90" s="49" t="s">
        <v>19</v>
      </c>
      <c r="H90" s="6">
        <v>1250</v>
      </c>
    </row>
    <row r="91" spans="1:8" ht="20.100000000000001" customHeight="1" x14ac:dyDescent="0.25">
      <c r="A91" s="57"/>
      <c r="B91" s="47">
        <v>46006</v>
      </c>
      <c r="C91" s="48">
        <v>886456887</v>
      </c>
      <c r="D91" s="3">
        <v>4</v>
      </c>
      <c r="E91" s="28" t="s">
        <v>1135</v>
      </c>
      <c r="F91" s="28" t="s">
        <v>770</v>
      </c>
      <c r="G91" s="49" t="s">
        <v>19</v>
      </c>
      <c r="H91" s="6">
        <v>900</v>
      </c>
    </row>
    <row r="92" spans="1:8" ht="20.100000000000001" customHeight="1" x14ac:dyDescent="0.25">
      <c r="A92" s="57"/>
      <c r="B92" s="47">
        <v>46006</v>
      </c>
      <c r="C92" s="48">
        <v>886456887</v>
      </c>
      <c r="D92" s="3">
        <v>4</v>
      </c>
      <c r="E92" s="28" t="s">
        <v>1135</v>
      </c>
      <c r="F92" s="28" t="s">
        <v>98</v>
      </c>
      <c r="G92" s="49" t="s">
        <v>19</v>
      </c>
      <c r="H92" s="6">
        <v>925</v>
      </c>
    </row>
    <row r="93" spans="1:8" ht="20.100000000000001" customHeight="1" x14ac:dyDescent="0.25">
      <c r="A93" s="57"/>
      <c r="B93" s="47">
        <v>46006</v>
      </c>
      <c r="C93" s="48">
        <v>1876247349</v>
      </c>
      <c r="D93" s="3">
        <v>4</v>
      </c>
      <c r="E93" s="28" t="s">
        <v>130</v>
      </c>
      <c r="F93" s="28" t="s">
        <v>97</v>
      </c>
      <c r="G93" s="49" t="s">
        <v>6</v>
      </c>
      <c r="H93" s="6">
        <v>700</v>
      </c>
    </row>
    <row r="94" spans="1:8" ht="20.100000000000001" customHeight="1" x14ac:dyDescent="0.25">
      <c r="A94" s="57"/>
      <c r="B94" s="47">
        <v>46008</v>
      </c>
      <c r="C94" s="48">
        <v>1005801119</v>
      </c>
      <c r="D94" s="3">
        <v>4</v>
      </c>
      <c r="E94" s="28" t="s">
        <v>1246</v>
      </c>
      <c r="F94" s="28" t="s">
        <v>1244</v>
      </c>
      <c r="G94" s="49" t="s">
        <v>10</v>
      </c>
      <c r="H94" s="6">
        <v>925</v>
      </c>
    </row>
    <row r="95" spans="1:8" ht="20.100000000000001" customHeight="1" x14ac:dyDescent="0.25">
      <c r="A95" s="57"/>
      <c r="B95" s="47">
        <v>46008</v>
      </c>
      <c r="C95" s="48">
        <v>1005801119</v>
      </c>
      <c r="D95" s="3">
        <v>4</v>
      </c>
      <c r="E95" s="28" t="s">
        <v>1246</v>
      </c>
      <c r="F95" s="28" t="s">
        <v>638</v>
      </c>
      <c r="G95" s="49" t="s">
        <v>10</v>
      </c>
      <c r="H95" s="6">
        <v>1000</v>
      </c>
    </row>
    <row r="96" spans="1:8" ht="20.100000000000001" customHeight="1" x14ac:dyDescent="0.25">
      <c r="A96" s="57"/>
      <c r="B96" s="47">
        <v>46010</v>
      </c>
      <c r="C96" s="48">
        <v>3258402429</v>
      </c>
      <c r="D96" s="3">
        <v>1</v>
      </c>
      <c r="E96" s="28" t="s">
        <v>1247</v>
      </c>
      <c r="F96" s="28" t="s">
        <v>97</v>
      </c>
      <c r="G96" s="49" t="s">
        <v>6</v>
      </c>
      <c r="H96" s="6">
        <v>250</v>
      </c>
    </row>
    <row r="97" spans="1:8" ht="15.75" x14ac:dyDescent="0.25">
      <c r="A97" s="58"/>
      <c r="B97" s="20"/>
      <c r="C97" s="18"/>
      <c r="D97" s="18"/>
      <c r="E97" s="18" t="s">
        <v>5</v>
      </c>
      <c r="F97" s="18"/>
      <c r="G97" s="21"/>
      <c r="H97" s="22">
        <f>SUM(H3:H96)</f>
        <v>74362.5</v>
      </c>
    </row>
    <row r="176" spans="2:8" ht="15.75" x14ac:dyDescent="0.25">
      <c r="B176" s="71"/>
      <c r="C176" s="71"/>
      <c r="D176" s="71"/>
      <c r="E176" s="71"/>
      <c r="F176" s="72"/>
      <c r="G176" s="71"/>
      <c r="H176" s="71"/>
    </row>
    <row r="177" spans="2:8" ht="15.75" x14ac:dyDescent="0.25">
      <c r="B177" s="71"/>
      <c r="C177" s="71"/>
      <c r="D177" s="71"/>
      <c r="E177" s="71"/>
      <c r="F177" s="72"/>
      <c r="G177" s="71"/>
      <c r="H177" s="71"/>
    </row>
    <row r="178" spans="2:8" ht="15.75" x14ac:dyDescent="0.25">
      <c r="B178" s="71"/>
      <c r="C178" s="71"/>
      <c r="D178" s="71"/>
      <c r="E178" s="71"/>
      <c r="F178" s="72"/>
      <c r="G178" s="71"/>
      <c r="H178" s="71"/>
    </row>
    <row r="179" spans="2:8" ht="15.75" x14ac:dyDescent="0.25">
      <c r="B179" s="71"/>
      <c r="C179" s="71"/>
      <c r="D179" s="71"/>
      <c r="E179" s="71"/>
      <c r="F179" s="72"/>
      <c r="G179" s="71"/>
      <c r="H179" s="71"/>
    </row>
    <row r="180" spans="2:8" ht="15.75" x14ac:dyDescent="0.25">
      <c r="B180" s="71"/>
      <c r="C180" s="71"/>
      <c r="D180" s="71"/>
      <c r="E180" s="71"/>
      <c r="F180" s="72"/>
      <c r="G180" s="71"/>
      <c r="H180" s="71"/>
    </row>
    <row r="181" spans="2:8" ht="15.75" x14ac:dyDescent="0.25">
      <c r="B181" s="71"/>
      <c r="C181" s="71"/>
      <c r="D181" s="71"/>
      <c r="E181" s="71"/>
      <c r="F181" s="72"/>
      <c r="G181" s="71"/>
      <c r="H181" s="71"/>
    </row>
    <row r="182" spans="2:8" ht="15.75" x14ac:dyDescent="0.25">
      <c r="B182" s="71"/>
      <c r="C182" s="71"/>
      <c r="D182" s="71"/>
      <c r="E182" s="71"/>
      <c r="F182" s="72"/>
      <c r="G182" s="71"/>
      <c r="H182" s="71"/>
    </row>
    <row r="183" spans="2:8" ht="15.75" x14ac:dyDescent="0.25">
      <c r="B183" s="71"/>
      <c r="C183" s="71"/>
      <c r="D183" s="71"/>
      <c r="E183" s="71"/>
      <c r="F183" s="72"/>
      <c r="G183" s="71"/>
      <c r="H183" s="71"/>
    </row>
    <row r="184" spans="2:8" ht="15.75" x14ac:dyDescent="0.25">
      <c r="B184" s="71"/>
      <c r="C184" s="71"/>
      <c r="D184" s="71"/>
      <c r="E184" s="71"/>
      <c r="F184" s="72"/>
      <c r="G184" s="71"/>
      <c r="H184" s="71"/>
    </row>
    <row r="185" spans="2:8" ht="15.75" x14ac:dyDescent="0.25">
      <c r="B185" s="71"/>
      <c r="C185" s="71"/>
      <c r="D185" s="71"/>
      <c r="E185" s="71"/>
      <c r="F185" s="72"/>
      <c r="G185" s="71"/>
      <c r="H185" s="71"/>
    </row>
    <row r="186" spans="2:8" ht="15.75" x14ac:dyDescent="0.25">
      <c r="B186" s="71"/>
      <c r="C186" s="71"/>
      <c r="D186" s="71"/>
      <c r="E186" s="71"/>
      <c r="F186" s="72"/>
      <c r="G186" s="71"/>
      <c r="H186" s="71"/>
    </row>
    <row r="187" spans="2:8" ht="15.75" x14ac:dyDescent="0.25">
      <c r="B187" s="71"/>
      <c r="C187" s="71"/>
      <c r="D187" s="71"/>
      <c r="E187" s="71"/>
      <c r="F187" s="72"/>
      <c r="G187" s="71"/>
      <c r="H187" s="71"/>
    </row>
    <row r="188" spans="2:8" ht="15.75" x14ac:dyDescent="0.25">
      <c r="B188" s="71"/>
      <c r="C188" s="71"/>
      <c r="D188" s="71"/>
      <c r="E188" s="71"/>
      <c r="F188" s="72"/>
      <c r="G188" s="71"/>
      <c r="H188" s="71"/>
    </row>
    <row r="189" spans="2:8" ht="15.75" x14ac:dyDescent="0.25">
      <c r="B189" s="71"/>
      <c r="C189" s="71"/>
      <c r="D189" s="71"/>
      <c r="E189" s="71"/>
      <c r="F189" s="72"/>
      <c r="G189" s="71"/>
      <c r="H189" s="71"/>
    </row>
    <row r="190" spans="2:8" ht="15.75" x14ac:dyDescent="0.25">
      <c r="B190" s="71"/>
      <c r="C190" s="71"/>
      <c r="D190" s="71"/>
      <c r="E190" s="71"/>
      <c r="F190" s="72"/>
      <c r="G190" s="71"/>
      <c r="H190" s="71"/>
    </row>
    <row r="191" spans="2:8" ht="15.75" x14ac:dyDescent="0.25">
      <c r="B191" s="71"/>
      <c r="C191" s="71"/>
      <c r="D191" s="71"/>
      <c r="E191" s="71"/>
      <c r="F191" s="72"/>
      <c r="G191" s="71"/>
      <c r="H191" s="71"/>
    </row>
    <row r="192" spans="2:8" ht="15.75" x14ac:dyDescent="0.25">
      <c r="B192" s="71"/>
      <c r="C192" s="71"/>
      <c r="D192" s="71"/>
      <c r="E192" s="71"/>
      <c r="F192" s="72"/>
      <c r="G192" s="71"/>
      <c r="H192" s="71"/>
    </row>
    <row r="193" spans="2:8" ht="15.75" x14ac:dyDescent="0.25">
      <c r="B193" s="71"/>
      <c r="C193" s="71"/>
      <c r="D193" s="71"/>
      <c r="E193" s="71"/>
      <c r="F193" s="72"/>
      <c r="G193" s="71"/>
      <c r="H193" s="71"/>
    </row>
    <row r="194" spans="2:8" ht="15.75" x14ac:dyDescent="0.25">
      <c r="B194" s="71"/>
      <c r="C194" s="71"/>
      <c r="D194" s="71"/>
      <c r="E194" s="71"/>
      <c r="F194" s="72"/>
      <c r="G194" s="71"/>
      <c r="H194" s="71"/>
    </row>
    <row r="195" spans="2:8" ht="15.75" x14ac:dyDescent="0.25">
      <c r="B195" s="71"/>
      <c r="C195" s="71"/>
      <c r="D195" s="71"/>
      <c r="E195" s="71"/>
      <c r="F195" s="72"/>
      <c r="G195" s="71"/>
      <c r="H195" s="71"/>
    </row>
    <row r="196" spans="2:8" ht="15.75" x14ac:dyDescent="0.25">
      <c r="B196" s="71"/>
      <c r="C196" s="71"/>
      <c r="D196" s="71"/>
      <c r="E196" s="71"/>
      <c r="F196" s="72"/>
      <c r="G196" s="71"/>
      <c r="H196" s="71"/>
    </row>
    <row r="197" spans="2:8" ht="15.75" x14ac:dyDescent="0.25">
      <c r="B197" s="71"/>
      <c r="C197" s="71"/>
      <c r="D197" s="71"/>
      <c r="E197" s="71"/>
      <c r="F197" s="72"/>
      <c r="G197" s="71"/>
      <c r="H197" s="71"/>
    </row>
    <row r="198" spans="2:8" ht="15.75" x14ac:dyDescent="0.25">
      <c r="B198" s="71"/>
      <c r="C198" s="71"/>
      <c r="D198" s="71"/>
      <c r="E198" s="71"/>
      <c r="F198" s="72"/>
      <c r="G198" s="71"/>
      <c r="H198" s="71"/>
    </row>
    <row r="199" spans="2:8" ht="15.75" x14ac:dyDescent="0.25">
      <c r="B199" s="71"/>
      <c r="C199" s="71"/>
      <c r="D199" s="71"/>
      <c r="E199" s="71"/>
      <c r="F199" s="72"/>
      <c r="G199" s="71"/>
      <c r="H199" s="71"/>
    </row>
    <row r="200" spans="2:8" ht="15.75" x14ac:dyDescent="0.25">
      <c r="B200" s="71"/>
      <c r="C200" s="71"/>
      <c r="D200" s="71"/>
      <c r="E200" s="71"/>
      <c r="F200" s="72"/>
      <c r="G200" s="71"/>
      <c r="H200" s="71"/>
    </row>
    <row r="201" spans="2:8" ht="15.75" x14ac:dyDescent="0.25">
      <c r="B201" s="71"/>
      <c r="C201" s="71"/>
      <c r="D201" s="71"/>
      <c r="E201" s="71"/>
      <c r="F201" s="72"/>
      <c r="G201" s="71"/>
      <c r="H201" s="71"/>
    </row>
    <row r="202" spans="2:8" ht="15.75" x14ac:dyDescent="0.25">
      <c r="B202" s="71"/>
      <c r="C202" s="71"/>
      <c r="D202" s="71"/>
      <c r="E202" s="71"/>
      <c r="F202" s="72"/>
      <c r="G202" s="71"/>
      <c r="H202" s="71"/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H191"/>
  <sheetViews>
    <sheetView workbookViewId="0">
      <pane ySplit="2" topLeftCell="A3" activePane="bottomLeft" state="frozen"/>
      <selection activeCell="E54" sqref="E54"/>
      <selection pane="bottomLeft" activeCell="B1" sqref="B1:B1048576"/>
    </sheetView>
  </sheetViews>
  <sheetFormatPr baseColWidth="10" defaultColWidth="9.140625" defaultRowHeight="15" x14ac:dyDescent="0.25"/>
  <cols>
    <col min="1" max="1" width="11.5703125" bestFit="1" customWidth="1"/>
    <col min="2" max="2" width="12.7109375" bestFit="1" customWidth="1"/>
    <col min="3" max="3" width="18.140625" customWidth="1"/>
    <col min="4" max="4" width="11" customWidth="1"/>
    <col min="5" max="5" width="34.140625" bestFit="1" customWidth="1"/>
    <col min="6" max="6" width="18.85546875" style="1" bestFit="1" customWidth="1"/>
    <col min="7" max="7" width="16.140625" bestFit="1" customWidth="1"/>
    <col min="8" max="8" width="14.28515625" bestFit="1" customWidth="1"/>
  </cols>
  <sheetData>
    <row r="1" spans="1:8" ht="15" customHeight="1" x14ac:dyDescent="0.25">
      <c r="A1" s="60" t="s">
        <v>14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60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60"/>
      <c r="B3" s="2">
        <v>45756</v>
      </c>
      <c r="C3" s="3">
        <v>2193049518</v>
      </c>
      <c r="D3" s="3">
        <v>5</v>
      </c>
      <c r="E3" s="4" t="s">
        <v>530</v>
      </c>
      <c r="F3" s="4" t="s">
        <v>531</v>
      </c>
      <c r="G3" s="5" t="s">
        <v>19</v>
      </c>
      <c r="H3" s="6">
        <v>7500</v>
      </c>
    </row>
    <row r="4" spans="1:8" ht="20.100000000000001" customHeight="1" x14ac:dyDescent="0.25">
      <c r="A4" s="60"/>
      <c r="B4" s="2">
        <v>45825</v>
      </c>
      <c r="C4" s="3">
        <v>3703128810</v>
      </c>
      <c r="D4" s="3">
        <v>6</v>
      </c>
      <c r="E4" s="4" t="s">
        <v>643</v>
      </c>
      <c r="F4" s="4" t="s">
        <v>644</v>
      </c>
      <c r="G4" s="5" t="s">
        <v>7</v>
      </c>
      <c r="H4" s="6">
        <v>7500</v>
      </c>
    </row>
    <row r="5" spans="1:8" ht="15.75" x14ac:dyDescent="0.25">
      <c r="A5" s="60"/>
      <c r="B5" s="20"/>
      <c r="C5" s="18"/>
      <c r="D5" s="18"/>
      <c r="E5" s="18" t="s">
        <v>5</v>
      </c>
      <c r="F5" s="18"/>
      <c r="G5" s="21"/>
      <c r="H5" s="22">
        <f>SUM(H3:H4)</f>
        <v>15000</v>
      </c>
    </row>
    <row r="165" spans="2:8" ht="15.75" x14ac:dyDescent="0.25">
      <c r="B165" s="71"/>
      <c r="C165" s="71"/>
      <c r="D165" s="71"/>
      <c r="E165" s="71"/>
      <c r="F165" s="72"/>
      <c r="G165" s="71"/>
      <c r="H165" s="71"/>
    </row>
    <row r="166" spans="2:8" ht="15.75" x14ac:dyDescent="0.25">
      <c r="B166" s="71"/>
      <c r="C166" s="71"/>
      <c r="D166" s="71"/>
      <c r="E166" s="71"/>
      <c r="F166" s="72"/>
      <c r="G166" s="71"/>
      <c r="H166" s="71"/>
    </row>
    <row r="167" spans="2:8" ht="15.75" x14ac:dyDescent="0.25">
      <c r="B167" s="71"/>
      <c r="C167" s="71"/>
      <c r="D167" s="71"/>
      <c r="E167" s="71"/>
      <c r="F167" s="72"/>
      <c r="G167" s="71"/>
      <c r="H167" s="71"/>
    </row>
    <row r="168" spans="2:8" ht="15.75" x14ac:dyDescent="0.25">
      <c r="B168" s="71"/>
      <c r="C168" s="71"/>
      <c r="D168" s="71"/>
      <c r="E168" s="71"/>
      <c r="F168" s="72"/>
      <c r="G168" s="71"/>
      <c r="H168" s="71"/>
    </row>
    <row r="169" spans="2:8" ht="15.75" x14ac:dyDescent="0.25">
      <c r="B169" s="71"/>
      <c r="C169" s="71"/>
      <c r="D169" s="71"/>
      <c r="E169" s="71"/>
      <c r="F169" s="72"/>
      <c r="G169" s="71"/>
      <c r="H169" s="71"/>
    </row>
    <row r="170" spans="2:8" ht="15.75" x14ac:dyDescent="0.25">
      <c r="B170" s="71"/>
      <c r="C170" s="71"/>
      <c r="D170" s="71"/>
      <c r="E170" s="71"/>
      <c r="F170" s="72"/>
      <c r="G170" s="71"/>
      <c r="H170" s="71"/>
    </row>
    <row r="171" spans="2:8" ht="15.75" x14ac:dyDescent="0.25">
      <c r="B171" s="71"/>
      <c r="C171" s="71"/>
      <c r="D171" s="71"/>
      <c r="E171" s="71"/>
      <c r="F171" s="72"/>
      <c r="G171" s="71"/>
      <c r="H171" s="71"/>
    </row>
    <row r="172" spans="2:8" ht="15.75" x14ac:dyDescent="0.25">
      <c r="B172" s="71"/>
      <c r="C172" s="71"/>
      <c r="D172" s="71"/>
      <c r="E172" s="71"/>
      <c r="F172" s="72"/>
      <c r="G172" s="71"/>
      <c r="H172" s="71"/>
    </row>
    <row r="173" spans="2:8" ht="15.75" x14ac:dyDescent="0.25">
      <c r="B173" s="71"/>
      <c r="C173" s="71"/>
      <c r="D173" s="71"/>
      <c r="E173" s="71"/>
      <c r="F173" s="72"/>
      <c r="G173" s="71"/>
      <c r="H173" s="71"/>
    </row>
    <row r="174" spans="2:8" ht="15.75" x14ac:dyDescent="0.25">
      <c r="B174" s="71"/>
      <c r="C174" s="71"/>
      <c r="D174" s="71"/>
      <c r="E174" s="71"/>
      <c r="F174" s="72"/>
      <c r="G174" s="71"/>
      <c r="H174" s="71"/>
    </row>
    <row r="175" spans="2:8" ht="15.75" x14ac:dyDescent="0.25">
      <c r="B175" s="71"/>
      <c r="C175" s="71"/>
      <c r="D175" s="71"/>
      <c r="E175" s="71"/>
      <c r="F175" s="72"/>
      <c r="G175" s="71"/>
      <c r="H175" s="71"/>
    </row>
    <row r="176" spans="2:8" ht="15.75" x14ac:dyDescent="0.25">
      <c r="B176" s="71"/>
      <c r="C176" s="71"/>
      <c r="D176" s="71"/>
      <c r="E176" s="71"/>
      <c r="F176" s="72"/>
      <c r="G176" s="71"/>
      <c r="H176" s="71"/>
    </row>
    <row r="177" spans="2:8" ht="15.75" x14ac:dyDescent="0.25">
      <c r="B177" s="71"/>
      <c r="C177" s="71"/>
      <c r="D177" s="71"/>
      <c r="E177" s="71"/>
      <c r="F177" s="72"/>
      <c r="G177" s="71"/>
      <c r="H177" s="71"/>
    </row>
    <row r="178" spans="2:8" ht="15.75" x14ac:dyDescent="0.25">
      <c r="B178" s="71"/>
      <c r="C178" s="71"/>
      <c r="D178" s="71"/>
      <c r="E178" s="71"/>
      <c r="F178" s="72"/>
      <c r="G178" s="71"/>
      <c r="H178" s="71"/>
    </row>
    <row r="179" spans="2:8" ht="15.75" x14ac:dyDescent="0.25">
      <c r="B179" s="71"/>
      <c r="C179" s="71"/>
      <c r="D179" s="71"/>
      <c r="E179" s="71"/>
      <c r="F179" s="72"/>
      <c r="G179" s="71"/>
      <c r="H179" s="71"/>
    </row>
    <row r="180" spans="2:8" ht="15.75" x14ac:dyDescent="0.25">
      <c r="B180" s="71"/>
      <c r="C180" s="71"/>
      <c r="D180" s="71"/>
      <c r="E180" s="71"/>
      <c r="F180" s="72"/>
      <c r="G180" s="71"/>
      <c r="H180" s="71"/>
    </row>
    <row r="181" spans="2:8" ht="15.75" x14ac:dyDescent="0.25">
      <c r="B181" s="71"/>
      <c r="C181" s="71"/>
      <c r="D181" s="71"/>
      <c r="E181" s="71"/>
      <c r="F181" s="72"/>
      <c r="G181" s="71"/>
      <c r="H181" s="71"/>
    </row>
    <row r="182" spans="2:8" ht="15.75" x14ac:dyDescent="0.25">
      <c r="B182" s="71"/>
      <c r="C182" s="71"/>
      <c r="D182" s="71"/>
      <c r="E182" s="71"/>
      <c r="F182" s="72"/>
      <c r="G182" s="71"/>
      <c r="H182" s="71"/>
    </row>
    <row r="183" spans="2:8" ht="15.75" x14ac:dyDescent="0.25">
      <c r="B183" s="71"/>
      <c r="C183" s="71"/>
      <c r="D183" s="71"/>
      <c r="E183" s="71"/>
      <c r="F183" s="72"/>
      <c r="G183" s="71"/>
      <c r="H183" s="71"/>
    </row>
    <row r="184" spans="2:8" ht="15.75" x14ac:dyDescent="0.25">
      <c r="B184" s="71"/>
      <c r="C184" s="71"/>
      <c r="D184" s="71"/>
      <c r="E184" s="71"/>
      <c r="F184" s="72"/>
      <c r="G184" s="71"/>
      <c r="H184" s="71"/>
    </row>
    <row r="185" spans="2:8" ht="15.75" x14ac:dyDescent="0.25">
      <c r="B185" s="71"/>
      <c r="C185" s="71"/>
      <c r="D185" s="71"/>
      <c r="E185" s="71"/>
      <c r="F185" s="72"/>
      <c r="G185" s="71"/>
      <c r="H185" s="71"/>
    </row>
    <row r="186" spans="2:8" ht="15.75" x14ac:dyDescent="0.25">
      <c r="B186" s="71"/>
      <c r="C186" s="71"/>
      <c r="D186" s="71"/>
      <c r="E186" s="71"/>
      <c r="F186" s="72"/>
      <c r="G186" s="71"/>
      <c r="H186" s="71"/>
    </row>
    <row r="187" spans="2:8" ht="15.75" x14ac:dyDescent="0.25">
      <c r="B187" s="71"/>
      <c r="C187" s="71"/>
      <c r="D187" s="71"/>
      <c r="E187" s="71"/>
      <c r="F187" s="72"/>
      <c r="G187" s="71"/>
      <c r="H187" s="71"/>
    </row>
    <row r="188" spans="2:8" ht="15.75" x14ac:dyDescent="0.25">
      <c r="B188" s="71"/>
      <c r="C188" s="71"/>
      <c r="D188" s="71"/>
      <c r="E188" s="71"/>
      <c r="F188" s="72"/>
      <c r="G188" s="71"/>
      <c r="H188" s="71"/>
    </row>
    <row r="189" spans="2:8" ht="15.75" x14ac:dyDescent="0.25">
      <c r="B189" s="71"/>
      <c r="C189" s="71"/>
      <c r="D189" s="71"/>
      <c r="E189" s="71"/>
      <c r="F189" s="72"/>
      <c r="G189" s="71"/>
      <c r="H189" s="71"/>
    </row>
    <row r="190" spans="2:8" ht="15.75" x14ac:dyDescent="0.25">
      <c r="B190" s="71"/>
      <c r="C190" s="71"/>
      <c r="D190" s="71"/>
      <c r="E190" s="71"/>
      <c r="F190" s="72"/>
      <c r="G190" s="71"/>
      <c r="H190" s="71"/>
    </row>
    <row r="191" spans="2:8" ht="15.75" x14ac:dyDescent="0.25">
      <c r="B191" s="71"/>
      <c r="C191" s="71"/>
      <c r="D191" s="71"/>
      <c r="E191" s="71"/>
      <c r="F191" s="72"/>
      <c r="G191" s="71"/>
      <c r="H191" s="71"/>
    </row>
  </sheetData>
  <mergeCells count="7">
    <mergeCell ref="C1:C2"/>
    <mergeCell ref="B1:B2"/>
    <mergeCell ref="H1:H2"/>
    <mergeCell ref="G1:G2"/>
    <mergeCell ref="F1:F2"/>
    <mergeCell ref="E1:E2"/>
    <mergeCell ref="D1:D2"/>
  </mergeCells>
  <pageMargins left="0.7" right="0.7" top="0.75" bottom="0.75" header="0.3" footer="0.3"/>
  <pageSetup paperSize="9" orientation="portrait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H27"/>
  <sheetViews>
    <sheetView workbookViewId="0">
      <pane ySplit="2" topLeftCell="A25" activePane="bottomLeft" state="frozen"/>
      <selection pane="bottomLeft" activeCell="A27" sqref="A27:XFD49"/>
    </sheetView>
  </sheetViews>
  <sheetFormatPr baseColWidth="10" defaultColWidth="9.140625" defaultRowHeight="15" x14ac:dyDescent="0.25"/>
  <cols>
    <col min="1" max="1" width="9.7109375" bestFit="1" customWidth="1"/>
    <col min="2" max="2" width="12.7109375" bestFit="1" customWidth="1"/>
    <col min="3" max="3" width="17.42578125" customWidth="1"/>
    <col min="4" max="4" width="11" customWidth="1"/>
    <col min="5" max="5" width="33.7109375" bestFit="1" customWidth="1"/>
    <col min="6" max="6" width="67.28515625" style="25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0" t="s">
        <v>15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60"/>
      <c r="B2" s="92"/>
      <c r="C2" s="88"/>
      <c r="D2" s="88"/>
      <c r="E2" s="88"/>
      <c r="F2" s="88"/>
      <c r="G2" s="82"/>
      <c r="H2" s="84"/>
    </row>
    <row r="3" spans="1:8" ht="15.75" x14ac:dyDescent="0.25">
      <c r="A3" s="60"/>
      <c r="B3" s="2">
        <v>45664</v>
      </c>
      <c r="C3" s="3">
        <v>1532448300</v>
      </c>
      <c r="D3" s="3">
        <v>8</v>
      </c>
      <c r="E3" s="4" t="s">
        <v>141</v>
      </c>
      <c r="F3" s="19" t="s">
        <v>156</v>
      </c>
      <c r="G3" s="10" t="s">
        <v>7</v>
      </c>
      <c r="H3" s="11">
        <v>5000</v>
      </c>
    </row>
    <row r="4" spans="1:8" ht="15.75" x14ac:dyDescent="0.25">
      <c r="A4" s="60"/>
      <c r="B4" s="2">
        <v>45670</v>
      </c>
      <c r="C4" s="3">
        <v>3038333533</v>
      </c>
      <c r="D4" s="3">
        <v>8</v>
      </c>
      <c r="E4" s="4" t="s">
        <v>157</v>
      </c>
      <c r="F4" s="19" t="s">
        <v>121</v>
      </c>
      <c r="G4" s="10" t="s">
        <v>7</v>
      </c>
      <c r="H4" s="11">
        <v>5000</v>
      </c>
    </row>
    <row r="5" spans="1:8" ht="20.100000000000001" customHeight="1" x14ac:dyDescent="0.25">
      <c r="A5" s="60"/>
      <c r="B5" s="2">
        <v>45670</v>
      </c>
      <c r="C5" s="3">
        <v>3034926286</v>
      </c>
      <c r="D5" s="3">
        <v>8</v>
      </c>
      <c r="E5" s="4" t="s">
        <v>158</v>
      </c>
      <c r="F5" s="19" t="s">
        <v>103</v>
      </c>
      <c r="G5" s="10" t="s">
        <v>7</v>
      </c>
      <c r="H5" s="11">
        <v>5000</v>
      </c>
    </row>
    <row r="6" spans="1:8" ht="20.100000000000001" customHeight="1" x14ac:dyDescent="0.25">
      <c r="A6" s="60"/>
      <c r="B6" s="2">
        <v>45672</v>
      </c>
      <c r="C6" s="3">
        <v>3368960788</v>
      </c>
      <c r="D6" s="3">
        <v>8</v>
      </c>
      <c r="E6" s="4" t="s">
        <v>159</v>
      </c>
      <c r="F6" s="19" t="s">
        <v>160</v>
      </c>
      <c r="G6" s="10" t="s">
        <v>7</v>
      </c>
      <c r="H6" s="11">
        <v>5000</v>
      </c>
    </row>
    <row r="7" spans="1:8" ht="30" x14ac:dyDescent="0.25">
      <c r="A7" s="60"/>
      <c r="B7" s="2">
        <v>45694</v>
      </c>
      <c r="C7" s="3">
        <v>255937579</v>
      </c>
      <c r="D7" s="3">
        <v>8</v>
      </c>
      <c r="E7" s="4" t="s">
        <v>246</v>
      </c>
      <c r="F7" s="19" t="s">
        <v>247</v>
      </c>
      <c r="G7" s="10" t="s">
        <v>7</v>
      </c>
      <c r="H7" s="11">
        <v>5000</v>
      </c>
    </row>
    <row r="8" spans="1:8" ht="20.100000000000001" customHeight="1" x14ac:dyDescent="0.25">
      <c r="A8" s="60"/>
      <c r="B8" s="2">
        <v>45698</v>
      </c>
      <c r="C8" s="3">
        <v>2736081297</v>
      </c>
      <c r="D8" s="3">
        <v>8</v>
      </c>
      <c r="E8" s="4" t="s">
        <v>248</v>
      </c>
      <c r="F8" s="19" t="s">
        <v>249</v>
      </c>
      <c r="G8" s="10" t="s">
        <v>7</v>
      </c>
      <c r="H8" s="11">
        <v>5000</v>
      </c>
    </row>
    <row r="9" spans="1:8" ht="15.75" x14ac:dyDescent="0.25">
      <c r="A9" s="60"/>
      <c r="B9" s="2">
        <v>45712</v>
      </c>
      <c r="C9" s="3">
        <v>2157464973</v>
      </c>
      <c r="D9" s="3">
        <v>2</v>
      </c>
      <c r="E9" s="4" t="s">
        <v>250</v>
      </c>
      <c r="F9" s="19" t="s">
        <v>251</v>
      </c>
      <c r="G9" s="10" t="s">
        <v>6</v>
      </c>
      <c r="H9" s="11">
        <v>1250</v>
      </c>
    </row>
    <row r="10" spans="1:8" ht="20.100000000000001" customHeight="1" x14ac:dyDescent="0.25">
      <c r="A10" s="60"/>
      <c r="B10" s="2">
        <v>45720</v>
      </c>
      <c r="C10" s="3">
        <v>686968060</v>
      </c>
      <c r="D10" s="3">
        <v>8</v>
      </c>
      <c r="E10" s="4" t="s">
        <v>331</v>
      </c>
      <c r="F10" s="19" t="s">
        <v>369</v>
      </c>
      <c r="G10" s="10" t="s">
        <v>19</v>
      </c>
      <c r="H10" s="11">
        <v>5000</v>
      </c>
    </row>
    <row r="11" spans="1:8" ht="20.100000000000001" customHeight="1" x14ac:dyDescent="0.25">
      <c r="A11" s="60"/>
      <c r="B11" s="2">
        <v>45756</v>
      </c>
      <c r="C11" s="3">
        <v>415777700</v>
      </c>
      <c r="D11" s="3">
        <v>8</v>
      </c>
      <c r="E11" s="4" t="s">
        <v>532</v>
      </c>
      <c r="F11" s="19" t="s">
        <v>533</v>
      </c>
      <c r="G11" s="10" t="s">
        <v>7</v>
      </c>
      <c r="H11" s="11">
        <v>5000</v>
      </c>
    </row>
    <row r="12" spans="1:8" ht="20.100000000000001" customHeight="1" x14ac:dyDescent="0.25">
      <c r="A12" s="60"/>
      <c r="B12" s="2">
        <v>45806</v>
      </c>
      <c r="C12" s="3">
        <v>1539461016</v>
      </c>
      <c r="D12" s="3">
        <v>8</v>
      </c>
      <c r="E12" s="4" t="s">
        <v>645</v>
      </c>
      <c r="F12" s="19" t="s">
        <v>369</v>
      </c>
      <c r="G12" s="10" t="s">
        <v>19</v>
      </c>
      <c r="H12" s="11">
        <v>5000</v>
      </c>
    </row>
    <row r="13" spans="1:8" ht="15.75" x14ac:dyDescent="0.25">
      <c r="A13" s="60"/>
      <c r="B13" s="2">
        <v>45814</v>
      </c>
      <c r="C13" s="3">
        <v>455099357</v>
      </c>
      <c r="D13" s="3">
        <v>8</v>
      </c>
      <c r="E13" s="4" t="s">
        <v>646</v>
      </c>
      <c r="F13" s="19" t="s">
        <v>369</v>
      </c>
      <c r="G13" s="10" t="s">
        <v>10</v>
      </c>
      <c r="H13" s="11">
        <v>5000</v>
      </c>
    </row>
    <row r="14" spans="1:8" ht="15.75" x14ac:dyDescent="0.25">
      <c r="A14" s="60"/>
      <c r="B14" s="2">
        <v>45817</v>
      </c>
      <c r="C14" s="3">
        <v>3841346753</v>
      </c>
      <c r="D14" s="3">
        <v>8</v>
      </c>
      <c r="E14" s="4" t="s">
        <v>647</v>
      </c>
      <c r="F14" s="19" t="s">
        <v>103</v>
      </c>
      <c r="G14" s="10" t="s">
        <v>7</v>
      </c>
      <c r="H14" s="11">
        <v>5000</v>
      </c>
    </row>
    <row r="15" spans="1:8" ht="20.100000000000001" customHeight="1" x14ac:dyDescent="0.25">
      <c r="A15" s="60"/>
      <c r="B15" s="2">
        <v>45818</v>
      </c>
      <c r="C15" s="3">
        <v>1528120497</v>
      </c>
      <c r="D15" s="3">
        <v>6</v>
      </c>
      <c r="E15" s="4" t="s">
        <v>648</v>
      </c>
      <c r="F15" s="19" t="s">
        <v>649</v>
      </c>
      <c r="G15" s="10" t="s">
        <v>7</v>
      </c>
      <c r="H15" s="11">
        <v>3750</v>
      </c>
    </row>
    <row r="16" spans="1:8" ht="15.75" x14ac:dyDescent="0.25">
      <c r="A16" s="60"/>
      <c r="B16" s="2">
        <v>45841</v>
      </c>
      <c r="C16" s="3">
        <v>1232553410</v>
      </c>
      <c r="D16" s="3">
        <v>8</v>
      </c>
      <c r="E16" s="4" t="s">
        <v>772</v>
      </c>
      <c r="F16" s="19" t="s">
        <v>103</v>
      </c>
      <c r="G16" s="10" t="s">
        <v>7</v>
      </c>
      <c r="H16" s="11">
        <v>5000</v>
      </c>
    </row>
    <row r="17" spans="1:8" ht="15.75" x14ac:dyDescent="0.25">
      <c r="A17" s="60"/>
      <c r="B17" s="2">
        <v>45859</v>
      </c>
      <c r="C17" s="3">
        <v>2411284516</v>
      </c>
      <c r="D17" s="3">
        <v>8</v>
      </c>
      <c r="E17" s="4" t="s">
        <v>773</v>
      </c>
      <c r="F17" s="19" t="s">
        <v>774</v>
      </c>
      <c r="G17" s="10" t="s">
        <v>6</v>
      </c>
      <c r="H17" s="11">
        <v>5000</v>
      </c>
    </row>
    <row r="18" spans="1:8" ht="20.100000000000001" customHeight="1" x14ac:dyDescent="0.25">
      <c r="A18" s="60"/>
      <c r="B18" s="2">
        <v>45860</v>
      </c>
      <c r="C18" s="3">
        <v>4098049786</v>
      </c>
      <c r="D18" s="3">
        <v>8</v>
      </c>
      <c r="E18" s="4" t="s">
        <v>775</v>
      </c>
      <c r="F18" s="19" t="s">
        <v>103</v>
      </c>
      <c r="G18" s="10" t="s">
        <v>7</v>
      </c>
      <c r="H18" s="11">
        <v>5000</v>
      </c>
    </row>
    <row r="19" spans="1:8" ht="15.75" x14ac:dyDescent="0.25">
      <c r="A19" s="60"/>
      <c r="B19" s="2">
        <v>45860</v>
      </c>
      <c r="C19" s="3">
        <v>1366837183</v>
      </c>
      <c r="D19" s="3">
        <v>8</v>
      </c>
      <c r="E19" s="4" t="s">
        <v>776</v>
      </c>
      <c r="F19" s="19" t="s">
        <v>777</v>
      </c>
      <c r="G19" s="10" t="s">
        <v>7</v>
      </c>
      <c r="H19" s="11">
        <v>5000</v>
      </c>
    </row>
    <row r="20" spans="1:8" ht="15.75" x14ac:dyDescent="0.25">
      <c r="A20" s="60"/>
      <c r="B20" s="2">
        <v>45888</v>
      </c>
      <c r="C20" s="3">
        <v>415320228</v>
      </c>
      <c r="D20" s="3">
        <v>8</v>
      </c>
      <c r="E20" s="4" t="s">
        <v>899</v>
      </c>
      <c r="F20" s="4" t="s">
        <v>369</v>
      </c>
      <c r="G20" s="5" t="s">
        <v>7</v>
      </c>
      <c r="H20" s="6">
        <v>5000</v>
      </c>
    </row>
    <row r="21" spans="1:8" ht="20.100000000000001" customHeight="1" x14ac:dyDescent="0.25">
      <c r="A21" s="60"/>
      <c r="B21" s="2">
        <v>45896</v>
      </c>
      <c r="C21" s="3">
        <v>2697676562</v>
      </c>
      <c r="D21" s="3">
        <v>8</v>
      </c>
      <c r="E21" s="4" t="s">
        <v>900</v>
      </c>
      <c r="F21" s="4" t="s">
        <v>103</v>
      </c>
      <c r="G21" s="5" t="s">
        <v>7</v>
      </c>
      <c r="H21" s="6">
        <v>5000</v>
      </c>
    </row>
    <row r="22" spans="1:8" ht="20.100000000000001" customHeight="1" x14ac:dyDescent="0.25">
      <c r="A22" s="60"/>
      <c r="B22" s="47">
        <v>45912</v>
      </c>
      <c r="C22" s="48">
        <v>1304512233</v>
      </c>
      <c r="D22" s="3">
        <v>8</v>
      </c>
      <c r="E22" s="28" t="s">
        <v>966</v>
      </c>
      <c r="F22" s="28" t="s">
        <v>369</v>
      </c>
      <c r="G22" s="49" t="s">
        <v>7</v>
      </c>
      <c r="H22" s="6">
        <v>5000</v>
      </c>
    </row>
    <row r="23" spans="1:8" ht="20.100000000000001" customHeight="1" x14ac:dyDescent="0.25">
      <c r="A23" s="60"/>
      <c r="B23" s="47">
        <v>45922</v>
      </c>
      <c r="C23" s="48">
        <v>33508489</v>
      </c>
      <c r="D23" s="3">
        <v>8</v>
      </c>
      <c r="E23" s="28" t="s">
        <v>568</v>
      </c>
      <c r="F23" s="28" t="s">
        <v>369</v>
      </c>
      <c r="G23" s="49" t="s">
        <v>6</v>
      </c>
      <c r="H23" s="6">
        <v>5000</v>
      </c>
    </row>
    <row r="24" spans="1:8" ht="20.100000000000001" customHeight="1" x14ac:dyDescent="0.25">
      <c r="A24" s="60"/>
      <c r="B24" s="47">
        <v>45944</v>
      </c>
      <c r="C24" s="48">
        <v>880823250</v>
      </c>
      <c r="D24" s="3">
        <v>8</v>
      </c>
      <c r="E24" s="28" t="s">
        <v>1045</v>
      </c>
      <c r="F24" s="28" t="s">
        <v>369</v>
      </c>
      <c r="G24" s="49" t="s">
        <v>19</v>
      </c>
      <c r="H24" s="6">
        <v>5000</v>
      </c>
    </row>
    <row r="25" spans="1:8" ht="20.100000000000001" customHeight="1" x14ac:dyDescent="0.25">
      <c r="A25" s="60"/>
      <c r="B25" s="47">
        <v>45946</v>
      </c>
      <c r="C25" s="48">
        <v>1453279566</v>
      </c>
      <c r="D25" s="3">
        <v>8</v>
      </c>
      <c r="E25" s="28" t="s">
        <v>1013</v>
      </c>
      <c r="F25" s="28" t="s">
        <v>369</v>
      </c>
      <c r="G25" s="49" t="s">
        <v>6</v>
      </c>
      <c r="H25" s="6">
        <v>5000</v>
      </c>
    </row>
    <row r="26" spans="1:8" ht="20.100000000000001" customHeight="1" x14ac:dyDescent="0.25">
      <c r="A26" s="60"/>
      <c r="B26" s="47">
        <v>46008</v>
      </c>
      <c r="C26" s="48">
        <v>1005801119</v>
      </c>
      <c r="D26" s="3">
        <v>8</v>
      </c>
      <c r="E26" s="28" t="s">
        <v>1246</v>
      </c>
      <c r="F26" s="28" t="s">
        <v>369</v>
      </c>
      <c r="G26" s="49" t="s">
        <v>10</v>
      </c>
      <c r="H26" s="6">
        <v>5000</v>
      </c>
    </row>
    <row r="27" spans="1:8" ht="15.75" x14ac:dyDescent="0.25">
      <c r="A27" s="61"/>
      <c r="B27" s="20"/>
      <c r="C27" s="18"/>
      <c r="D27" s="18"/>
      <c r="E27" s="18" t="s">
        <v>5</v>
      </c>
      <c r="F27" s="24"/>
      <c r="G27" s="21"/>
      <c r="H27" s="22">
        <f>SUM(H3:H26)</f>
        <v>115000</v>
      </c>
    </row>
  </sheetData>
  <mergeCells count="7"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H78"/>
  <sheetViews>
    <sheetView workbookViewId="0">
      <pane ySplit="2" topLeftCell="A55" activePane="bottomLeft" state="frozen"/>
      <selection pane="bottomLeft" activeCell="F82" sqref="F82"/>
    </sheetView>
  </sheetViews>
  <sheetFormatPr baseColWidth="10" defaultColWidth="9.140625" defaultRowHeight="15" x14ac:dyDescent="0.25"/>
  <cols>
    <col min="1" max="1" width="7.140625" bestFit="1" customWidth="1"/>
    <col min="2" max="2" width="14" bestFit="1" customWidth="1"/>
    <col min="3" max="3" width="17.42578125" customWidth="1"/>
    <col min="4" max="4" width="11" customWidth="1"/>
    <col min="5" max="5" width="37.85546875" bestFit="1" customWidth="1"/>
    <col min="6" max="6" width="89" style="1" bestFit="1" customWidth="1"/>
    <col min="7" max="7" width="16.140625" bestFit="1" customWidth="1"/>
    <col min="8" max="8" width="14.28515625" bestFit="1" customWidth="1"/>
  </cols>
  <sheetData>
    <row r="1" spans="1:8" ht="15" customHeight="1" x14ac:dyDescent="0.25">
      <c r="A1" s="56" t="s">
        <v>17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7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57"/>
      <c r="B3" s="2">
        <v>45670</v>
      </c>
      <c r="C3" s="3">
        <v>3038333533</v>
      </c>
      <c r="D3" s="3">
        <v>8</v>
      </c>
      <c r="E3" s="4" t="s">
        <v>157</v>
      </c>
      <c r="F3" s="19" t="s">
        <v>161</v>
      </c>
      <c r="G3" s="10" t="s">
        <v>7</v>
      </c>
      <c r="H3" s="11">
        <v>6500</v>
      </c>
    </row>
    <row r="4" spans="1:8" ht="20.100000000000001" customHeight="1" x14ac:dyDescent="0.25">
      <c r="A4" s="57"/>
      <c r="B4" s="2">
        <v>45679</v>
      </c>
      <c r="C4" s="3">
        <v>142886173</v>
      </c>
      <c r="D4" s="3">
        <v>8</v>
      </c>
      <c r="E4" s="4" t="s">
        <v>162</v>
      </c>
      <c r="F4" s="19" t="s">
        <v>115</v>
      </c>
      <c r="G4" s="10" t="s">
        <v>7</v>
      </c>
      <c r="H4" s="11">
        <v>6500</v>
      </c>
    </row>
    <row r="5" spans="1:8" ht="20.100000000000001" customHeight="1" x14ac:dyDescent="0.25">
      <c r="A5" s="57"/>
      <c r="B5" s="2">
        <v>45684</v>
      </c>
      <c r="C5" s="3">
        <v>3837280768</v>
      </c>
      <c r="D5" s="3">
        <v>8</v>
      </c>
      <c r="E5" s="4" t="s">
        <v>142</v>
      </c>
      <c r="F5" s="19" t="s">
        <v>116</v>
      </c>
      <c r="G5" s="10" t="s">
        <v>7</v>
      </c>
      <c r="H5" s="11">
        <v>6500</v>
      </c>
    </row>
    <row r="6" spans="1:8" ht="20.100000000000001" customHeight="1" x14ac:dyDescent="0.25">
      <c r="A6" s="57"/>
      <c r="B6" s="2">
        <v>45691</v>
      </c>
      <c r="C6" s="3">
        <v>421675310</v>
      </c>
      <c r="D6" s="3">
        <v>4</v>
      </c>
      <c r="E6" s="4" t="s">
        <v>252</v>
      </c>
      <c r="F6" s="19" t="s">
        <v>253</v>
      </c>
      <c r="G6" s="10" t="s">
        <v>7</v>
      </c>
      <c r="H6" s="11">
        <v>1600</v>
      </c>
    </row>
    <row r="7" spans="1:8" ht="15.75" x14ac:dyDescent="0.25">
      <c r="A7" s="57"/>
      <c r="B7" s="2">
        <v>45693</v>
      </c>
      <c r="C7" s="3">
        <v>964837510</v>
      </c>
      <c r="D7" s="3">
        <v>8</v>
      </c>
      <c r="E7" s="4" t="s">
        <v>254</v>
      </c>
      <c r="F7" s="19" t="s">
        <v>255</v>
      </c>
      <c r="G7" s="10" t="s">
        <v>7</v>
      </c>
      <c r="H7" s="11">
        <v>6500</v>
      </c>
    </row>
    <row r="8" spans="1:8" ht="15.75" x14ac:dyDescent="0.25">
      <c r="A8" s="57"/>
      <c r="B8" s="2">
        <v>45694</v>
      </c>
      <c r="C8" s="3">
        <v>1228620836</v>
      </c>
      <c r="D8" s="3">
        <v>4</v>
      </c>
      <c r="E8" s="4" t="s">
        <v>256</v>
      </c>
      <c r="F8" s="19" t="s">
        <v>258</v>
      </c>
      <c r="G8" s="10" t="s">
        <v>7</v>
      </c>
      <c r="H8" s="11">
        <v>3250</v>
      </c>
    </row>
    <row r="9" spans="1:8" ht="20.100000000000001" customHeight="1" x14ac:dyDescent="0.25">
      <c r="A9" s="57"/>
      <c r="B9" s="2">
        <v>45694</v>
      </c>
      <c r="C9" s="3">
        <v>1228620836</v>
      </c>
      <c r="D9" s="3">
        <v>4</v>
      </c>
      <c r="E9" s="4" t="s">
        <v>257</v>
      </c>
      <c r="F9" s="19" t="s">
        <v>259</v>
      </c>
      <c r="G9" s="10" t="s">
        <v>7</v>
      </c>
      <c r="H9" s="11">
        <v>3250</v>
      </c>
    </row>
    <row r="10" spans="1:8" ht="20.100000000000001" customHeight="1" x14ac:dyDescent="0.25">
      <c r="A10" s="57"/>
      <c r="B10" s="2">
        <v>45698</v>
      </c>
      <c r="C10" s="3">
        <v>2736081297</v>
      </c>
      <c r="D10" s="3">
        <v>8</v>
      </c>
      <c r="E10" s="4" t="s">
        <v>260</v>
      </c>
      <c r="F10" s="19" t="s">
        <v>261</v>
      </c>
      <c r="G10" s="10" t="s">
        <v>7</v>
      </c>
      <c r="H10" s="11">
        <v>6500</v>
      </c>
    </row>
    <row r="11" spans="1:8" ht="30" x14ac:dyDescent="0.25">
      <c r="A11" s="57"/>
      <c r="B11" s="2">
        <v>45698</v>
      </c>
      <c r="C11" s="3">
        <v>2736081297</v>
      </c>
      <c r="D11" s="3">
        <v>8</v>
      </c>
      <c r="E11" s="4" t="s">
        <v>248</v>
      </c>
      <c r="F11" s="19" t="s">
        <v>262</v>
      </c>
      <c r="G11" s="10" t="s">
        <v>7</v>
      </c>
      <c r="H11" s="11">
        <v>6500</v>
      </c>
    </row>
    <row r="12" spans="1:8" ht="20.100000000000001" customHeight="1" x14ac:dyDescent="0.25">
      <c r="A12" s="57"/>
      <c r="B12" s="2">
        <v>45707</v>
      </c>
      <c r="C12" s="3">
        <v>544360517</v>
      </c>
      <c r="D12" s="3">
        <v>5</v>
      </c>
      <c r="E12" s="4" t="s">
        <v>218</v>
      </c>
      <c r="F12" s="19" t="s">
        <v>263</v>
      </c>
      <c r="G12" s="10" t="s">
        <v>7</v>
      </c>
      <c r="H12" s="11">
        <v>3165</v>
      </c>
    </row>
    <row r="13" spans="1:8" ht="20.100000000000001" customHeight="1" x14ac:dyDescent="0.25">
      <c r="A13" s="57"/>
      <c r="B13" s="2">
        <v>45707</v>
      </c>
      <c r="C13" s="3">
        <v>544360517</v>
      </c>
      <c r="D13" s="3">
        <v>1</v>
      </c>
      <c r="E13" s="4" t="s">
        <v>218</v>
      </c>
      <c r="F13" s="19" t="s">
        <v>263</v>
      </c>
      <c r="G13" s="10" t="s">
        <v>7</v>
      </c>
      <c r="H13" s="11">
        <v>635</v>
      </c>
    </row>
    <row r="14" spans="1:8" ht="20.100000000000001" customHeight="1" x14ac:dyDescent="0.25">
      <c r="A14" s="57"/>
      <c r="B14" s="2">
        <v>45715</v>
      </c>
      <c r="C14" s="3">
        <v>1361987954</v>
      </c>
      <c r="D14" s="3">
        <v>4</v>
      </c>
      <c r="E14" s="4" t="s">
        <v>264</v>
      </c>
      <c r="F14" s="19" t="s">
        <v>265</v>
      </c>
      <c r="G14" s="10" t="s">
        <v>6</v>
      </c>
      <c r="H14" s="11">
        <v>3500</v>
      </c>
    </row>
    <row r="15" spans="1:8" ht="20.100000000000001" customHeight="1" x14ac:dyDescent="0.25">
      <c r="A15" s="57"/>
      <c r="B15" s="2">
        <v>45715</v>
      </c>
      <c r="C15" s="3">
        <v>1361987954</v>
      </c>
      <c r="D15" s="3">
        <v>4</v>
      </c>
      <c r="E15" s="4" t="s">
        <v>264</v>
      </c>
      <c r="F15" s="19" t="s">
        <v>266</v>
      </c>
      <c r="G15" s="10" t="s">
        <v>13</v>
      </c>
      <c r="H15" s="11">
        <v>3000</v>
      </c>
    </row>
    <row r="16" spans="1:8" ht="20.100000000000001" customHeight="1" x14ac:dyDescent="0.25">
      <c r="A16" s="57"/>
      <c r="B16" s="2">
        <v>45716</v>
      </c>
      <c r="C16" s="3">
        <v>3658301888</v>
      </c>
      <c r="D16" s="3">
        <v>8</v>
      </c>
      <c r="E16" s="4" t="s">
        <v>267</v>
      </c>
      <c r="F16" s="19" t="s">
        <v>268</v>
      </c>
      <c r="G16" s="10" t="s">
        <v>19</v>
      </c>
      <c r="H16" s="11">
        <v>6500</v>
      </c>
    </row>
    <row r="17" spans="1:8" ht="20.100000000000001" customHeight="1" x14ac:dyDescent="0.25">
      <c r="A17" s="57"/>
      <c r="B17" s="2">
        <v>45716</v>
      </c>
      <c r="C17" s="3">
        <v>3580642323</v>
      </c>
      <c r="D17" s="3">
        <v>8</v>
      </c>
      <c r="E17" s="4" t="s">
        <v>269</v>
      </c>
      <c r="F17" s="19" t="s">
        <v>270</v>
      </c>
      <c r="G17" s="10" t="s">
        <v>7</v>
      </c>
      <c r="H17" s="11">
        <v>6500</v>
      </c>
    </row>
    <row r="18" spans="1:8" ht="15.75" x14ac:dyDescent="0.25">
      <c r="A18" s="57"/>
      <c r="B18" s="2">
        <v>45719</v>
      </c>
      <c r="C18" s="3">
        <v>3657712585</v>
      </c>
      <c r="D18" s="3">
        <v>8</v>
      </c>
      <c r="E18" s="4" t="s">
        <v>333</v>
      </c>
      <c r="F18" s="19" t="s">
        <v>370</v>
      </c>
      <c r="G18" s="10" t="s">
        <v>7</v>
      </c>
      <c r="H18" s="11">
        <v>6500</v>
      </c>
    </row>
    <row r="19" spans="1:8" ht="15.75" x14ac:dyDescent="0.25">
      <c r="A19" s="57"/>
      <c r="B19" s="2">
        <v>45722</v>
      </c>
      <c r="C19" s="3">
        <v>337858097</v>
      </c>
      <c r="D19" s="3">
        <v>8</v>
      </c>
      <c r="E19" s="4" t="s">
        <v>217</v>
      </c>
      <c r="F19" s="19" t="s">
        <v>371</v>
      </c>
      <c r="G19" s="10" t="s">
        <v>7</v>
      </c>
      <c r="H19" s="11">
        <v>6500</v>
      </c>
    </row>
    <row r="20" spans="1:8" ht="20.100000000000001" customHeight="1" x14ac:dyDescent="0.25">
      <c r="A20" s="57"/>
      <c r="B20" s="2">
        <v>45741</v>
      </c>
      <c r="C20" s="3">
        <v>1063077935</v>
      </c>
      <c r="D20" s="3">
        <v>8</v>
      </c>
      <c r="E20" s="4" t="s">
        <v>372</v>
      </c>
      <c r="F20" s="19" t="s">
        <v>259</v>
      </c>
      <c r="G20" s="10" t="s">
        <v>7</v>
      </c>
      <c r="H20" s="11">
        <v>6500</v>
      </c>
    </row>
    <row r="21" spans="1:8" ht="20.100000000000001" customHeight="1" x14ac:dyDescent="0.25">
      <c r="A21" s="57"/>
      <c r="B21" s="2">
        <v>45741</v>
      </c>
      <c r="C21" s="3">
        <v>2376024548</v>
      </c>
      <c r="D21" s="3">
        <v>8</v>
      </c>
      <c r="E21" s="4" t="s">
        <v>373</v>
      </c>
      <c r="F21" s="19" t="s">
        <v>259</v>
      </c>
      <c r="G21" s="10" t="s">
        <v>7</v>
      </c>
      <c r="H21" s="11">
        <v>6500</v>
      </c>
    </row>
    <row r="22" spans="1:8" ht="20.100000000000001" customHeight="1" x14ac:dyDescent="0.25">
      <c r="A22" s="57"/>
      <c r="B22" s="2">
        <v>45747</v>
      </c>
      <c r="C22" s="3">
        <v>4059906374</v>
      </c>
      <c r="D22" s="3">
        <v>8</v>
      </c>
      <c r="E22" s="4" t="s">
        <v>154</v>
      </c>
      <c r="F22" s="19" t="s">
        <v>259</v>
      </c>
      <c r="G22" s="10" t="s">
        <v>6</v>
      </c>
      <c r="H22" s="11">
        <v>6500</v>
      </c>
    </row>
    <row r="23" spans="1:8" ht="20.100000000000001" customHeight="1" x14ac:dyDescent="0.25">
      <c r="A23" s="57"/>
      <c r="B23" s="2">
        <v>45749</v>
      </c>
      <c r="C23" s="3">
        <v>370952609</v>
      </c>
      <c r="D23" s="3">
        <v>8</v>
      </c>
      <c r="E23" s="4" t="s">
        <v>534</v>
      </c>
      <c r="F23" s="19" t="s">
        <v>535</v>
      </c>
      <c r="G23" s="10" t="s">
        <v>7</v>
      </c>
      <c r="H23" s="11">
        <v>6500</v>
      </c>
    </row>
    <row r="24" spans="1:8" ht="20.100000000000001" customHeight="1" x14ac:dyDescent="0.25">
      <c r="A24" s="57"/>
      <c r="B24" s="2">
        <v>45750</v>
      </c>
      <c r="C24" s="3">
        <v>1125401592</v>
      </c>
      <c r="D24" s="3">
        <v>8</v>
      </c>
      <c r="E24" s="4" t="s">
        <v>536</v>
      </c>
      <c r="F24" s="19" t="s">
        <v>537</v>
      </c>
      <c r="G24" s="10" t="s">
        <v>19</v>
      </c>
      <c r="H24" s="11">
        <v>6500</v>
      </c>
    </row>
    <row r="25" spans="1:8" ht="15.75" x14ac:dyDescent="0.25">
      <c r="A25" s="57"/>
      <c r="B25" s="2">
        <v>45758</v>
      </c>
      <c r="C25" s="3">
        <v>250366829</v>
      </c>
      <c r="D25" s="3">
        <v>5</v>
      </c>
      <c r="E25" s="4" t="s">
        <v>538</v>
      </c>
      <c r="F25" s="19" t="s">
        <v>263</v>
      </c>
      <c r="G25" s="10" t="s">
        <v>7</v>
      </c>
      <c r="H25" s="11">
        <v>3165</v>
      </c>
    </row>
    <row r="26" spans="1:8" ht="20.100000000000001" customHeight="1" x14ac:dyDescent="0.25">
      <c r="A26" s="57"/>
      <c r="B26" s="2">
        <v>45758</v>
      </c>
      <c r="C26" s="3">
        <v>250366829</v>
      </c>
      <c r="D26" s="3">
        <v>1</v>
      </c>
      <c r="E26" s="4" t="s">
        <v>538</v>
      </c>
      <c r="F26" s="19" t="s">
        <v>263</v>
      </c>
      <c r="G26" s="10" t="s">
        <v>7</v>
      </c>
      <c r="H26" s="11">
        <v>635</v>
      </c>
    </row>
    <row r="27" spans="1:8" ht="20.100000000000001" customHeight="1" x14ac:dyDescent="0.25">
      <c r="A27" s="57"/>
      <c r="B27" s="2">
        <v>45771</v>
      </c>
      <c r="C27" s="3">
        <v>2218674254</v>
      </c>
      <c r="D27" s="3">
        <v>8</v>
      </c>
      <c r="E27" s="4" t="s">
        <v>539</v>
      </c>
      <c r="F27" s="19" t="s">
        <v>540</v>
      </c>
      <c r="G27" s="10" t="s">
        <v>7</v>
      </c>
      <c r="H27" s="11">
        <v>6500</v>
      </c>
    </row>
    <row r="28" spans="1:8" ht="20.100000000000001" customHeight="1" x14ac:dyDescent="0.25">
      <c r="A28" s="57"/>
      <c r="B28" s="2">
        <v>45776</v>
      </c>
      <c r="C28" s="3">
        <v>665734910</v>
      </c>
      <c r="D28" s="3">
        <v>8</v>
      </c>
      <c r="E28" s="4" t="s">
        <v>541</v>
      </c>
      <c r="F28" s="19" t="s">
        <v>259</v>
      </c>
      <c r="G28" s="10" t="s">
        <v>7</v>
      </c>
      <c r="H28" s="11">
        <v>6500</v>
      </c>
    </row>
    <row r="29" spans="1:8" ht="20.100000000000001" customHeight="1" x14ac:dyDescent="0.25">
      <c r="A29" s="57"/>
      <c r="B29" s="2">
        <v>45776</v>
      </c>
      <c r="C29" s="3">
        <v>1964985645</v>
      </c>
      <c r="D29" s="3">
        <v>8</v>
      </c>
      <c r="E29" s="4" t="s">
        <v>574</v>
      </c>
      <c r="F29" s="19" t="s">
        <v>259</v>
      </c>
      <c r="G29" s="10" t="s">
        <v>19</v>
      </c>
      <c r="H29" s="11">
        <v>6500</v>
      </c>
    </row>
    <row r="30" spans="1:8" ht="20.100000000000001" customHeight="1" x14ac:dyDescent="0.25">
      <c r="A30" s="57"/>
      <c r="B30" s="2">
        <v>45777</v>
      </c>
      <c r="C30" s="3">
        <v>2888254980</v>
      </c>
      <c r="D30" s="3">
        <v>8</v>
      </c>
      <c r="E30" s="4" t="s">
        <v>542</v>
      </c>
      <c r="F30" s="19" t="s">
        <v>259</v>
      </c>
      <c r="G30" s="10" t="s">
        <v>7</v>
      </c>
      <c r="H30" s="11">
        <v>6500</v>
      </c>
    </row>
    <row r="31" spans="1:8" ht="20.100000000000001" customHeight="1" x14ac:dyDescent="0.25">
      <c r="A31" s="57"/>
      <c r="B31" s="2">
        <v>45796</v>
      </c>
      <c r="C31" s="3">
        <v>1703297928</v>
      </c>
      <c r="D31" s="3">
        <v>8</v>
      </c>
      <c r="E31" s="4" t="s">
        <v>650</v>
      </c>
      <c r="F31" s="19" t="s">
        <v>651</v>
      </c>
      <c r="G31" s="10" t="s">
        <v>6</v>
      </c>
      <c r="H31" s="11">
        <v>6500</v>
      </c>
    </row>
    <row r="32" spans="1:8" ht="20.100000000000001" customHeight="1" x14ac:dyDescent="0.25">
      <c r="A32" s="57"/>
      <c r="B32" s="2">
        <v>45803</v>
      </c>
      <c r="C32" s="3">
        <v>201015652</v>
      </c>
      <c r="D32" s="3">
        <v>12</v>
      </c>
      <c r="E32" s="4" t="s">
        <v>605</v>
      </c>
      <c r="F32" s="19" t="s">
        <v>652</v>
      </c>
      <c r="G32" s="10" t="s">
        <v>7</v>
      </c>
      <c r="H32" s="11">
        <v>9750</v>
      </c>
    </row>
    <row r="33" spans="1:8" ht="20.100000000000001" customHeight="1" x14ac:dyDescent="0.25">
      <c r="A33" s="57"/>
      <c r="B33" s="2">
        <v>45805</v>
      </c>
      <c r="C33" s="3">
        <v>4093133518</v>
      </c>
      <c r="D33" s="3">
        <v>8</v>
      </c>
      <c r="E33" s="4" t="s">
        <v>653</v>
      </c>
      <c r="F33" s="19" t="s">
        <v>654</v>
      </c>
      <c r="G33" s="10" t="s">
        <v>7</v>
      </c>
      <c r="H33" s="11">
        <v>6500</v>
      </c>
    </row>
    <row r="34" spans="1:8" ht="20.100000000000001" customHeight="1" x14ac:dyDescent="0.25">
      <c r="A34" s="57"/>
      <c r="B34" s="2">
        <v>45806</v>
      </c>
      <c r="C34" s="3">
        <v>2559541427</v>
      </c>
      <c r="D34" s="3">
        <v>8</v>
      </c>
      <c r="E34" s="4" t="s">
        <v>655</v>
      </c>
      <c r="F34" s="19" t="s">
        <v>259</v>
      </c>
      <c r="G34" s="10" t="s">
        <v>7</v>
      </c>
      <c r="H34" s="11">
        <v>6500</v>
      </c>
    </row>
    <row r="35" spans="1:8" ht="20.100000000000001" customHeight="1" x14ac:dyDescent="0.25">
      <c r="A35" s="57"/>
      <c r="B35" s="2">
        <v>45814</v>
      </c>
      <c r="C35" s="3">
        <v>1258833957</v>
      </c>
      <c r="D35" s="3">
        <v>5</v>
      </c>
      <c r="E35" s="4" t="s">
        <v>628</v>
      </c>
      <c r="F35" s="19" t="s">
        <v>263</v>
      </c>
      <c r="G35" s="10" t="s">
        <v>10</v>
      </c>
      <c r="H35" s="11">
        <v>3165</v>
      </c>
    </row>
    <row r="36" spans="1:8" ht="20.100000000000001" customHeight="1" x14ac:dyDescent="0.25">
      <c r="A36" s="57"/>
      <c r="B36" s="2">
        <v>45814</v>
      </c>
      <c r="C36" s="3">
        <v>1258833957</v>
      </c>
      <c r="D36" s="3">
        <v>1</v>
      </c>
      <c r="E36" s="4" t="s">
        <v>628</v>
      </c>
      <c r="F36" s="19" t="s">
        <v>263</v>
      </c>
      <c r="G36" s="10" t="s">
        <v>10</v>
      </c>
      <c r="H36" s="11">
        <v>635</v>
      </c>
    </row>
    <row r="37" spans="1:8" ht="20.100000000000001" customHeight="1" x14ac:dyDescent="0.25">
      <c r="A37" s="57"/>
      <c r="B37" s="2">
        <v>45817</v>
      </c>
      <c r="C37" s="3">
        <v>778322349</v>
      </c>
      <c r="D37" s="3">
        <v>8</v>
      </c>
      <c r="E37" s="4" t="s">
        <v>517</v>
      </c>
      <c r="F37" s="19" t="s">
        <v>259</v>
      </c>
      <c r="G37" s="10" t="s">
        <v>7</v>
      </c>
      <c r="H37" s="11">
        <v>6500</v>
      </c>
    </row>
    <row r="38" spans="1:8" ht="20.100000000000001" customHeight="1" x14ac:dyDescent="0.25">
      <c r="A38" s="57"/>
      <c r="B38" s="2">
        <v>45818</v>
      </c>
      <c r="C38" s="3">
        <v>1528120497</v>
      </c>
      <c r="D38" s="3">
        <v>8</v>
      </c>
      <c r="E38" s="4" t="s">
        <v>648</v>
      </c>
      <c r="F38" s="19" t="s">
        <v>656</v>
      </c>
      <c r="G38" s="10" t="s">
        <v>7</v>
      </c>
      <c r="H38" s="11">
        <v>6500</v>
      </c>
    </row>
    <row r="39" spans="1:8" ht="20.100000000000001" customHeight="1" x14ac:dyDescent="0.25">
      <c r="A39" s="57"/>
      <c r="B39" s="2">
        <v>45826</v>
      </c>
      <c r="C39" s="3">
        <v>2655145962</v>
      </c>
      <c r="D39" s="3">
        <v>5</v>
      </c>
      <c r="E39" s="4" t="s">
        <v>657</v>
      </c>
      <c r="F39" s="19" t="s">
        <v>263</v>
      </c>
      <c r="G39" s="10" t="s">
        <v>19</v>
      </c>
      <c r="H39" s="11">
        <v>3165</v>
      </c>
    </row>
    <row r="40" spans="1:8" ht="20.100000000000001" customHeight="1" x14ac:dyDescent="0.25">
      <c r="A40" s="57"/>
      <c r="B40" s="2">
        <v>45826</v>
      </c>
      <c r="C40" s="3">
        <v>2655145962</v>
      </c>
      <c r="D40" s="3">
        <v>1</v>
      </c>
      <c r="E40" s="4" t="s">
        <v>657</v>
      </c>
      <c r="F40" s="19" t="s">
        <v>263</v>
      </c>
      <c r="G40" s="10" t="s">
        <v>19</v>
      </c>
      <c r="H40" s="11">
        <v>635.01</v>
      </c>
    </row>
    <row r="41" spans="1:8" ht="20.100000000000001" customHeight="1" x14ac:dyDescent="0.25">
      <c r="A41" s="57"/>
      <c r="B41" s="2">
        <v>45831</v>
      </c>
      <c r="C41" s="3">
        <v>99763568</v>
      </c>
      <c r="D41" s="3">
        <v>8</v>
      </c>
      <c r="E41" s="4" t="s">
        <v>658</v>
      </c>
      <c r="F41" s="19" t="s">
        <v>540</v>
      </c>
      <c r="G41" s="10" t="s">
        <v>19</v>
      </c>
      <c r="H41" s="11">
        <v>6500</v>
      </c>
    </row>
    <row r="42" spans="1:8" ht="20.100000000000001" customHeight="1" x14ac:dyDescent="0.25">
      <c r="A42" s="57"/>
      <c r="B42" s="2">
        <v>45839</v>
      </c>
      <c r="C42" s="3">
        <v>936396692</v>
      </c>
      <c r="D42" s="3">
        <v>4</v>
      </c>
      <c r="E42" s="4" t="s">
        <v>778</v>
      </c>
      <c r="F42" s="19" t="s">
        <v>779</v>
      </c>
      <c r="G42" s="10" t="s">
        <v>7</v>
      </c>
      <c r="H42" s="11">
        <v>3250</v>
      </c>
    </row>
    <row r="43" spans="1:8" ht="20.100000000000001" customHeight="1" x14ac:dyDescent="0.25">
      <c r="A43" s="57"/>
      <c r="B43" s="2">
        <v>45840</v>
      </c>
      <c r="C43" s="3">
        <v>874007891</v>
      </c>
      <c r="D43" s="3">
        <v>6</v>
      </c>
      <c r="E43" s="4" t="s">
        <v>647</v>
      </c>
      <c r="F43" s="19" t="s">
        <v>780</v>
      </c>
      <c r="G43" s="10" t="s">
        <v>6</v>
      </c>
      <c r="H43" s="11">
        <v>4875</v>
      </c>
    </row>
    <row r="44" spans="1:8" ht="20.100000000000001" customHeight="1" x14ac:dyDescent="0.25">
      <c r="A44" s="57"/>
      <c r="B44" s="2">
        <v>45859</v>
      </c>
      <c r="C44" s="3">
        <v>2411284516</v>
      </c>
      <c r="D44" s="3">
        <v>8</v>
      </c>
      <c r="E44" s="4" t="s">
        <v>773</v>
      </c>
      <c r="F44" s="19" t="s">
        <v>781</v>
      </c>
      <c r="G44" s="10" t="s">
        <v>6</v>
      </c>
      <c r="H44" s="11">
        <v>6500</v>
      </c>
    </row>
    <row r="45" spans="1:8" ht="20.100000000000001" customHeight="1" x14ac:dyDescent="0.25">
      <c r="A45" s="57"/>
      <c r="B45" s="2">
        <v>45860</v>
      </c>
      <c r="C45" s="3">
        <v>1366837183</v>
      </c>
      <c r="D45" s="3">
        <v>8</v>
      </c>
      <c r="E45" s="4" t="s">
        <v>776</v>
      </c>
      <c r="F45" s="19" t="s">
        <v>782</v>
      </c>
      <c r="G45" s="10" t="s">
        <v>7</v>
      </c>
      <c r="H45" s="11">
        <v>6500</v>
      </c>
    </row>
    <row r="46" spans="1:8" ht="20.100000000000001" customHeight="1" x14ac:dyDescent="0.25">
      <c r="A46" s="57"/>
      <c r="B46" s="2">
        <v>45863</v>
      </c>
      <c r="C46" s="3">
        <v>1686521086</v>
      </c>
      <c r="D46" s="3">
        <v>4</v>
      </c>
      <c r="E46" s="4" t="s">
        <v>783</v>
      </c>
      <c r="F46" s="19" t="s">
        <v>784</v>
      </c>
      <c r="G46" s="10" t="s">
        <v>10</v>
      </c>
      <c r="H46" s="11">
        <v>1200</v>
      </c>
    </row>
    <row r="47" spans="1:8" ht="20.100000000000001" customHeight="1" x14ac:dyDescent="0.25">
      <c r="A47" s="57"/>
      <c r="B47" s="2">
        <v>45869</v>
      </c>
      <c r="C47" s="3">
        <v>1636190198</v>
      </c>
      <c r="D47" s="3">
        <v>5</v>
      </c>
      <c r="E47" s="4" t="s">
        <v>785</v>
      </c>
      <c r="F47" s="19" t="s">
        <v>263</v>
      </c>
      <c r="G47" s="10" t="s">
        <v>7</v>
      </c>
      <c r="H47" s="11">
        <v>3165</v>
      </c>
    </row>
    <row r="48" spans="1:8" ht="30" x14ac:dyDescent="0.25">
      <c r="A48" s="57"/>
      <c r="B48" s="2">
        <v>45869</v>
      </c>
      <c r="C48" s="3">
        <v>1636190198</v>
      </c>
      <c r="D48" s="3">
        <v>1</v>
      </c>
      <c r="E48" s="4" t="s">
        <v>785</v>
      </c>
      <c r="F48" s="19" t="s">
        <v>263</v>
      </c>
      <c r="G48" s="10" t="s">
        <v>7</v>
      </c>
      <c r="H48" s="11">
        <v>635</v>
      </c>
    </row>
    <row r="49" spans="1:8" ht="20.100000000000001" customHeight="1" x14ac:dyDescent="0.25">
      <c r="A49" s="57"/>
      <c r="B49" s="2">
        <v>45869</v>
      </c>
      <c r="C49" s="3">
        <v>1636190198</v>
      </c>
      <c r="D49" s="3">
        <v>2</v>
      </c>
      <c r="E49" s="4" t="s">
        <v>785</v>
      </c>
      <c r="F49" s="19" t="s">
        <v>255</v>
      </c>
      <c r="G49" s="10" t="s">
        <v>7</v>
      </c>
      <c r="H49" s="11">
        <v>1266</v>
      </c>
    </row>
    <row r="50" spans="1:8" ht="20.100000000000001" customHeight="1" x14ac:dyDescent="0.25">
      <c r="A50" s="57"/>
      <c r="B50" s="2">
        <v>45869</v>
      </c>
      <c r="C50" s="3">
        <v>1636190198</v>
      </c>
      <c r="D50" s="3">
        <v>1</v>
      </c>
      <c r="E50" s="4" t="s">
        <v>785</v>
      </c>
      <c r="F50" s="19" t="s">
        <v>255</v>
      </c>
      <c r="G50" s="10" t="s">
        <v>7</v>
      </c>
      <c r="H50" s="11">
        <v>634</v>
      </c>
    </row>
    <row r="51" spans="1:8" ht="20.100000000000001" customHeight="1" x14ac:dyDescent="0.25">
      <c r="A51" s="57"/>
      <c r="B51" s="2">
        <v>45877</v>
      </c>
      <c r="C51" s="3">
        <v>3976873945</v>
      </c>
      <c r="D51" s="3">
        <v>5</v>
      </c>
      <c r="E51" s="4" t="s">
        <v>901</v>
      </c>
      <c r="F51" s="4" t="s">
        <v>263</v>
      </c>
      <c r="G51" s="5" t="s">
        <v>6</v>
      </c>
      <c r="H51" s="6">
        <v>3165</v>
      </c>
    </row>
    <row r="52" spans="1:8" ht="20.100000000000001" customHeight="1" x14ac:dyDescent="0.25">
      <c r="A52" s="57"/>
      <c r="B52" s="2">
        <v>45877</v>
      </c>
      <c r="C52" s="3">
        <v>3976873945</v>
      </c>
      <c r="D52" s="3">
        <v>1</v>
      </c>
      <c r="E52" s="4" t="s">
        <v>901</v>
      </c>
      <c r="F52" s="4" t="s">
        <v>263</v>
      </c>
      <c r="G52" s="5" t="s">
        <v>6</v>
      </c>
      <c r="H52" s="6">
        <v>635</v>
      </c>
    </row>
    <row r="53" spans="1:8" ht="20.100000000000001" customHeight="1" x14ac:dyDescent="0.25">
      <c r="A53" s="57"/>
      <c r="B53" s="2">
        <v>45895</v>
      </c>
      <c r="C53" s="3">
        <v>1101286208</v>
      </c>
      <c r="D53" s="3">
        <v>8</v>
      </c>
      <c r="E53" s="4" t="s">
        <v>902</v>
      </c>
      <c r="F53" s="4" t="s">
        <v>259</v>
      </c>
      <c r="G53" s="5" t="s">
        <v>19</v>
      </c>
      <c r="H53" s="6">
        <v>6500</v>
      </c>
    </row>
    <row r="54" spans="1:8" ht="20.100000000000001" customHeight="1" x14ac:dyDescent="0.25">
      <c r="A54" s="57"/>
      <c r="B54" s="2">
        <v>45897</v>
      </c>
      <c r="C54" s="3">
        <v>281497257</v>
      </c>
      <c r="D54" s="3">
        <v>8</v>
      </c>
      <c r="E54" s="4" t="s">
        <v>903</v>
      </c>
      <c r="F54" s="4" t="s">
        <v>904</v>
      </c>
      <c r="G54" s="5" t="s">
        <v>11</v>
      </c>
      <c r="H54" s="6">
        <v>6500</v>
      </c>
    </row>
    <row r="55" spans="1:8" ht="20.100000000000001" customHeight="1" x14ac:dyDescent="0.25">
      <c r="A55" s="57"/>
      <c r="B55" s="2">
        <v>45898</v>
      </c>
      <c r="C55" s="3">
        <v>734020872</v>
      </c>
      <c r="D55" s="3">
        <v>8</v>
      </c>
      <c r="E55" s="4" t="s">
        <v>905</v>
      </c>
      <c r="F55" s="4" t="s">
        <v>259</v>
      </c>
      <c r="G55" s="5" t="s">
        <v>19</v>
      </c>
      <c r="H55" s="6">
        <v>6500</v>
      </c>
    </row>
    <row r="56" spans="1:8" ht="20.100000000000001" customHeight="1" x14ac:dyDescent="0.25">
      <c r="A56" s="57"/>
      <c r="B56" s="47">
        <v>45903</v>
      </c>
      <c r="C56" s="48">
        <v>131155578</v>
      </c>
      <c r="D56" s="3">
        <v>5</v>
      </c>
      <c r="E56" s="28" t="s">
        <v>894</v>
      </c>
      <c r="F56" s="28" t="s">
        <v>263</v>
      </c>
      <c r="G56" s="49" t="s">
        <v>7</v>
      </c>
      <c r="H56" s="6">
        <v>3165</v>
      </c>
    </row>
    <row r="57" spans="1:8" ht="20.100000000000001" customHeight="1" x14ac:dyDescent="0.25">
      <c r="A57" s="57"/>
      <c r="B57" s="47">
        <v>45903</v>
      </c>
      <c r="C57" s="48">
        <v>131155578</v>
      </c>
      <c r="D57" s="3">
        <v>1</v>
      </c>
      <c r="E57" s="28" t="s">
        <v>894</v>
      </c>
      <c r="F57" s="28" t="s">
        <v>263</v>
      </c>
      <c r="G57" s="49" t="s">
        <v>7</v>
      </c>
      <c r="H57" s="6">
        <v>635</v>
      </c>
    </row>
    <row r="58" spans="1:8" ht="20.100000000000001" customHeight="1" x14ac:dyDescent="0.25">
      <c r="A58" s="57"/>
      <c r="B58" s="47">
        <v>45905</v>
      </c>
      <c r="C58" s="48">
        <v>1504201589</v>
      </c>
      <c r="D58" s="3">
        <v>8</v>
      </c>
      <c r="E58" s="28" t="s">
        <v>330</v>
      </c>
      <c r="F58" s="28" t="s">
        <v>259</v>
      </c>
      <c r="G58" s="49" t="s">
        <v>19</v>
      </c>
      <c r="H58" s="6">
        <v>6500</v>
      </c>
    </row>
    <row r="59" spans="1:8" ht="20.100000000000001" customHeight="1" x14ac:dyDescent="0.25">
      <c r="A59" s="57"/>
      <c r="B59" s="47">
        <v>45912</v>
      </c>
      <c r="C59" s="48">
        <v>1304512233</v>
      </c>
      <c r="D59" s="3">
        <v>8</v>
      </c>
      <c r="E59" s="28" t="s">
        <v>966</v>
      </c>
      <c r="F59" s="28" t="s">
        <v>259</v>
      </c>
      <c r="G59" s="49" t="s">
        <v>7</v>
      </c>
      <c r="H59" s="6">
        <v>6500</v>
      </c>
    </row>
    <row r="60" spans="1:8" ht="20.100000000000001" customHeight="1" x14ac:dyDescent="0.25">
      <c r="A60" s="57"/>
      <c r="B60" s="47">
        <v>45926</v>
      </c>
      <c r="C60" s="48">
        <v>3483782047</v>
      </c>
      <c r="D60" s="3">
        <v>1</v>
      </c>
      <c r="E60" s="28" t="s">
        <v>969</v>
      </c>
      <c r="F60" s="28" t="s">
        <v>970</v>
      </c>
      <c r="G60" s="49" t="s">
        <v>7</v>
      </c>
      <c r="H60" s="6">
        <v>4000</v>
      </c>
    </row>
    <row r="61" spans="1:8" ht="20.100000000000001" customHeight="1" x14ac:dyDescent="0.25">
      <c r="A61" s="57"/>
      <c r="B61" s="47">
        <v>45929</v>
      </c>
      <c r="C61" s="48">
        <v>1844856910</v>
      </c>
      <c r="D61" s="3">
        <v>8</v>
      </c>
      <c r="E61" s="28" t="s">
        <v>971</v>
      </c>
      <c r="F61" s="28" t="s">
        <v>972</v>
      </c>
      <c r="G61" s="49" t="s">
        <v>7</v>
      </c>
      <c r="H61" s="6">
        <v>6500</v>
      </c>
    </row>
    <row r="62" spans="1:8" ht="20.100000000000001" customHeight="1" x14ac:dyDescent="0.25">
      <c r="A62" s="57"/>
      <c r="B62" s="47">
        <v>45930</v>
      </c>
      <c r="C62" s="48">
        <v>1522812868</v>
      </c>
      <c r="D62" s="3">
        <v>8</v>
      </c>
      <c r="E62" s="28" t="s">
        <v>973</v>
      </c>
      <c r="F62" s="28" t="s">
        <v>974</v>
      </c>
      <c r="G62" s="49" t="s">
        <v>6</v>
      </c>
      <c r="H62" s="6">
        <v>6500</v>
      </c>
    </row>
    <row r="63" spans="1:8" ht="20.100000000000001" customHeight="1" x14ac:dyDescent="0.25">
      <c r="A63" s="57"/>
      <c r="B63" s="47">
        <v>45930</v>
      </c>
      <c r="C63" s="48">
        <v>66997403</v>
      </c>
      <c r="D63" s="3">
        <v>8</v>
      </c>
      <c r="E63" s="28" t="s">
        <v>975</v>
      </c>
      <c r="F63" s="28" t="s">
        <v>976</v>
      </c>
      <c r="G63" s="49" t="s">
        <v>7</v>
      </c>
      <c r="H63" s="6">
        <v>6500</v>
      </c>
    </row>
    <row r="64" spans="1:8" ht="20.100000000000001" customHeight="1" x14ac:dyDescent="0.25">
      <c r="A64" s="57"/>
      <c r="B64" s="47">
        <v>45943</v>
      </c>
      <c r="C64" s="48">
        <v>3675868188</v>
      </c>
      <c r="D64" s="3">
        <v>5</v>
      </c>
      <c r="E64" s="28" t="s">
        <v>1046</v>
      </c>
      <c r="F64" s="28" t="s">
        <v>263</v>
      </c>
      <c r="G64" s="49" t="s">
        <v>7</v>
      </c>
      <c r="H64" s="6">
        <v>3165</v>
      </c>
    </row>
    <row r="65" spans="1:8" ht="20.100000000000001" customHeight="1" x14ac:dyDescent="0.25">
      <c r="A65" s="57"/>
      <c r="B65" s="47">
        <v>45943</v>
      </c>
      <c r="C65" s="48">
        <v>3675868188</v>
      </c>
      <c r="D65" s="3">
        <v>1</v>
      </c>
      <c r="E65" s="28" t="s">
        <v>1046</v>
      </c>
      <c r="F65" s="28" t="s">
        <v>263</v>
      </c>
      <c r="G65" s="49" t="s">
        <v>7</v>
      </c>
      <c r="H65" s="6">
        <v>635</v>
      </c>
    </row>
    <row r="66" spans="1:8" ht="20.100000000000001" customHeight="1" x14ac:dyDescent="0.25">
      <c r="A66" s="57"/>
      <c r="B66" s="47">
        <v>45946</v>
      </c>
      <c r="C66" s="48">
        <v>638339846</v>
      </c>
      <c r="D66" s="3">
        <v>4</v>
      </c>
      <c r="E66" s="28" t="s">
        <v>1047</v>
      </c>
      <c r="F66" s="28" t="s">
        <v>1048</v>
      </c>
      <c r="G66" s="49" t="s">
        <v>7</v>
      </c>
      <c r="H66" s="6">
        <v>3250</v>
      </c>
    </row>
    <row r="67" spans="1:8" ht="20.100000000000001" customHeight="1" x14ac:dyDescent="0.25">
      <c r="A67" s="57"/>
      <c r="B67" s="47">
        <v>45965</v>
      </c>
      <c r="C67" s="48">
        <v>1099317451</v>
      </c>
      <c r="D67" s="3">
        <v>8</v>
      </c>
      <c r="E67" s="28" t="s">
        <v>1123</v>
      </c>
      <c r="F67" s="28" t="s">
        <v>1124</v>
      </c>
      <c r="G67" s="49" t="s">
        <v>6</v>
      </c>
      <c r="H67" s="6">
        <v>6500</v>
      </c>
    </row>
    <row r="68" spans="1:8" ht="20.100000000000001" customHeight="1" x14ac:dyDescent="0.25">
      <c r="A68" s="57"/>
      <c r="B68" s="47">
        <v>45974</v>
      </c>
      <c r="C68" s="48">
        <v>3235202910</v>
      </c>
      <c r="D68" s="3">
        <v>8</v>
      </c>
      <c r="E68" s="28" t="s">
        <v>1125</v>
      </c>
      <c r="F68" s="28" t="s">
        <v>1126</v>
      </c>
      <c r="G68" s="49" t="s">
        <v>7</v>
      </c>
      <c r="H68" s="6">
        <v>6500</v>
      </c>
    </row>
    <row r="69" spans="1:8" ht="20.100000000000001" customHeight="1" x14ac:dyDescent="0.25">
      <c r="A69" s="57"/>
      <c r="B69" s="47">
        <v>45975</v>
      </c>
      <c r="C69" s="48">
        <v>3248966351</v>
      </c>
      <c r="D69" s="3">
        <v>8</v>
      </c>
      <c r="E69" s="28" t="s">
        <v>1127</v>
      </c>
      <c r="F69" s="28" t="s">
        <v>259</v>
      </c>
      <c r="G69" s="49" t="s">
        <v>7</v>
      </c>
      <c r="H69" s="6">
        <v>6500</v>
      </c>
    </row>
    <row r="70" spans="1:8" ht="20.100000000000001" customHeight="1" x14ac:dyDescent="0.25">
      <c r="A70" s="57"/>
      <c r="B70" s="47">
        <v>45978</v>
      </c>
      <c r="C70" s="48">
        <v>993739103</v>
      </c>
      <c r="D70" s="3">
        <v>1</v>
      </c>
      <c r="E70" s="28" t="s">
        <v>969</v>
      </c>
      <c r="F70" s="28" t="s">
        <v>1128</v>
      </c>
      <c r="G70" s="49" t="s">
        <v>19</v>
      </c>
      <c r="H70" s="6">
        <v>2500</v>
      </c>
    </row>
    <row r="71" spans="1:8" ht="20.100000000000001" customHeight="1" x14ac:dyDescent="0.25">
      <c r="A71" s="57"/>
      <c r="B71" s="47">
        <v>45986</v>
      </c>
      <c r="C71" s="48">
        <v>1646479286</v>
      </c>
      <c r="D71" s="3">
        <v>1</v>
      </c>
      <c r="E71" s="28" t="s">
        <v>754</v>
      </c>
      <c r="F71" s="28" t="s">
        <v>1129</v>
      </c>
      <c r="G71" s="49" t="s">
        <v>6</v>
      </c>
      <c r="H71" s="6">
        <v>3000</v>
      </c>
    </row>
    <row r="72" spans="1:8" ht="20.100000000000001" customHeight="1" x14ac:dyDescent="0.25">
      <c r="A72" s="57"/>
      <c r="B72" s="47">
        <v>45987</v>
      </c>
      <c r="C72" s="48">
        <v>3880142295</v>
      </c>
      <c r="D72" s="3">
        <v>8</v>
      </c>
      <c r="E72" s="28" t="s">
        <v>1130</v>
      </c>
      <c r="F72" s="28" t="s">
        <v>259</v>
      </c>
      <c r="G72" s="49" t="s">
        <v>19</v>
      </c>
      <c r="H72" s="6">
        <v>6500</v>
      </c>
    </row>
    <row r="73" spans="1:8" ht="20.100000000000001" customHeight="1" x14ac:dyDescent="0.25">
      <c r="A73" s="57"/>
      <c r="B73" s="47">
        <v>45989</v>
      </c>
      <c r="C73" s="48">
        <v>4276440326</v>
      </c>
      <c r="D73" s="3">
        <v>8</v>
      </c>
      <c r="E73" s="28" t="s">
        <v>1131</v>
      </c>
      <c r="F73" s="28" t="s">
        <v>259</v>
      </c>
      <c r="G73" s="49" t="s">
        <v>7</v>
      </c>
      <c r="H73" s="6">
        <v>6500</v>
      </c>
    </row>
    <row r="74" spans="1:8" ht="20.100000000000001" customHeight="1" x14ac:dyDescent="0.25">
      <c r="A74" s="57"/>
      <c r="B74" s="47">
        <v>46003</v>
      </c>
      <c r="C74" s="48">
        <v>1334854846</v>
      </c>
      <c r="D74" s="3">
        <v>1</v>
      </c>
      <c r="E74" s="28" t="s">
        <v>754</v>
      </c>
      <c r="F74" s="28" t="s">
        <v>1128</v>
      </c>
      <c r="G74" s="49" t="s">
        <v>6</v>
      </c>
      <c r="H74" s="6">
        <v>800</v>
      </c>
    </row>
    <row r="75" spans="1:8" ht="20.100000000000001" customHeight="1" x14ac:dyDescent="0.25">
      <c r="A75" s="57"/>
      <c r="B75" s="47">
        <v>46006</v>
      </c>
      <c r="C75" s="48">
        <v>852574634</v>
      </c>
      <c r="D75" s="3">
        <v>3</v>
      </c>
      <c r="E75" s="28" t="s">
        <v>1237</v>
      </c>
      <c r="F75" s="28" t="s">
        <v>263</v>
      </c>
      <c r="G75" s="49" t="s">
        <v>10</v>
      </c>
      <c r="H75" s="6">
        <v>1800</v>
      </c>
    </row>
    <row r="76" spans="1:8" ht="20.100000000000001" customHeight="1" x14ac:dyDescent="0.25">
      <c r="A76" s="57"/>
      <c r="B76" s="47">
        <v>46007</v>
      </c>
      <c r="C76" s="48">
        <v>4002499118</v>
      </c>
      <c r="D76" s="3">
        <v>8</v>
      </c>
      <c r="E76" s="28" t="s">
        <v>1250</v>
      </c>
      <c r="F76" s="28" t="s">
        <v>259</v>
      </c>
      <c r="G76" s="49" t="s">
        <v>11</v>
      </c>
      <c r="H76" s="6">
        <v>6500</v>
      </c>
    </row>
    <row r="77" spans="1:8" ht="20.100000000000001" customHeight="1" x14ac:dyDescent="0.25">
      <c r="A77" s="57"/>
      <c r="B77" s="47">
        <v>46022</v>
      </c>
      <c r="C77" s="48">
        <v>3451997700</v>
      </c>
      <c r="D77" s="3">
        <v>1</v>
      </c>
      <c r="E77" s="28" t="s">
        <v>1251</v>
      </c>
      <c r="F77" s="28" t="s">
        <v>1252</v>
      </c>
      <c r="G77" s="49" t="s">
        <v>19</v>
      </c>
      <c r="H77" s="6">
        <v>5000</v>
      </c>
    </row>
    <row r="78" spans="1:8" ht="15.75" x14ac:dyDescent="0.25">
      <c r="A78" s="58"/>
      <c r="B78" s="13"/>
      <c r="C78" s="14"/>
      <c r="D78" s="14"/>
      <c r="E78" s="14" t="s">
        <v>5</v>
      </c>
      <c r="F78" s="15"/>
      <c r="G78" s="16"/>
      <c r="H78" s="23">
        <f>SUM(H3:H77)</f>
        <v>352825.01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H7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16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3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16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74"/>
      <c r="B2" s="86"/>
      <c r="C2" s="88"/>
      <c r="D2" s="88"/>
      <c r="E2" s="88"/>
      <c r="F2" s="88"/>
      <c r="G2" s="82"/>
      <c r="H2" s="84"/>
    </row>
    <row r="3" spans="1:8" ht="15" customHeight="1" x14ac:dyDescent="0.25">
      <c r="A3" s="74"/>
      <c r="B3" s="2">
        <v>45771</v>
      </c>
      <c r="C3" s="3">
        <v>3667872970</v>
      </c>
      <c r="D3" s="3">
        <v>1</v>
      </c>
      <c r="E3" s="19" t="s">
        <v>264</v>
      </c>
      <c r="F3" s="19" t="s">
        <v>543</v>
      </c>
      <c r="G3" s="10" t="s">
        <v>6</v>
      </c>
      <c r="H3" s="11">
        <v>350</v>
      </c>
    </row>
    <row r="4" spans="1:8" ht="15" customHeight="1" x14ac:dyDescent="0.25">
      <c r="A4" s="74"/>
      <c r="B4" s="2">
        <v>45772</v>
      </c>
      <c r="C4" s="3">
        <v>778718326</v>
      </c>
      <c r="D4" s="3">
        <v>1</v>
      </c>
      <c r="E4" s="19" t="s">
        <v>544</v>
      </c>
      <c r="F4" s="19" t="s">
        <v>543</v>
      </c>
      <c r="G4" s="10" t="s">
        <v>6</v>
      </c>
      <c r="H4" s="11">
        <v>350</v>
      </c>
    </row>
    <row r="5" spans="1:8" ht="15" customHeight="1" x14ac:dyDescent="0.25">
      <c r="A5" s="74"/>
      <c r="B5" s="2">
        <v>45789</v>
      </c>
      <c r="C5" s="3">
        <v>1534545575</v>
      </c>
      <c r="D5" s="3">
        <v>1</v>
      </c>
      <c r="E5" s="19" t="s">
        <v>405</v>
      </c>
      <c r="F5" s="19" t="s">
        <v>543</v>
      </c>
      <c r="G5" s="10" t="s">
        <v>7</v>
      </c>
      <c r="H5" s="11">
        <v>200</v>
      </c>
    </row>
    <row r="6" spans="1:8" ht="15" customHeight="1" x14ac:dyDescent="0.25">
      <c r="A6" s="74"/>
      <c r="B6" s="2">
        <v>45828</v>
      </c>
      <c r="C6" s="3">
        <v>3037152131</v>
      </c>
      <c r="D6" s="3">
        <v>1</v>
      </c>
      <c r="E6" s="19" t="s">
        <v>619</v>
      </c>
      <c r="F6" s="19" t="s">
        <v>543</v>
      </c>
      <c r="G6" s="10" t="s">
        <v>6</v>
      </c>
      <c r="H6" s="11">
        <v>350</v>
      </c>
    </row>
    <row r="7" spans="1:8" ht="15.75" x14ac:dyDescent="0.25">
      <c r="A7" s="75"/>
      <c r="B7" s="13"/>
      <c r="C7" s="14"/>
      <c r="D7" s="14"/>
      <c r="E7" s="14" t="s">
        <v>5</v>
      </c>
      <c r="F7" s="15"/>
      <c r="G7" s="16"/>
      <c r="H7" s="23">
        <f>SUM(H3:H6)</f>
        <v>1250</v>
      </c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1:H58"/>
  <sheetViews>
    <sheetView workbookViewId="0">
      <pane ySplit="2" topLeftCell="A52" activePane="bottomLeft" state="frozen"/>
      <selection pane="bottomLeft" activeCell="A58" sqref="A58:XFD76"/>
    </sheetView>
  </sheetViews>
  <sheetFormatPr baseColWidth="10" defaultColWidth="9.140625" defaultRowHeight="15" x14ac:dyDescent="0.25"/>
  <cols>
    <col min="1" max="1" width="20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2.855468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6" t="s">
        <v>18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57"/>
      <c r="B2" s="86"/>
      <c r="C2" s="88"/>
      <c r="D2" s="88"/>
      <c r="E2" s="88"/>
      <c r="F2" s="88"/>
      <c r="G2" s="82"/>
      <c r="H2" s="84"/>
    </row>
    <row r="3" spans="1:8" ht="20.100000000000001" customHeight="1" x14ac:dyDescent="0.25">
      <c r="A3" s="57"/>
      <c r="B3" s="2">
        <v>45681</v>
      </c>
      <c r="C3" s="3">
        <v>2411089083</v>
      </c>
      <c r="D3" s="3">
        <v>1</v>
      </c>
      <c r="E3" s="4" t="s">
        <v>84</v>
      </c>
      <c r="F3" s="19" t="s">
        <v>163</v>
      </c>
      <c r="G3" s="10" t="s">
        <v>6</v>
      </c>
      <c r="H3" s="11">
        <v>402.5</v>
      </c>
    </row>
    <row r="4" spans="1:8" ht="20.100000000000001" customHeight="1" x14ac:dyDescent="0.25">
      <c r="A4" s="57"/>
      <c r="B4" s="2">
        <v>45688</v>
      </c>
      <c r="C4" s="3">
        <v>1813269753</v>
      </c>
      <c r="D4" s="3">
        <v>1</v>
      </c>
      <c r="E4" s="4" t="s">
        <v>164</v>
      </c>
      <c r="F4" s="19" t="s">
        <v>163</v>
      </c>
      <c r="G4" s="10" t="s">
        <v>6</v>
      </c>
      <c r="H4" s="11">
        <v>575</v>
      </c>
    </row>
    <row r="5" spans="1:8" ht="20.100000000000001" customHeight="1" x14ac:dyDescent="0.25">
      <c r="A5" s="57"/>
      <c r="B5" s="2">
        <v>45691</v>
      </c>
      <c r="C5" s="3">
        <v>3459662054</v>
      </c>
      <c r="D5" s="3">
        <v>1</v>
      </c>
      <c r="E5" s="4" t="s">
        <v>271</v>
      </c>
      <c r="F5" s="19" t="s">
        <v>18</v>
      </c>
      <c r="G5" s="10" t="s">
        <v>6</v>
      </c>
      <c r="H5" s="11">
        <v>575</v>
      </c>
    </row>
    <row r="6" spans="1:8" ht="20.100000000000001" customHeight="1" x14ac:dyDescent="0.25">
      <c r="A6" s="57"/>
      <c r="B6" s="2">
        <v>45691</v>
      </c>
      <c r="C6" s="3">
        <v>129846122</v>
      </c>
      <c r="D6" s="3">
        <v>1</v>
      </c>
      <c r="E6" s="4" t="s">
        <v>272</v>
      </c>
      <c r="F6" s="19" t="s">
        <v>18</v>
      </c>
      <c r="G6" s="10" t="s">
        <v>19</v>
      </c>
      <c r="H6" s="11">
        <v>575</v>
      </c>
    </row>
    <row r="7" spans="1:8" ht="20.100000000000001" customHeight="1" x14ac:dyDescent="0.25">
      <c r="A7" s="57"/>
      <c r="B7" s="2">
        <v>45692</v>
      </c>
      <c r="C7" s="3">
        <v>2071153019</v>
      </c>
      <c r="D7" s="3">
        <v>1</v>
      </c>
      <c r="E7" s="4" t="s">
        <v>273</v>
      </c>
      <c r="F7" s="19" t="s">
        <v>18</v>
      </c>
      <c r="G7" s="10" t="s">
        <v>6</v>
      </c>
      <c r="H7" s="11">
        <v>575</v>
      </c>
    </row>
    <row r="8" spans="1:8" ht="20.100000000000001" customHeight="1" x14ac:dyDescent="0.25">
      <c r="A8" s="57"/>
      <c r="B8" s="2">
        <v>45693</v>
      </c>
      <c r="C8" s="3">
        <v>265765863</v>
      </c>
      <c r="D8" s="3">
        <v>1</v>
      </c>
      <c r="E8" s="4" t="s">
        <v>274</v>
      </c>
      <c r="F8" s="19" t="s">
        <v>18</v>
      </c>
      <c r="G8" s="10" t="s">
        <v>6</v>
      </c>
      <c r="H8" s="11">
        <v>575</v>
      </c>
    </row>
    <row r="9" spans="1:8" ht="20.100000000000001" customHeight="1" x14ac:dyDescent="0.25">
      <c r="A9" s="57"/>
      <c r="B9" s="2">
        <v>45699</v>
      </c>
      <c r="C9" s="3">
        <v>2956214625</v>
      </c>
      <c r="D9" s="3">
        <v>1</v>
      </c>
      <c r="E9" s="4" t="s">
        <v>275</v>
      </c>
      <c r="F9" s="19" t="s">
        <v>18</v>
      </c>
      <c r="G9" s="10" t="s">
        <v>7</v>
      </c>
      <c r="H9" s="11">
        <v>575</v>
      </c>
    </row>
    <row r="10" spans="1:8" ht="20.100000000000001" customHeight="1" x14ac:dyDescent="0.25">
      <c r="A10" s="57"/>
      <c r="B10" s="2">
        <v>45701</v>
      </c>
      <c r="C10" s="3">
        <v>2024884464</v>
      </c>
      <c r="D10" s="3">
        <v>1</v>
      </c>
      <c r="E10" s="4" t="s">
        <v>276</v>
      </c>
      <c r="F10" s="19" t="s">
        <v>18</v>
      </c>
      <c r="G10" s="10" t="s">
        <v>6</v>
      </c>
      <c r="H10" s="11">
        <v>575</v>
      </c>
    </row>
    <row r="11" spans="1:8" ht="20.100000000000001" customHeight="1" x14ac:dyDescent="0.25">
      <c r="A11" s="57"/>
      <c r="B11" s="2">
        <v>45705</v>
      </c>
      <c r="C11" s="3">
        <v>3947122234</v>
      </c>
      <c r="D11" s="3">
        <v>1</v>
      </c>
      <c r="E11" s="4" t="s">
        <v>277</v>
      </c>
      <c r="F11" s="19" t="s">
        <v>18</v>
      </c>
      <c r="G11" s="10" t="s">
        <v>19</v>
      </c>
      <c r="H11" s="11">
        <v>575</v>
      </c>
    </row>
    <row r="12" spans="1:8" ht="15.75" x14ac:dyDescent="0.25">
      <c r="A12" s="57"/>
      <c r="B12" s="2">
        <v>45709</v>
      </c>
      <c r="C12" s="3">
        <v>1027034747</v>
      </c>
      <c r="D12" s="3">
        <v>1</v>
      </c>
      <c r="E12" s="4" t="s">
        <v>278</v>
      </c>
      <c r="F12" s="19" t="s">
        <v>18</v>
      </c>
      <c r="G12" s="10" t="s">
        <v>6</v>
      </c>
      <c r="H12" s="11">
        <v>400</v>
      </c>
    </row>
    <row r="13" spans="1:8" ht="20.100000000000001" customHeight="1" x14ac:dyDescent="0.25">
      <c r="A13" s="57"/>
      <c r="B13" s="2">
        <v>45719</v>
      </c>
      <c r="C13" s="3">
        <v>3678815013</v>
      </c>
      <c r="D13" s="3">
        <v>3</v>
      </c>
      <c r="E13" s="19" t="s">
        <v>292</v>
      </c>
      <c r="F13" s="19" t="s">
        <v>18</v>
      </c>
      <c r="G13" s="10" t="s">
        <v>6</v>
      </c>
      <c r="H13" s="11">
        <v>1119</v>
      </c>
    </row>
    <row r="14" spans="1:8" ht="20.100000000000001" customHeight="1" x14ac:dyDescent="0.25">
      <c r="A14" s="57"/>
      <c r="B14" s="2">
        <v>45721</v>
      </c>
      <c r="C14" s="3">
        <v>3428600099</v>
      </c>
      <c r="D14" s="3">
        <v>1</v>
      </c>
      <c r="E14" s="19" t="s">
        <v>374</v>
      </c>
      <c r="F14" s="19" t="s">
        <v>18</v>
      </c>
      <c r="G14" s="10" t="s">
        <v>7</v>
      </c>
      <c r="H14" s="11">
        <v>575</v>
      </c>
    </row>
    <row r="15" spans="1:8" ht="20.100000000000001" customHeight="1" x14ac:dyDescent="0.25">
      <c r="A15" s="57"/>
      <c r="B15" s="2">
        <v>45723</v>
      </c>
      <c r="C15" s="3">
        <v>3400090640</v>
      </c>
      <c r="D15" s="3">
        <v>1</v>
      </c>
      <c r="E15" s="19" t="s">
        <v>375</v>
      </c>
      <c r="F15" s="19" t="s">
        <v>18</v>
      </c>
      <c r="G15" s="10" t="s">
        <v>6</v>
      </c>
      <c r="H15" s="11">
        <v>575</v>
      </c>
    </row>
    <row r="16" spans="1:8" ht="20.100000000000001" customHeight="1" x14ac:dyDescent="0.25">
      <c r="A16" s="57"/>
      <c r="B16" s="2">
        <v>45726</v>
      </c>
      <c r="C16" s="3">
        <v>96554752</v>
      </c>
      <c r="D16" s="3">
        <v>2</v>
      </c>
      <c r="E16" s="19" t="s">
        <v>376</v>
      </c>
      <c r="F16" s="19" t="s">
        <v>18</v>
      </c>
      <c r="G16" s="10" t="s">
        <v>7</v>
      </c>
      <c r="H16" s="11">
        <v>850</v>
      </c>
    </row>
    <row r="17" spans="1:8" ht="20.100000000000001" customHeight="1" x14ac:dyDescent="0.25">
      <c r="A17" s="57"/>
      <c r="B17" s="2">
        <v>45744</v>
      </c>
      <c r="C17" s="3">
        <v>512049806</v>
      </c>
      <c r="D17" s="3">
        <v>2</v>
      </c>
      <c r="E17" s="19" t="s">
        <v>377</v>
      </c>
      <c r="F17" s="19" t="s">
        <v>18</v>
      </c>
      <c r="G17" s="10" t="s">
        <v>7</v>
      </c>
      <c r="H17" s="11">
        <v>1150</v>
      </c>
    </row>
    <row r="18" spans="1:8" ht="20.100000000000001" customHeight="1" x14ac:dyDescent="0.25">
      <c r="A18" s="57"/>
      <c r="B18" s="2">
        <v>45757</v>
      </c>
      <c r="C18" s="3">
        <v>3409989063</v>
      </c>
      <c r="D18" s="3">
        <v>1</v>
      </c>
      <c r="E18" s="19" t="s">
        <v>545</v>
      </c>
      <c r="F18" s="19" t="s">
        <v>18</v>
      </c>
      <c r="G18" s="10" t="s">
        <v>6</v>
      </c>
      <c r="H18" s="11">
        <v>575</v>
      </c>
    </row>
    <row r="19" spans="1:8" ht="20.100000000000001" customHeight="1" x14ac:dyDescent="0.25">
      <c r="A19" s="57"/>
      <c r="B19" s="2">
        <v>45758</v>
      </c>
      <c r="C19" s="3">
        <v>317213937</v>
      </c>
      <c r="D19" s="3">
        <v>1</v>
      </c>
      <c r="E19" s="19" t="s">
        <v>546</v>
      </c>
      <c r="F19" s="19" t="s">
        <v>18</v>
      </c>
      <c r="G19" s="10" t="s">
        <v>6</v>
      </c>
      <c r="H19" s="11">
        <v>575</v>
      </c>
    </row>
    <row r="20" spans="1:8" ht="20.100000000000001" customHeight="1" x14ac:dyDescent="0.25">
      <c r="A20" s="57"/>
      <c r="B20" s="2">
        <v>45782</v>
      </c>
      <c r="C20" s="3">
        <v>2760789435</v>
      </c>
      <c r="D20" s="3">
        <v>1</v>
      </c>
      <c r="E20" s="19" t="s">
        <v>659</v>
      </c>
      <c r="F20" s="19" t="s">
        <v>18</v>
      </c>
      <c r="G20" s="10" t="s">
        <v>7</v>
      </c>
      <c r="H20" s="11">
        <v>575</v>
      </c>
    </row>
    <row r="21" spans="1:8" ht="20.100000000000001" customHeight="1" x14ac:dyDescent="0.25">
      <c r="A21" s="57"/>
      <c r="B21" s="2">
        <v>45783</v>
      </c>
      <c r="C21" s="3">
        <v>3890694547</v>
      </c>
      <c r="D21" s="3">
        <v>1</v>
      </c>
      <c r="E21" s="19" t="s">
        <v>660</v>
      </c>
      <c r="F21" s="19" t="s">
        <v>18</v>
      </c>
      <c r="G21" s="10" t="s">
        <v>6</v>
      </c>
      <c r="H21" s="11">
        <v>575</v>
      </c>
    </row>
    <row r="22" spans="1:8" ht="20.100000000000001" customHeight="1" x14ac:dyDescent="0.25">
      <c r="A22" s="57"/>
      <c r="B22" s="2">
        <v>45785</v>
      </c>
      <c r="C22" s="3">
        <v>3792585930</v>
      </c>
      <c r="D22" s="3">
        <v>2</v>
      </c>
      <c r="E22" s="19" t="s">
        <v>277</v>
      </c>
      <c r="F22" s="19" t="s">
        <v>18</v>
      </c>
      <c r="G22" s="10" t="s">
        <v>19</v>
      </c>
      <c r="H22" s="11">
        <v>900</v>
      </c>
    </row>
    <row r="23" spans="1:8" ht="20.100000000000001" customHeight="1" x14ac:dyDescent="0.25">
      <c r="A23" s="57"/>
      <c r="B23" s="2">
        <v>45785</v>
      </c>
      <c r="C23" s="3">
        <v>714296972</v>
      </c>
      <c r="D23" s="3">
        <v>1</v>
      </c>
      <c r="E23" s="19" t="s">
        <v>661</v>
      </c>
      <c r="F23" s="19" t="s">
        <v>18</v>
      </c>
      <c r="G23" s="10" t="s">
        <v>11</v>
      </c>
      <c r="H23" s="11">
        <v>575</v>
      </c>
    </row>
    <row r="24" spans="1:8" ht="20.100000000000001" customHeight="1" x14ac:dyDescent="0.25">
      <c r="A24" s="57"/>
      <c r="B24" s="2">
        <v>45786</v>
      </c>
      <c r="C24" s="3">
        <v>4242361476</v>
      </c>
      <c r="D24" s="3">
        <v>1</v>
      </c>
      <c r="E24" s="19" t="s">
        <v>662</v>
      </c>
      <c r="F24" s="19" t="s">
        <v>18</v>
      </c>
      <c r="G24" s="10" t="s">
        <v>6</v>
      </c>
      <c r="H24" s="11">
        <v>575</v>
      </c>
    </row>
    <row r="25" spans="1:8" ht="20.100000000000001" customHeight="1" x14ac:dyDescent="0.25">
      <c r="A25" s="57"/>
      <c r="B25" s="2">
        <v>45796</v>
      </c>
      <c r="C25" s="3">
        <v>1121864681</v>
      </c>
      <c r="D25" s="3">
        <v>1</v>
      </c>
      <c r="E25" s="19" t="s">
        <v>154</v>
      </c>
      <c r="F25" s="19" t="s">
        <v>18</v>
      </c>
      <c r="G25" s="10" t="s">
        <v>6</v>
      </c>
      <c r="H25" s="11">
        <v>575</v>
      </c>
    </row>
    <row r="26" spans="1:8" ht="20.100000000000001" customHeight="1" x14ac:dyDescent="0.25">
      <c r="A26" s="57"/>
      <c r="B26" s="2">
        <v>45803</v>
      </c>
      <c r="C26" s="3">
        <v>1375946100</v>
      </c>
      <c r="D26" s="3">
        <v>1</v>
      </c>
      <c r="E26" s="19" t="s">
        <v>663</v>
      </c>
      <c r="F26" s="19" t="s">
        <v>18</v>
      </c>
      <c r="G26" s="10" t="s">
        <v>6</v>
      </c>
      <c r="H26" s="11">
        <v>575</v>
      </c>
    </row>
    <row r="27" spans="1:8" ht="20.100000000000001" customHeight="1" x14ac:dyDescent="0.25">
      <c r="A27" s="57"/>
      <c r="B27" s="2">
        <v>45806</v>
      </c>
      <c r="C27" s="3">
        <v>633160635</v>
      </c>
      <c r="D27" s="3">
        <v>1</v>
      </c>
      <c r="E27" s="19" t="s">
        <v>135</v>
      </c>
      <c r="F27" s="19" t="s">
        <v>18</v>
      </c>
      <c r="G27" s="10" t="s">
        <v>6</v>
      </c>
      <c r="H27" s="11">
        <v>575</v>
      </c>
    </row>
    <row r="28" spans="1:8" ht="20.100000000000001" customHeight="1" x14ac:dyDescent="0.25">
      <c r="A28" s="57"/>
      <c r="B28" s="2">
        <v>45812</v>
      </c>
      <c r="C28" s="3">
        <v>1146570419</v>
      </c>
      <c r="D28" s="3">
        <v>1</v>
      </c>
      <c r="E28" s="19" t="s">
        <v>664</v>
      </c>
      <c r="F28" s="19" t="s">
        <v>18</v>
      </c>
      <c r="G28" s="10" t="s">
        <v>6</v>
      </c>
      <c r="H28" s="11">
        <v>403</v>
      </c>
    </row>
    <row r="29" spans="1:8" ht="20.100000000000001" customHeight="1" x14ac:dyDescent="0.25">
      <c r="A29" s="57"/>
      <c r="B29" s="2">
        <v>45820</v>
      </c>
      <c r="C29" s="3">
        <v>2583184228</v>
      </c>
      <c r="D29" s="3">
        <v>1</v>
      </c>
      <c r="E29" s="19" t="s">
        <v>665</v>
      </c>
      <c r="F29" s="19" t="s">
        <v>18</v>
      </c>
      <c r="G29" s="10" t="s">
        <v>10</v>
      </c>
      <c r="H29" s="11">
        <v>575</v>
      </c>
    </row>
    <row r="30" spans="1:8" ht="20.100000000000001" customHeight="1" x14ac:dyDescent="0.25">
      <c r="A30" s="57"/>
      <c r="B30" s="2">
        <v>45835</v>
      </c>
      <c r="C30" s="3">
        <v>175392459</v>
      </c>
      <c r="D30" s="3">
        <v>1</v>
      </c>
      <c r="E30" s="19" t="s">
        <v>666</v>
      </c>
      <c r="F30" s="19" t="s">
        <v>18</v>
      </c>
      <c r="G30" s="10" t="s">
        <v>10</v>
      </c>
      <c r="H30" s="11">
        <v>575</v>
      </c>
    </row>
    <row r="31" spans="1:8" ht="20.100000000000001" customHeight="1" x14ac:dyDescent="0.25">
      <c r="A31" s="57"/>
      <c r="B31" s="2">
        <v>45847</v>
      </c>
      <c r="C31" s="3">
        <v>1718963175</v>
      </c>
      <c r="D31" s="3">
        <v>2</v>
      </c>
      <c r="E31" s="19" t="s">
        <v>786</v>
      </c>
      <c r="F31" s="19" t="s">
        <v>18</v>
      </c>
      <c r="G31" s="10" t="s">
        <v>6</v>
      </c>
      <c r="H31" s="11">
        <v>900</v>
      </c>
    </row>
    <row r="32" spans="1:8" ht="20.100000000000001" customHeight="1" x14ac:dyDescent="0.25">
      <c r="A32" s="57"/>
      <c r="B32" s="2">
        <v>45852</v>
      </c>
      <c r="C32" s="3">
        <v>2158839066</v>
      </c>
      <c r="D32" s="3">
        <v>1</v>
      </c>
      <c r="E32" s="19" t="s">
        <v>787</v>
      </c>
      <c r="F32" s="19" t="s">
        <v>18</v>
      </c>
      <c r="G32" s="10" t="s">
        <v>19</v>
      </c>
      <c r="H32" s="11">
        <v>450</v>
      </c>
    </row>
    <row r="33" spans="1:8" ht="20.100000000000001" customHeight="1" x14ac:dyDescent="0.25">
      <c r="A33" s="57"/>
      <c r="B33" s="2">
        <v>45861</v>
      </c>
      <c r="C33" s="3">
        <v>3520873141</v>
      </c>
      <c r="D33" s="3">
        <v>1</v>
      </c>
      <c r="E33" s="19" t="s">
        <v>787</v>
      </c>
      <c r="F33" s="19" t="s">
        <v>18</v>
      </c>
      <c r="G33" s="10" t="s">
        <v>19</v>
      </c>
      <c r="H33" s="11">
        <v>450</v>
      </c>
    </row>
    <row r="34" spans="1:8" ht="20.100000000000001" customHeight="1" x14ac:dyDescent="0.25">
      <c r="A34" s="57"/>
      <c r="B34" s="2">
        <v>45866</v>
      </c>
      <c r="C34" s="3">
        <v>2791328046</v>
      </c>
      <c r="D34" s="3">
        <v>1</v>
      </c>
      <c r="E34" s="19" t="s">
        <v>788</v>
      </c>
      <c r="F34" s="19" t="s">
        <v>18</v>
      </c>
      <c r="G34" s="10" t="s">
        <v>6</v>
      </c>
      <c r="H34" s="11">
        <v>410</v>
      </c>
    </row>
    <row r="35" spans="1:8" ht="20.100000000000001" customHeight="1" x14ac:dyDescent="0.25">
      <c r="A35" s="57"/>
      <c r="B35" s="2">
        <v>45868</v>
      </c>
      <c r="C35" s="3">
        <v>1658603982</v>
      </c>
      <c r="D35" s="3">
        <v>2</v>
      </c>
      <c r="E35" s="19" t="s">
        <v>789</v>
      </c>
      <c r="F35" s="19" t="s">
        <v>18</v>
      </c>
      <c r="G35" s="10" t="s">
        <v>19</v>
      </c>
      <c r="H35" s="11">
        <v>1150</v>
      </c>
    </row>
    <row r="36" spans="1:8" ht="20.100000000000001" customHeight="1" x14ac:dyDescent="0.25">
      <c r="A36" s="57"/>
      <c r="B36" s="2">
        <v>45875</v>
      </c>
      <c r="C36" s="3">
        <v>3107081067</v>
      </c>
      <c r="D36" s="3">
        <v>1</v>
      </c>
      <c r="E36" s="4" t="s">
        <v>906</v>
      </c>
      <c r="F36" s="4" t="s">
        <v>18</v>
      </c>
      <c r="G36" s="5" t="s">
        <v>6</v>
      </c>
      <c r="H36" s="6">
        <v>575</v>
      </c>
    </row>
    <row r="37" spans="1:8" ht="20.100000000000001" customHeight="1" x14ac:dyDescent="0.25">
      <c r="A37" s="57"/>
      <c r="B37" s="2">
        <v>45876</v>
      </c>
      <c r="C37" s="3">
        <v>1337216738</v>
      </c>
      <c r="D37" s="3">
        <v>2</v>
      </c>
      <c r="E37" s="4" t="s">
        <v>907</v>
      </c>
      <c r="F37" s="4" t="s">
        <v>18</v>
      </c>
      <c r="G37" s="5" t="s">
        <v>19</v>
      </c>
      <c r="H37" s="6">
        <v>1150</v>
      </c>
    </row>
    <row r="38" spans="1:8" ht="20.100000000000001" customHeight="1" x14ac:dyDescent="0.25">
      <c r="A38" s="57"/>
      <c r="B38" s="2">
        <v>45880</v>
      </c>
      <c r="C38" s="3">
        <v>930893782</v>
      </c>
      <c r="D38" s="3">
        <v>1</v>
      </c>
      <c r="E38" s="4" t="s">
        <v>419</v>
      </c>
      <c r="F38" s="4" t="s">
        <v>18</v>
      </c>
      <c r="G38" s="5" t="s">
        <v>6</v>
      </c>
      <c r="H38" s="6">
        <v>575</v>
      </c>
    </row>
    <row r="39" spans="1:8" ht="20.100000000000001" customHeight="1" x14ac:dyDescent="0.25">
      <c r="A39" s="57"/>
      <c r="B39" s="2">
        <v>45880</v>
      </c>
      <c r="C39" s="3">
        <v>1858552049</v>
      </c>
      <c r="D39" s="3">
        <v>1</v>
      </c>
      <c r="E39" s="4" t="s">
        <v>908</v>
      </c>
      <c r="F39" s="4" t="s">
        <v>909</v>
      </c>
      <c r="G39" s="5" t="s">
        <v>6</v>
      </c>
      <c r="H39" s="6">
        <v>316</v>
      </c>
    </row>
    <row r="40" spans="1:8" ht="20.100000000000001" customHeight="1" x14ac:dyDescent="0.25">
      <c r="A40" s="57"/>
      <c r="B40" s="2">
        <v>45887</v>
      </c>
      <c r="C40" s="3">
        <v>2704034154</v>
      </c>
      <c r="D40" s="3">
        <v>1</v>
      </c>
      <c r="E40" s="4" t="s">
        <v>685</v>
      </c>
      <c r="F40" s="4" t="s">
        <v>18</v>
      </c>
      <c r="G40" s="5" t="s">
        <v>7</v>
      </c>
      <c r="H40" s="6">
        <v>575</v>
      </c>
    </row>
    <row r="41" spans="1:8" ht="20.100000000000001" customHeight="1" x14ac:dyDescent="0.25">
      <c r="A41" s="57"/>
      <c r="B41" s="2">
        <v>45891</v>
      </c>
      <c r="C41" s="3">
        <v>3683272990</v>
      </c>
      <c r="D41" s="3">
        <v>1</v>
      </c>
      <c r="E41" s="4" t="s">
        <v>910</v>
      </c>
      <c r="F41" s="4" t="s">
        <v>18</v>
      </c>
      <c r="G41" s="5" t="s">
        <v>6</v>
      </c>
      <c r="H41" s="6">
        <v>535</v>
      </c>
    </row>
    <row r="42" spans="1:8" ht="20.100000000000001" customHeight="1" x14ac:dyDescent="0.25">
      <c r="A42" s="57"/>
      <c r="B42" s="47">
        <v>45902</v>
      </c>
      <c r="C42" s="48">
        <v>3573565902</v>
      </c>
      <c r="D42" s="3">
        <v>6</v>
      </c>
      <c r="E42" s="28" t="s">
        <v>948</v>
      </c>
      <c r="F42" s="28" t="s">
        <v>163</v>
      </c>
      <c r="G42" s="49" t="s">
        <v>6</v>
      </c>
      <c r="H42" s="6">
        <v>3000</v>
      </c>
    </row>
    <row r="43" spans="1:8" ht="15.75" x14ac:dyDescent="0.25">
      <c r="A43" s="57"/>
      <c r="B43" s="47">
        <v>45925</v>
      </c>
      <c r="C43" s="48">
        <v>3626976055</v>
      </c>
      <c r="D43" s="3">
        <v>1</v>
      </c>
      <c r="E43" s="28" t="s">
        <v>786</v>
      </c>
      <c r="F43" s="28" t="s">
        <v>163</v>
      </c>
      <c r="G43" s="49" t="s">
        <v>19</v>
      </c>
      <c r="H43" s="6">
        <v>575</v>
      </c>
    </row>
    <row r="44" spans="1:8" ht="20.100000000000001" customHeight="1" x14ac:dyDescent="0.25">
      <c r="A44" s="57"/>
      <c r="B44" s="47">
        <v>45929</v>
      </c>
      <c r="C44" s="48">
        <v>3707128230</v>
      </c>
      <c r="D44" s="3">
        <v>1</v>
      </c>
      <c r="E44" s="28" t="s">
        <v>977</v>
      </c>
      <c r="F44" s="28" t="s">
        <v>163</v>
      </c>
      <c r="G44" s="49" t="s">
        <v>6</v>
      </c>
      <c r="H44" s="6">
        <v>575</v>
      </c>
    </row>
    <row r="45" spans="1:8" ht="20.100000000000001" customHeight="1" x14ac:dyDescent="0.25">
      <c r="A45" s="57"/>
      <c r="B45" s="47">
        <v>45932</v>
      </c>
      <c r="C45" s="48">
        <v>3727901272</v>
      </c>
      <c r="D45" s="3">
        <v>1</v>
      </c>
      <c r="E45" s="28" t="s">
        <v>860</v>
      </c>
      <c r="F45" s="28" t="s">
        <v>18</v>
      </c>
      <c r="G45" s="49" t="s">
        <v>19</v>
      </c>
      <c r="H45" s="6">
        <v>450</v>
      </c>
    </row>
    <row r="46" spans="1:8" ht="20.100000000000001" customHeight="1" x14ac:dyDescent="0.25">
      <c r="A46" s="57"/>
      <c r="B46" s="47">
        <v>45936</v>
      </c>
      <c r="C46" s="48">
        <v>3568780405</v>
      </c>
      <c r="D46" s="3">
        <v>5</v>
      </c>
      <c r="E46" s="28" t="s">
        <v>1025</v>
      </c>
      <c r="F46" s="28" t="s">
        <v>18</v>
      </c>
      <c r="G46" s="49" t="s">
        <v>7</v>
      </c>
      <c r="H46" s="6">
        <v>2012.5</v>
      </c>
    </row>
    <row r="47" spans="1:8" ht="20.100000000000001" customHeight="1" x14ac:dyDescent="0.25">
      <c r="A47" s="57"/>
      <c r="B47" s="47">
        <v>45939</v>
      </c>
      <c r="C47" s="48">
        <v>583483998</v>
      </c>
      <c r="D47" s="3">
        <v>1</v>
      </c>
      <c r="E47" s="28" t="s">
        <v>1031</v>
      </c>
      <c r="F47" s="28" t="s">
        <v>18</v>
      </c>
      <c r="G47" s="49" t="s">
        <v>7</v>
      </c>
      <c r="H47" s="6">
        <v>460</v>
      </c>
    </row>
    <row r="48" spans="1:8" ht="20.100000000000001" customHeight="1" x14ac:dyDescent="0.25">
      <c r="A48" s="57"/>
      <c r="B48" s="47">
        <v>45960</v>
      </c>
      <c r="C48" s="48">
        <v>640434698</v>
      </c>
      <c r="D48" s="3">
        <v>1</v>
      </c>
      <c r="E48" s="28" t="s">
        <v>1049</v>
      </c>
      <c r="F48" s="28" t="s">
        <v>18</v>
      </c>
      <c r="G48" s="49" t="s">
        <v>6</v>
      </c>
      <c r="H48" s="6">
        <v>575</v>
      </c>
    </row>
    <row r="49" spans="1:8" ht="20.100000000000001" customHeight="1" x14ac:dyDescent="0.25">
      <c r="A49" s="57"/>
      <c r="B49" s="47">
        <v>45964</v>
      </c>
      <c r="C49" s="48">
        <v>413355122</v>
      </c>
      <c r="D49" s="3">
        <v>1</v>
      </c>
      <c r="E49" s="28" t="s">
        <v>1083</v>
      </c>
      <c r="F49" s="28" t="s">
        <v>18</v>
      </c>
      <c r="G49" s="49" t="s">
        <v>6</v>
      </c>
      <c r="H49" s="6">
        <v>450</v>
      </c>
    </row>
    <row r="50" spans="1:8" ht="20.100000000000001" customHeight="1" x14ac:dyDescent="0.25">
      <c r="A50" s="57"/>
      <c r="B50" s="47">
        <v>45975</v>
      </c>
      <c r="C50" s="48">
        <v>1530285723</v>
      </c>
      <c r="D50" s="3">
        <v>1</v>
      </c>
      <c r="E50" s="28" t="s">
        <v>1132</v>
      </c>
      <c r="F50" s="28" t="s">
        <v>18</v>
      </c>
      <c r="G50" s="49" t="s">
        <v>19</v>
      </c>
      <c r="H50" s="6">
        <v>450</v>
      </c>
    </row>
    <row r="51" spans="1:8" ht="20.100000000000001" customHeight="1" x14ac:dyDescent="0.25">
      <c r="A51" s="57"/>
      <c r="B51" s="47">
        <v>45978</v>
      </c>
      <c r="C51" s="48">
        <v>2240565143</v>
      </c>
      <c r="D51" s="3">
        <v>1</v>
      </c>
      <c r="E51" s="28" t="s">
        <v>236</v>
      </c>
      <c r="F51" s="28" t="s">
        <v>18</v>
      </c>
      <c r="G51" s="49" t="s">
        <v>6</v>
      </c>
      <c r="H51" s="6">
        <v>575</v>
      </c>
    </row>
    <row r="52" spans="1:8" ht="20.100000000000001" customHeight="1" x14ac:dyDescent="0.25">
      <c r="A52" s="57"/>
      <c r="B52" s="47">
        <v>45988</v>
      </c>
      <c r="C52" s="48">
        <v>1744129854</v>
      </c>
      <c r="D52" s="3">
        <v>3</v>
      </c>
      <c r="E52" s="28" t="s">
        <v>55</v>
      </c>
      <c r="F52" s="28" t="s">
        <v>18</v>
      </c>
      <c r="G52" s="49" t="s">
        <v>11</v>
      </c>
      <c r="H52" s="6">
        <v>1207.5</v>
      </c>
    </row>
    <row r="53" spans="1:8" ht="20.100000000000001" customHeight="1" x14ac:dyDescent="0.25">
      <c r="A53" s="57"/>
      <c r="B53" s="47">
        <v>45992</v>
      </c>
      <c r="C53" s="48">
        <v>211962680</v>
      </c>
      <c r="D53" s="3">
        <v>1</v>
      </c>
      <c r="E53" s="28" t="s">
        <v>1248</v>
      </c>
      <c r="F53" s="28" t="s">
        <v>18</v>
      </c>
      <c r="G53" s="49" t="s">
        <v>6</v>
      </c>
      <c r="H53" s="6">
        <v>575</v>
      </c>
    </row>
    <row r="54" spans="1:8" ht="20.100000000000001" customHeight="1" x14ac:dyDescent="0.25">
      <c r="A54" s="57"/>
      <c r="B54" s="47">
        <v>45993</v>
      </c>
      <c r="C54" s="48">
        <v>4155264981</v>
      </c>
      <c r="D54" s="3">
        <v>4</v>
      </c>
      <c r="E54" s="28" t="s">
        <v>908</v>
      </c>
      <c r="F54" s="28" t="s">
        <v>18</v>
      </c>
      <c r="G54" s="49" t="s">
        <v>7</v>
      </c>
      <c r="H54" s="6">
        <v>1720</v>
      </c>
    </row>
    <row r="55" spans="1:8" ht="20.100000000000001" customHeight="1" x14ac:dyDescent="0.25">
      <c r="A55" s="57"/>
      <c r="B55" s="47">
        <v>46000</v>
      </c>
      <c r="C55" s="48">
        <v>507659682</v>
      </c>
      <c r="D55" s="3">
        <v>1</v>
      </c>
      <c r="E55" s="28" t="s">
        <v>797</v>
      </c>
      <c r="F55" s="28" t="s">
        <v>18</v>
      </c>
      <c r="G55" s="49" t="s">
        <v>6</v>
      </c>
      <c r="H55" s="6">
        <v>575</v>
      </c>
    </row>
    <row r="56" spans="1:8" ht="20.100000000000001" customHeight="1" x14ac:dyDescent="0.25">
      <c r="A56" s="57"/>
      <c r="B56" s="47">
        <v>46003</v>
      </c>
      <c r="C56" s="48">
        <v>1356284105</v>
      </c>
      <c r="D56" s="3">
        <v>1</v>
      </c>
      <c r="E56" s="28" t="s">
        <v>1142</v>
      </c>
      <c r="F56" s="28" t="s">
        <v>18</v>
      </c>
      <c r="G56" s="49" t="s">
        <v>19</v>
      </c>
      <c r="H56" s="6">
        <v>575</v>
      </c>
    </row>
    <row r="57" spans="1:8" ht="20.100000000000001" customHeight="1" x14ac:dyDescent="0.25">
      <c r="A57" s="57"/>
      <c r="B57" s="47">
        <v>46007</v>
      </c>
      <c r="C57" s="48">
        <v>3254863596</v>
      </c>
      <c r="D57" s="3">
        <v>1</v>
      </c>
      <c r="E57" s="28" t="s">
        <v>1249</v>
      </c>
      <c r="F57" s="28" t="s">
        <v>18</v>
      </c>
      <c r="G57" s="49" t="s">
        <v>6</v>
      </c>
      <c r="H57" s="6">
        <v>575</v>
      </c>
    </row>
    <row r="58" spans="1:8" ht="15.75" x14ac:dyDescent="0.25">
      <c r="A58" s="58"/>
      <c r="B58" s="13"/>
      <c r="C58" s="14"/>
      <c r="D58" s="14"/>
      <c r="E58" s="14" t="s">
        <v>5</v>
      </c>
      <c r="F58" s="15"/>
      <c r="G58" s="16"/>
      <c r="H58" s="23">
        <f>SUM(H3:H57)</f>
        <v>38735.5</v>
      </c>
    </row>
  </sheetData>
  <mergeCells count="7"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"/>
  <sheetViews>
    <sheetView workbookViewId="0">
      <selection sqref="A1:A4"/>
    </sheetView>
  </sheetViews>
  <sheetFormatPr baseColWidth="10" defaultColWidth="9.140625" defaultRowHeight="15" x14ac:dyDescent="0.25"/>
  <cols>
    <col min="1" max="1" width="12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4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20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74"/>
      <c r="B2" s="86"/>
      <c r="C2" s="88"/>
      <c r="D2" s="88"/>
      <c r="E2" s="88"/>
      <c r="F2" s="88"/>
      <c r="G2" s="82"/>
      <c r="H2" s="84"/>
    </row>
    <row r="3" spans="1:8" ht="20.100000000000001" customHeight="1" x14ac:dyDescent="0.25">
      <c r="A3" s="74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11">
        <v>0</v>
      </c>
    </row>
    <row r="4" spans="1:8" ht="15.75" x14ac:dyDescent="0.25">
      <c r="A4" s="75"/>
      <c r="B4" s="13"/>
      <c r="C4" s="14"/>
      <c r="D4" s="14"/>
      <c r="E4" s="14" t="s">
        <v>5</v>
      </c>
      <c r="F4" s="15"/>
      <c r="G4" s="16"/>
      <c r="H4" s="23">
        <f>SUM(H3:H3)</f>
        <v>0</v>
      </c>
    </row>
  </sheetData>
  <mergeCells count="7"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H52"/>
  <sheetViews>
    <sheetView workbookViewId="0">
      <pane ySplit="2" topLeftCell="A33" activePane="bottomLeft" state="frozen"/>
      <selection pane="bottomLeft" sqref="A1:A1048576"/>
    </sheetView>
  </sheetViews>
  <sheetFormatPr baseColWidth="10" defaultColWidth="9.140625" defaultRowHeight="15" x14ac:dyDescent="0.25"/>
  <cols>
    <col min="1" max="1" width="18.5703125" style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8.28515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21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74"/>
      <c r="B2" s="86"/>
      <c r="C2" s="88"/>
      <c r="D2" s="88"/>
      <c r="E2" s="88"/>
      <c r="F2" s="88"/>
      <c r="G2" s="82"/>
      <c r="H2" s="84"/>
    </row>
    <row r="3" spans="1:8" ht="20.100000000000001" customHeight="1" x14ac:dyDescent="0.25">
      <c r="A3" s="74"/>
      <c r="B3" s="2">
        <v>45681</v>
      </c>
      <c r="C3" s="3">
        <v>2742634699</v>
      </c>
      <c r="D3" s="3">
        <v>1</v>
      </c>
      <c r="E3" s="4" t="s">
        <v>135</v>
      </c>
      <c r="F3" s="19" t="s">
        <v>21</v>
      </c>
      <c r="G3" s="10" t="s">
        <v>6</v>
      </c>
      <c r="H3" s="11">
        <v>650</v>
      </c>
    </row>
    <row r="4" spans="1:8" ht="20.100000000000001" customHeight="1" x14ac:dyDescent="0.25">
      <c r="A4" s="74"/>
      <c r="B4" s="2">
        <v>45681</v>
      </c>
      <c r="C4" s="3">
        <v>3033219464</v>
      </c>
      <c r="D4" s="3">
        <v>1</v>
      </c>
      <c r="E4" s="4" t="s">
        <v>165</v>
      </c>
      <c r="F4" s="19" t="s">
        <v>21</v>
      </c>
      <c r="G4" s="10" t="s">
        <v>19</v>
      </c>
      <c r="H4" s="11">
        <v>650</v>
      </c>
    </row>
    <row r="5" spans="1:8" ht="20.100000000000001" customHeight="1" x14ac:dyDescent="0.25">
      <c r="A5" s="74"/>
      <c r="B5" s="2">
        <v>45684</v>
      </c>
      <c r="C5" s="3">
        <v>2389197170</v>
      </c>
      <c r="D5" s="3">
        <v>4</v>
      </c>
      <c r="E5" s="4" t="s">
        <v>136</v>
      </c>
      <c r="F5" s="19" t="s">
        <v>21</v>
      </c>
      <c r="G5" s="10" t="s">
        <v>7</v>
      </c>
      <c r="H5" s="11">
        <v>2250</v>
      </c>
    </row>
    <row r="6" spans="1:8" ht="20.100000000000001" customHeight="1" x14ac:dyDescent="0.25">
      <c r="A6" s="74"/>
      <c r="B6" s="2">
        <v>45684</v>
      </c>
      <c r="C6" s="3">
        <v>2389197170</v>
      </c>
      <c r="D6" s="3">
        <v>4</v>
      </c>
      <c r="E6" s="4" t="s">
        <v>99</v>
      </c>
      <c r="F6" s="19" t="s">
        <v>21</v>
      </c>
      <c r="G6" s="10" t="s">
        <v>7</v>
      </c>
      <c r="H6" s="11">
        <v>2250</v>
      </c>
    </row>
    <row r="7" spans="1:8" ht="20.100000000000001" customHeight="1" x14ac:dyDescent="0.25">
      <c r="A7" s="74"/>
      <c r="B7" s="2">
        <v>45698</v>
      </c>
      <c r="C7" s="3">
        <v>1166950413</v>
      </c>
      <c r="D7" s="3">
        <v>1</v>
      </c>
      <c r="E7" s="4" t="s">
        <v>279</v>
      </c>
      <c r="F7" s="19" t="s">
        <v>21</v>
      </c>
      <c r="G7" s="10" t="s">
        <v>10</v>
      </c>
      <c r="H7" s="11">
        <v>650</v>
      </c>
    </row>
    <row r="8" spans="1:8" ht="20.100000000000001" customHeight="1" x14ac:dyDescent="0.25">
      <c r="A8" s="74"/>
      <c r="B8" s="2">
        <v>45716</v>
      </c>
      <c r="C8" s="3">
        <v>1736196845</v>
      </c>
      <c r="D8" s="3">
        <v>1</v>
      </c>
      <c r="E8" s="4" t="s">
        <v>236</v>
      </c>
      <c r="F8" s="19" t="s">
        <v>21</v>
      </c>
      <c r="G8" s="10" t="s">
        <v>7</v>
      </c>
      <c r="H8" s="11">
        <v>834</v>
      </c>
    </row>
    <row r="9" spans="1:8" ht="20.100000000000001" customHeight="1" x14ac:dyDescent="0.25">
      <c r="A9" s="74"/>
      <c r="B9" s="2">
        <v>45721</v>
      </c>
      <c r="C9" s="3">
        <v>3428600099</v>
      </c>
      <c r="D9" s="3">
        <v>1</v>
      </c>
      <c r="E9" s="4" t="s">
        <v>374</v>
      </c>
      <c r="F9" s="19" t="s">
        <v>21</v>
      </c>
      <c r="G9" s="10" t="s">
        <v>7</v>
      </c>
      <c r="H9" s="11">
        <v>834</v>
      </c>
    </row>
    <row r="10" spans="1:8" ht="20.100000000000001" customHeight="1" x14ac:dyDescent="0.25">
      <c r="A10" s="74"/>
      <c r="B10" s="2">
        <v>45726</v>
      </c>
      <c r="C10" s="3">
        <v>96554752</v>
      </c>
      <c r="D10" s="3">
        <v>2</v>
      </c>
      <c r="E10" s="4" t="s">
        <v>376</v>
      </c>
      <c r="F10" s="19" t="s">
        <v>21</v>
      </c>
      <c r="G10" s="10" t="s">
        <v>7</v>
      </c>
      <c r="H10" s="11">
        <v>1100</v>
      </c>
    </row>
    <row r="11" spans="1:8" ht="20.100000000000001" customHeight="1" x14ac:dyDescent="0.25">
      <c r="A11" s="74"/>
      <c r="B11" s="2">
        <v>45748</v>
      </c>
      <c r="C11" s="3">
        <v>3571860187</v>
      </c>
      <c r="D11" s="3">
        <v>1</v>
      </c>
      <c r="E11" s="4" t="s">
        <v>547</v>
      </c>
      <c r="F11" s="19" t="s">
        <v>21</v>
      </c>
      <c r="G11" s="10" t="s">
        <v>6</v>
      </c>
      <c r="H11" s="11">
        <v>834</v>
      </c>
    </row>
    <row r="12" spans="1:8" ht="20.100000000000001" customHeight="1" x14ac:dyDescent="0.25">
      <c r="A12" s="74"/>
      <c r="B12" s="2">
        <v>45750</v>
      </c>
      <c r="C12" s="3">
        <v>1559382418</v>
      </c>
      <c r="D12" s="3">
        <v>1</v>
      </c>
      <c r="E12" s="4" t="s">
        <v>548</v>
      </c>
      <c r="F12" s="19" t="s">
        <v>21</v>
      </c>
      <c r="G12" s="10" t="s">
        <v>7</v>
      </c>
      <c r="H12" s="11">
        <v>650</v>
      </c>
    </row>
    <row r="13" spans="1:8" ht="20.100000000000001" customHeight="1" x14ac:dyDescent="0.25">
      <c r="A13" s="74"/>
      <c r="B13" s="2">
        <v>45758</v>
      </c>
      <c r="C13" s="3">
        <v>2297907006</v>
      </c>
      <c r="D13" s="3">
        <v>2</v>
      </c>
      <c r="E13" s="4" t="s">
        <v>84</v>
      </c>
      <c r="F13" s="19" t="s">
        <v>21</v>
      </c>
      <c r="G13" s="10" t="s">
        <v>19</v>
      </c>
      <c r="H13" s="11">
        <v>1668</v>
      </c>
    </row>
    <row r="14" spans="1:8" ht="20.100000000000001" customHeight="1" x14ac:dyDescent="0.25">
      <c r="A14" s="74"/>
      <c r="B14" s="2">
        <v>45768</v>
      </c>
      <c r="C14" s="3">
        <v>1752058383</v>
      </c>
      <c r="D14" s="3">
        <v>1</v>
      </c>
      <c r="E14" s="4" t="s">
        <v>305</v>
      </c>
      <c r="F14" s="19" t="s">
        <v>21</v>
      </c>
      <c r="G14" s="10" t="s">
        <v>6</v>
      </c>
      <c r="H14" s="11">
        <v>834</v>
      </c>
    </row>
    <row r="15" spans="1:8" ht="20.100000000000001" customHeight="1" x14ac:dyDescent="0.25">
      <c r="A15" s="74"/>
      <c r="B15" s="2">
        <v>45777</v>
      </c>
      <c r="C15" s="3">
        <v>1577668277</v>
      </c>
      <c r="D15" s="3">
        <v>1</v>
      </c>
      <c r="E15" s="4" t="s">
        <v>165</v>
      </c>
      <c r="F15" s="19" t="s">
        <v>21</v>
      </c>
      <c r="G15" s="10" t="s">
        <v>6</v>
      </c>
      <c r="H15" s="11">
        <v>650</v>
      </c>
    </row>
    <row r="16" spans="1:8" ht="20.100000000000001" customHeight="1" x14ac:dyDescent="0.25">
      <c r="A16" s="74"/>
      <c r="B16" s="2">
        <v>45782</v>
      </c>
      <c r="C16" s="3">
        <v>2760789435</v>
      </c>
      <c r="D16" s="3">
        <v>1</v>
      </c>
      <c r="E16" s="4" t="s">
        <v>659</v>
      </c>
      <c r="F16" s="19" t="s">
        <v>21</v>
      </c>
      <c r="G16" s="10" t="s">
        <v>7</v>
      </c>
      <c r="H16" s="11">
        <v>834</v>
      </c>
    </row>
    <row r="17" spans="1:8" ht="20.100000000000001" customHeight="1" x14ac:dyDescent="0.25">
      <c r="A17" s="74"/>
      <c r="B17" s="2">
        <v>45785</v>
      </c>
      <c r="C17" s="3">
        <v>3792585930</v>
      </c>
      <c r="D17" s="3">
        <v>2</v>
      </c>
      <c r="E17" s="4" t="s">
        <v>277</v>
      </c>
      <c r="F17" s="19" t="s">
        <v>21</v>
      </c>
      <c r="G17" s="10" t="s">
        <v>19</v>
      </c>
      <c r="H17" s="11">
        <v>1050</v>
      </c>
    </row>
    <row r="18" spans="1:8" ht="20.100000000000001" customHeight="1" x14ac:dyDescent="0.25">
      <c r="A18" s="74"/>
      <c r="B18" s="2">
        <v>45786</v>
      </c>
      <c r="C18" s="3">
        <v>3303624563</v>
      </c>
      <c r="D18" s="3">
        <v>1</v>
      </c>
      <c r="E18" s="4" t="s">
        <v>667</v>
      </c>
      <c r="F18" s="19" t="s">
        <v>21</v>
      </c>
      <c r="G18" s="10" t="s">
        <v>7</v>
      </c>
      <c r="H18" s="11">
        <v>650</v>
      </c>
    </row>
    <row r="19" spans="1:8" ht="20.100000000000001" customHeight="1" x14ac:dyDescent="0.25">
      <c r="A19" s="74"/>
      <c r="B19" s="2">
        <v>45792</v>
      </c>
      <c r="C19" s="3">
        <v>2435268973</v>
      </c>
      <c r="D19" s="3">
        <v>2</v>
      </c>
      <c r="E19" s="4" t="s">
        <v>668</v>
      </c>
      <c r="F19" s="19" t="s">
        <v>21</v>
      </c>
      <c r="G19" s="10" t="s">
        <v>7</v>
      </c>
      <c r="H19" s="11">
        <v>1751.4</v>
      </c>
    </row>
    <row r="20" spans="1:8" ht="20.100000000000001" customHeight="1" x14ac:dyDescent="0.25">
      <c r="A20" s="74"/>
      <c r="B20" s="2">
        <v>45792</v>
      </c>
      <c r="C20" s="3">
        <v>2158447726</v>
      </c>
      <c r="D20" s="3">
        <v>1</v>
      </c>
      <c r="E20" s="4" t="s">
        <v>600</v>
      </c>
      <c r="F20" s="19" t="s">
        <v>21</v>
      </c>
      <c r="G20" s="10" t="s">
        <v>6</v>
      </c>
      <c r="H20" s="11">
        <v>625</v>
      </c>
    </row>
    <row r="21" spans="1:8" ht="20.100000000000001" customHeight="1" x14ac:dyDescent="0.25">
      <c r="A21" s="74"/>
      <c r="B21" s="2">
        <v>45796</v>
      </c>
      <c r="C21" s="3">
        <v>2483439357</v>
      </c>
      <c r="D21" s="3">
        <v>1</v>
      </c>
      <c r="E21" s="4" t="s">
        <v>669</v>
      </c>
      <c r="F21" s="19" t="s">
        <v>21</v>
      </c>
      <c r="G21" s="10" t="s">
        <v>7</v>
      </c>
      <c r="H21" s="11">
        <v>583</v>
      </c>
    </row>
    <row r="22" spans="1:8" ht="20.100000000000001" customHeight="1" x14ac:dyDescent="0.25">
      <c r="A22" s="74"/>
      <c r="B22" s="2">
        <v>45797</v>
      </c>
      <c r="C22" s="3">
        <v>1859929537</v>
      </c>
      <c r="D22" s="3">
        <v>8</v>
      </c>
      <c r="E22" s="4" t="s">
        <v>670</v>
      </c>
      <c r="F22" s="19" t="s">
        <v>21</v>
      </c>
      <c r="G22" s="10" t="s">
        <v>7</v>
      </c>
      <c r="H22" s="11">
        <v>4400</v>
      </c>
    </row>
    <row r="23" spans="1:8" ht="20.100000000000001" customHeight="1" x14ac:dyDescent="0.25">
      <c r="A23" s="74"/>
      <c r="B23" s="2">
        <v>45798</v>
      </c>
      <c r="C23" s="3">
        <v>2939701038</v>
      </c>
      <c r="D23" s="3">
        <v>3</v>
      </c>
      <c r="E23" s="4" t="s">
        <v>467</v>
      </c>
      <c r="F23" s="19" t="s">
        <v>21</v>
      </c>
      <c r="G23" s="10" t="s">
        <v>6</v>
      </c>
      <c r="H23" s="11">
        <v>2499.9989999999998</v>
      </c>
    </row>
    <row r="24" spans="1:8" ht="20.100000000000001" customHeight="1" x14ac:dyDescent="0.25">
      <c r="A24" s="74"/>
      <c r="B24" s="2">
        <v>45810</v>
      </c>
      <c r="C24" s="3">
        <v>2596618281</v>
      </c>
      <c r="D24" s="3">
        <v>1</v>
      </c>
      <c r="E24" s="4" t="s">
        <v>305</v>
      </c>
      <c r="F24" s="19" t="s">
        <v>21</v>
      </c>
      <c r="G24" s="10" t="s">
        <v>6</v>
      </c>
      <c r="H24" s="11">
        <v>834</v>
      </c>
    </row>
    <row r="25" spans="1:8" ht="20.100000000000001" customHeight="1" x14ac:dyDescent="0.25">
      <c r="A25" s="74"/>
      <c r="B25" s="2">
        <v>45814</v>
      </c>
      <c r="C25" s="3">
        <v>1258833957</v>
      </c>
      <c r="D25" s="3">
        <v>2</v>
      </c>
      <c r="E25" s="4" t="s">
        <v>628</v>
      </c>
      <c r="F25" s="19" t="s">
        <v>21</v>
      </c>
      <c r="G25" s="10" t="s">
        <v>10</v>
      </c>
      <c r="H25" s="11">
        <v>1200</v>
      </c>
    </row>
    <row r="26" spans="1:8" ht="20.100000000000001" customHeight="1" x14ac:dyDescent="0.25">
      <c r="A26" s="74"/>
      <c r="B26" s="2">
        <v>45825</v>
      </c>
      <c r="C26" s="3">
        <v>4073607112</v>
      </c>
      <c r="D26" s="3">
        <v>1</v>
      </c>
      <c r="E26" s="4" t="s">
        <v>671</v>
      </c>
      <c r="F26" s="19" t="s">
        <v>21</v>
      </c>
      <c r="G26" s="10" t="s">
        <v>11</v>
      </c>
      <c r="H26" s="11">
        <v>500</v>
      </c>
    </row>
    <row r="27" spans="1:8" ht="20.100000000000001" customHeight="1" x14ac:dyDescent="0.25">
      <c r="A27" s="74"/>
      <c r="B27" s="2">
        <v>45826</v>
      </c>
      <c r="C27" s="3">
        <v>2655145962</v>
      </c>
      <c r="D27" s="3">
        <v>2</v>
      </c>
      <c r="E27" s="4" t="s">
        <v>657</v>
      </c>
      <c r="F27" s="19" t="s">
        <v>21</v>
      </c>
      <c r="G27" s="10" t="s">
        <v>19</v>
      </c>
      <c r="H27" s="11">
        <v>1166.98</v>
      </c>
    </row>
    <row r="28" spans="1:8" ht="20.100000000000001" customHeight="1" x14ac:dyDescent="0.25">
      <c r="A28" s="74"/>
      <c r="B28" s="2">
        <v>45847</v>
      </c>
      <c r="C28" s="3">
        <v>1718963175</v>
      </c>
      <c r="D28" s="3">
        <v>2</v>
      </c>
      <c r="E28" s="4" t="s">
        <v>786</v>
      </c>
      <c r="F28" s="19" t="s">
        <v>21</v>
      </c>
      <c r="G28" s="10" t="s">
        <v>6</v>
      </c>
      <c r="H28" s="11">
        <v>1050</v>
      </c>
    </row>
    <row r="29" spans="1:8" ht="20.100000000000001" customHeight="1" x14ac:dyDescent="0.25">
      <c r="A29" s="74"/>
      <c r="B29" s="2">
        <v>45848</v>
      </c>
      <c r="C29" s="3">
        <v>3101773139</v>
      </c>
      <c r="D29" s="3">
        <v>1</v>
      </c>
      <c r="E29" s="4" t="s">
        <v>305</v>
      </c>
      <c r="F29" s="19" t="s">
        <v>21</v>
      </c>
      <c r="G29" s="10" t="s">
        <v>6</v>
      </c>
      <c r="H29" s="11">
        <v>834</v>
      </c>
    </row>
    <row r="30" spans="1:8" ht="20.100000000000001" customHeight="1" x14ac:dyDescent="0.25">
      <c r="A30" s="74"/>
      <c r="B30" s="2">
        <v>45852</v>
      </c>
      <c r="C30" s="3">
        <v>2158839066</v>
      </c>
      <c r="D30" s="3">
        <v>1</v>
      </c>
      <c r="E30" s="4" t="s">
        <v>787</v>
      </c>
      <c r="F30" s="19" t="s">
        <v>21</v>
      </c>
      <c r="G30" s="10" t="s">
        <v>19</v>
      </c>
      <c r="H30" s="11">
        <v>525</v>
      </c>
    </row>
    <row r="31" spans="1:8" ht="20.100000000000001" customHeight="1" x14ac:dyDescent="0.25">
      <c r="A31" s="74"/>
      <c r="B31" s="2">
        <v>45861</v>
      </c>
      <c r="C31" s="3">
        <v>3520873141</v>
      </c>
      <c r="D31" s="3">
        <v>1</v>
      </c>
      <c r="E31" s="4" t="s">
        <v>787</v>
      </c>
      <c r="F31" s="19" t="s">
        <v>21</v>
      </c>
      <c r="G31" s="10" t="s">
        <v>19</v>
      </c>
      <c r="H31" s="11">
        <v>525</v>
      </c>
    </row>
    <row r="32" spans="1:8" ht="20.100000000000001" customHeight="1" x14ac:dyDescent="0.25">
      <c r="A32" s="74"/>
      <c r="B32" s="2">
        <v>45873</v>
      </c>
      <c r="C32" s="3">
        <v>884951416</v>
      </c>
      <c r="D32" s="3">
        <v>1</v>
      </c>
      <c r="E32" s="4" t="s">
        <v>296</v>
      </c>
      <c r="F32" s="4" t="s">
        <v>21</v>
      </c>
      <c r="G32" s="5" t="s">
        <v>6</v>
      </c>
      <c r="H32" s="6">
        <v>834</v>
      </c>
    </row>
    <row r="33" spans="1:8" ht="20.100000000000001" customHeight="1" x14ac:dyDescent="0.25">
      <c r="A33" s="74"/>
      <c r="B33" s="2">
        <v>45875</v>
      </c>
      <c r="C33" s="3">
        <v>2324776126</v>
      </c>
      <c r="D33" s="3">
        <v>1</v>
      </c>
      <c r="E33" s="4" t="s">
        <v>911</v>
      </c>
      <c r="F33" s="4" t="s">
        <v>21</v>
      </c>
      <c r="G33" s="5" t="s">
        <v>19</v>
      </c>
      <c r="H33" s="6">
        <v>834</v>
      </c>
    </row>
    <row r="34" spans="1:8" ht="20.100000000000001" customHeight="1" x14ac:dyDescent="0.25">
      <c r="A34" s="74"/>
      <c r="B34" s="2">
        <v>45876</v>
      </c>
      <c r="C34" s="3">
        <v>1337216738</v>
      </c>
      <c r="D34" s="3">
        <v>1</v>
      </c>
      <c r="E34" s="4" t="s">
        <v>907</v>
      </c>
      <c r="F34" s="4" t="s">
        <v>21</v>
      </c>
      <c r="G34" s="5" t="s">
        <v>19</v>
      </c>
      <c r="H34" s="6">
        <v>834</v>
      </c>
    </row>
    <row r="35" spans="1:8" ht="20.100000000000001" customHeight="1" x14ac:dyDescent="0.25">
      <c r="A35" s="74"/>
      <c r="B35" s="2">
        <v>45881</v>
      </c>
      <c r="C35" s="3">
        <v>2247052734</v>
      </c>
      <c r="D35" s="3">
        <v>1</v>
      </c>
      <c r="E35" s="4" t="s">
        <v>912</v>
      </c>
      <c r="F35" s="4" t="s">
        <v>21</v>
      </c>
      <c r="G35" s="5" t="s">
        <v>10</v>
      </c>
      <c r="H35" s="6">
        <v>834</v>
      </c>
    </row>
    <row r="36" spans="1:8" ht="20.100000000000001" customHeight="1" x14ac:dyDescent="0.25">
      <c r="A36" s="74"/>
      <c r="B36" s="2">
        <v>45883</v>
      </c>
      <c r="C36" s="3">
        <v>1468154605</v>
      </c>
      <c r="D36" s="3">
        <v>1</v>
      </c>
      <c r="E36" s="4" t="s">
        <v>913</v>
      </c>
      <c r="F36" s="4" t="s">
        <v>21</v>
      </c>
      <c r="G36" s="5" t="s">
        <v>6</v>
      </c>
      <c r="H36" s="6">
        <v>834</v>
      </c>
    </row>
    <row r="37" spans="1:8" ht="20.100000000000001" customHeight="1" x14ac:dyDescent="0.25">
      <c r="A37" s="74"/>
      <c r="B37" s="2">
        <v>45887</v>
      </c>
      <c r="C37" s="3">
        <v>2704034154</v>
      </c>
      <c r="D37" s="3">
        <v>1</v>
      </c>
      <c r="E37" s="4" t="s">
        <v>685</v>
      </c>
      <c r="F37" s="4" t="s">
        <v>21</v>
      </c>
      <c r="G37" s="5" t="s">
        <v>7</v>
      </c>
      <c r="H37" s="6">
        <v>834</v>
      </c>
    </row>
    <row r="38" spans="1:8" ht="20.100000000000001" customHeight="1" x14ac:dyDescent="0.25">
      <c r="A38" s="74"/>
      <c r="B38" s="47">
        <v>45943</v>
      </c>
      <c r="C38" s="48">
        <v>1347504398</v>
      </c>
      <c r="D38" s="3">
        <v>1</v>
      </c>
      <c r="E38" s="28" t="s">
        <v>1050</v>
      </c>
      <c r="F38" s="28" t="s">
        <v>21</v>
      </c>
      <c r="G38" s="49" t="s">
        <v>7</v>
      </c>
      <c r="H38" s="6">
        <v>834</v>
      </c>
    </row>
    <row r="39" spans="1:8" ht="20.100000000000001" customHeight="1" x14ac:dyDescent="0.25">
      <c r="A39" s="74"/>
      <c r="B39" s="47">
        <v>45952</v>
      </c>
      <c r="C39" s="48">
        <v>2845983454</v>
      </c>
      <c r="D39" s="3">
        <v>1</v>
      </c>
      <c r="E39" s="28" t="s">
        <v>1051</v>
      </c>
      <c r="F39" s="28" t="s">
        <v>21</v>
      </c>
      <c r="G39" s="49" t="s">
        <v>11</v>
      </c>
      <c r="H39" s="6">
        <v>840</v>
      </c>
    </row>
    <row r="40" spans="1:8" ht="20.100000000000001" customHeight="1" x14ac:dyDescent="0.25">
      <c r="A40" s="74"/>
      <c r="B40" s="47">
        <v>45957</v>
      </c>
      <c r="C40" s="48">
        <v>2969782626</v>
      </c>
      <c r="D40" s="3">
        <v>6</v>
      </c>
      <c r="E40" s="28" t="s">
        <v>1052</v>
      </c>
      <c r="F40" s="28" t="s">
        <v>21</v>
      </c>
      <c r="G40" s="49" t="s">
        <v>7</v>
      </c>
      <c r="H40" s="6">
        <v>3000</v>
      </c>
    </row>
    <row r="41" spans="1:8" ht="20.100000000000001" customHeight="1" x14ac:dyDescent="0.25">
      <c r="A41" s="74"/>
      <c r="B41" s="47">
        <v>45966</v>
      </c>
      <c r="C41" s="48">
        <v>2855552957</v>
      </c>
      <c r="D41" s="3">
        <v>1</v>
      </c>
      <c r="E41" s="28" t="s">
        <v>1133</v>
      </c>
      <c r="F41" s="28" t="s">
        <v>21</v>
      </c>
      <c r="G41" s="49" t="s">
        <v>7</v>
      </c>
      <c r="H41" s="6">
        <v>550</v>
      </c>
    </row>
    <row r="42" spans="1:8" ht="20.100000000000001" customHeight="1" x14ac:dyDescent="0.25">
      <c r="A42" s="74"/>
      <c r="B42" s="47">
        <v>45968</v>
      </c>
      <c r="C42" s="48">
        <v>791233000</v>
      </c>
      <c r="D42" s="3">
        <v>1</v>
      </c>
      <c r="E42" s="28" t="s">
        <v>921</v>
      </c>
      <c r="F42" s="28" t="s">
        <v>21</v>
      </c>
      <c r="G42" s="49" t="s">
        <v>6</v>
      </c>
      <c r="H42" s="6">
        <v>580</v>
      </c>
    </row>
    <row r="43" spans="1:8" ht="20.100000000000001" customHeight="1" x14ac:dyDescent="0.25">
      <c r="A43" s="74"/>
      <c r="B43" s="47">
        <v>45971</v>
      </c>
      <c r="C43" s="48">
        <v>173362793</v>
      </c>
      <c r="D43" s="3">
        <v>1</v>
      </c>
      <c r="E43" s="28" t="s">
        <v>437</v>
      </c>
      <c r="F43" s="28" t="s">
        <v>21</v>
      </c>
      <c r="G43" s="49" t="s">
        <v>6</v>
      </c>
      <c r="H43" s="6">
        <v>625</v>
      </c>
    </row>
    <row r="44" spans="1:8" ht="20.100000000000001" customHeight="1" x14ac:dyDescent="0.25">
      <c r="A44" s="74"/>
      <c r="B44" s="47">
        <v>45972</v>
      </c>
      <c r="C44" s="48">
        <v>3461500728</v>
      </c>
      <c r="D44" s="3">
        <v>4</v>
      </c>
      <c r="E44" s="28" t="s">
        <v>911</v>
      </c>
      <c r="F44" s="28" t="s">
        <v>21</v>
      </c>
      <c r="G44" s="49" t="s">
        <v>19</v>
      </c>
      <c r="H44" s="6">
        <v>2250</v>
      </c>
    </row>
    <row r="45" spans="1:8" ht="20.100000000000001" customHeight="1" x14ac:dyDescent="0.25">
      <c r="A45" s="74"/>
      <c r="B45" s="47">
        <v>45975</v>
      </c>
      <c r="C45" s="48">
        <v>1530285723</v>
      </c>
      <c r="D45" s="3">
        <v>1</v>
      </c>
      <c r="E45" s="28" t="s">
        <v>671</v>
      </c>
      <c r="F45" s="28" t="s">
        <v>21</v>
      </c>
      <c r="G45" s="49" t="s">
        <v>6</v>
      </c>
      <c r="H45" s="6">
        <v>650</v>
      </c>
    </row>
    <row r="46" spans="1:8" ht="20.100000000000001" customHeight="1" x14ac:dyDescent="0.25">
      <c r="A46" s="74"/>
      <c r="B46" s="47">
        <v>45981</v>
      </c>
      <c r="C46" s="48">
        <v>2465284355</v>
      </c>
      <c r="D46" s="3">
        <v>5</v>
      </c>
      <c r="E46" s="28" t="s">
        <v>1134</v>
      </c>
      <c r="F46" s="28" t="s">
        <v>21</v>
      </c>
      <c r="G46" s="49" t="s">
        <v>19</v>
      </c>
      <c r="H46" s="6">
        <v>3165</v>
      </c>
    </row>
    <row r="47" spans="1:8" ht="20.100000000000001" customHeight="1" x14ac:dyDescent="0.25">
      <c r="A47" s="74"/>
      <c r="B47" s="47">
        <v>45981</v>
      </c>
      <c r="C47" s="48">
        <v>2465284355</v>
      </c>
      <c r="D47" s="3">
        <v>1</v>
      </c>
      <c r="E47" s="28" t="s">
        <v>1134</v>
      </c>
      <c r="F47" s="28" t="s">
        <v>21</v>
      </c>
      <c r="G47" s="49" t="s">
        <v>19</v>
      </c>
      <c r="H47" s="6">
        <v>635</v>
      </c>
    </row>
    <row r="48" spans="1:8" ht="20.100000000000001" customHeight="1" x14ac:dyDescent="0.25">
      <c r="A48" s="74"/>
      <c r="B48" s="47">
        <v>45989</v>
      </c>
      <c r="C48" s="48">
        <v>4084286386</v>
      </c>
      <c r="D48" s="3">
        <v>3</v>
      </c>
      <c r="E48" s="28" t="s">
        <v>129</v>
      </c>
      <c r="F48" s="28" t="s">
        <v>21</v>
      </c>
      <c r="G48" s="49" t="s">
        <v>6</v>
      </c>
      <c r="H48" s="6">
        <v>1650</v>
      </c>
    </row>
    <row r="49" spans="1:8" ht="20.100000000000001" customHeight="1" x14ac:dyDescent="0.25">
      <c r="A49" s="74"/>
      <c r="B49" s="47">
        <v>45989</v>
      </c>
      <c r="C49" s="48">
        <v>4084286386</v>
      </c>
      <c r="D49" s="3">
        <v>3</v>
      </c>
      <c r="E49" s="28" t="s">
        <v>169</v>
      </c>
      <c r="F49" s="28" t="s">
        <v>21</v>
      </c>
      <c r="G49" s="49" t="s">
        <v>6</v>
      </c>
      <c r="H49" s="6">
        <v>1650</v>
      </c>
    </row>
    <row r="50" spans="1:8" ht="20.100000000000001" customHeight="1" x14ac:dyDescent="0.25">
      <c r="A50" s="74"/>
      <c r="B50" s="47">
        <v>45989</v>
      </c>
      <c r="C50" s="48">
        <v>1100563259</v>
      </c>
      <c r="D50" s="3">
        <v>2</v>
      </c>
      <c r="E50" s="28" t="s">
        <v>1135</v>
      </c>
      <c r="F50" s="28" t="s">
        <v>21</v>
      </c>
      <c r="G50" s="49" t="s">
        <v>6</v>
      </c>
      <c r="H50" s="6">
        <v>1100</v>
      </c>
    </row>
    <row r="51" spans="1:8" ht="20.100000000000001" customHeight="1" x14ac:dyDescent="0.25">
      <c r="A51" s="74"/>
      <c r="B51" s="47">
        <v>46006</v>
      </c>
      <c r="C51" s="48">
        <v>2591705163</v>
      </c>
      <c r="D51" s="3">
        <v>2</v>
      </c>
      <c r="E51" s="28" t="s">
        <v>548</v>
      </c>
      <c r="F51" s="28" t="s">
        <v>21</v>
      </c>
      <c r="G51" s="49" t="s">
        <v>6</v>
      </c>
      <c r="H51" s="6">
        <v>1334</v>
      </c>
    </row>
    <row r="52" spans="1:8" ht="15.75" x14ac:dyDescent="0.25">
      <c r="A52" s="75"/>
      <c r="B52" s="13"/>
      <c r="C52" s="14"/>
      <c r="D52" s="14"/>
      <c r="E52" s="14" t="s">
        <v>5</v>
      </c>
      <c r="F52" s="15"/>
      <c r="G52" s="16"/>
      <c r="H52" s="23">
        <f>SUM(H3:H51)</f>
        <v>56749.379000000001</v>
      </c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H5"/>
  <sheetViews>
    <sheetView workbookViewId="0">
      <selection sqref="A1:A5"/>
    </sheetView>
  </sheetViews>
  <sheetFormatPr baseColWidth="10" defaultColWidth="9.140625" defaultRowHeight="15" x14ac:dyDescent="0.25"/>
  <cols>
    <col min="1" max="1" width="18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5.71093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22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74"/>
      <c r="B2" s="86"/>
      <c r="C2" s="88"/>
      <c r="D2" s="88"/>
      <c r="E2" s="88"/>
      <c r="F2" s="88"/>
      <c r="G2" s="82"/>
      <c r="H2" s="84"/>
    </row>
    <row r="3" spans="1:8" ht="20.100000000000001" customHeight="1" x14ac:dyDescent="0.25">
      <c r="A3" s="74"/>
      <c r="B3" s="47">
        <v>45947</v>
      </c>
      <c r="C3" s="48">
        <v>4241509226</v>
      </c>
      <c r="D3" s="3">
        <v>1</v>
      </c>
      <c r="E3" s="28" t="s">
        <v>1053</v>
      </c>
      <c r="F3" s="28" t="s">
        <v>1054</v>
      </c>
      <c r="G3" s="49" t="s">
        <v>10</v>
      </c>
      <c r="H3" s="6">
        <v>950</v>
      </c>
    </row>
    <row r="4" spans="1:8" ht="20.100000000000001" customHeight="1" x14ac:dyDescent="0.25">
      <c r="A4" s="74"/>
      <c r="B4" s="47">
        <v>45965</v>
      </c>
      <c r="C4" s="48">
        <v>3854256230</v>
      </c>
      <c r="D4" s="3">
        <v>1</v>
      </c>
      <c r="E4" s="28" t="s">
        <v>241</v>
      </c>
      <c r="F4" s="28" t="s">
        <v>1054</v>
      </c>
      <c r="G4" s="49" t="s">
        <v>19</v>
      </c>
      <c r="H4" s="6">
        <v>950</v>
      </c>
    </row>
    <row r="5" spans="1:8" ht="15.75" x14ac:dyDescent="0.25">
      <c r="A5" s="75"/>
      <c r="B5" s="13"/>
      <c r="C5" s="14"/>
      <c r="D5" s="14"/>
      <c r="E5" s="14" t="s">
        <v>5</v>
      </c>
      <c r="F5" s="15"/>
      <c r="G5" s="16"/>
      <c r="H5" s="23">
        <f>SUM(H3:H4)</f>
        <v>1900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/>
  <dimension ref="A1:H32"/>
  <sheetViews>
    <sheetView workbookViewId="0">
      <pane ySplit="2" topLeftCell="A12" activePane="bottomLeft" state="frozen"/>
      <selection pane="bottomLeft" activeCell="F53" sqref="F53"/>
    </sheetView>
  </sheetViews>
  <sheetFormatPr baseColWidth="10" defaultColWidth="9.140625" defaultRowHeight="15" x14ac:dyDescent="0.25"/>
  <cols>
    <col min="1" max="1" width="18.140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0.42578125" style="25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6" t="s">
        <v>23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57"/>
      <c r="B2" s="86"/>
      <c r="C2" s="88"/>
      <c r="D2" s="88"/>
      <c r="E2" s="88"/>
      <c r="F2" s="88"/>
      <c r="G2" s="82"/>
      <c r="H2" s="84"/>
    </row>
    <row r="3" spans="1:8" ht="20.100000000000001" customHeight="1" x14ac:dyDescent="0.25">
      <c r="A3" s="57"/>
      <c r="B3" s="2">
        <v>45664</v>
      </c>
      <c r="C3" s="3">
        <v>220520352</v>
      </c>
      <c r="D3" s="3">
        <v>1</v>
      </c>
      <c r="E3" s="4" t="s">
        <v>145</v>
      </c>
      <c r="F3" s="19" t="s">
        <v>23</v>
      </c>
      <c r="G3" s="10" t="s">
        <v>6</v>
      </c>
      <c r="H3" s="11">
        <v>200</v>
      </c>
    </row>
    <row r="4" spans="1:8" ht="20.100000000000001" customHeight="1" x14ac:dyDescent="0.25">
      <c r="A4" s="57"/>
      <c r="B4" s="2">
        <v>45672</v>
      </c>
      <c r="C4" s="3">
        <v>45565309</v>
      </c>
      <c r="D4" s="3">
        <v>2</v>
      </c>
      <c r="E4" s="4" t="s">
        <v>166</v>
      </c>
      <c r="F4" s="19" t="s">
        <v>117</v>
      </c>
      <c r="G4" s="10" t="s">
        <v>7</v>
      </c>
      <c r="H4" s="11">
        <v>300</v>
      </c>
    </row>
    <row r="5" spans="1:8" ht="20.100000000000001" customHeight="1" x14ac:dyDescent="0.25">
      <c r="A5" s="57"/>
      <c r="B5" s="2">
        <v>45691</v>
      </c>
      <c r="C5" s="3">
        <v>421675310</v>
      </c>
      <c r="D5" s="3">
        <v>4</v>
      </c>
      <c r="E5" s="4" t="s">
        <v>252</v>
      </c>
      <c r="F5" s="19" t="s">
        <v>23</v>
      </c>
      <c r="G5" s="10" t="s">
        <v>7</v>
      </c>
      <c r="H5" s="11">
        <v>800</v>
      </c>
    </row>
    <row r="6" spans="1:8" ht="20.100000000000001" customHeight="1" x14ac:dyDescent="0.25">
      <c r="A6" s="57"/>
      <c r="B6" s="2">
        <v>45747</v>
      </c>
      <c r="C6" s="3">
        <v>333070738</v>
      </c>
      <c r="D6" s="3">
        <v>5</v>
      </c>
      <c r="E6" s="4" t="s">
        <v>378</v>
      </c>
      <c r="F6" s="4" t="s">
        <v>23</v>
      </c>
      <c r="G6" s="5" t="s">
        <v>7</v>
      </c>
      <c r="H6" s="6">
        <v>1000</v>
      </c>
    </row>
    <row r="7" spans="1:8" ht="20.100000000000001" customHeight="1" x14ac:dyDescent="0.25">
      <c r="A7" s="57"/>
      <c r="B7" s="2">
        <v>45747</v>
      </c>
      <c r="C7" s="3">
        <v>333070738</v>
      </c>
      <c r="D7" s="3">
        <v>5</v>
      </c>
      <c r="E7" s="4" t="s">
        <v>379</v>
      </c>
      <c r="F7" s="4" t="s">
        <v>23</v>
      </c>
      <c r="G7" s="5" t="s">
        <v>6</v>
      </c>
      <c r="H7" s="6">
        <v>1000</v>
      </c>
    </row>
    <row r="8" spans="1:8" ht="20.100000000000001" customHeight="1" x14ac:dyDescent="0.25">
      <c r="A8" s="57"/>
      <c r="B8" s="2">
        <v>45748</v>
      </c>
      <c r="C8" s="3">
        <v>1214269070</v>
      </c>
      <c r="D8" s="3">
        <v>2</v>
      </c>
      <c r="E8" s="4" t="s">
        <v>145</v>
      </c>
      <c r="F8" s="4" t="s">
        <v>23</v>
      </c>
      <c r="G8" s="5" t="s">
        <v>11</v>
      </c>
      <c r="H8" s="6">
        <v>400</v>
      </c>
    </row>
    <row r="9" spans="1:8" ht="20.100000000000001" customHeight="1" x14ac:dyDescent="0.25">
      <c r="A9" s="57"/>
      <c r="B9" s="2">
        <v>45755</v>
      </c>
      <c r="C9" s="3">
        <v>312623192</v>
      </c>
      <c r="D9" s="3">
        <v>4</v>
      </c>
      <c r="E9" s="4" t="s">
        <v>549</v>
      </c>
      <c r="F9" s="4" t="s">
        <v>23</v>
      </c>
      <c r="G9" s="5" t="s">
        <v>6</v>
      </c>
      <c r="H9" s="6">
        <v>800</v>
      </c>
    </row>
    <row r="10" spans="1:8" ht="20.100000000000001" customHeight="1" x14ac:dyDescent="0.25">
      <c r="A10" s="57"/>
      <c r="B10" s="2">
        <v>45756</v>
      </c>
      <c r="C10" s="3">
        <v>415777700</v>
      </c>
      <c r="D10" s="3">
        <v>8</v>
      </c>
      <c r="E10" s="4" t="s">
        <v>532</v>
      </c>
      <c r="F10" s="4" t="s">
        <v>23</v>
      </c>
      <c r="G10" s="5" t="s">
        <v>7</v>
      </c>
      <c r="H10" s="6">
        <v>2000</v>
      </c>
    </row>
    <row r="11" spans="1:8" ht="20.100000000000001" customHeight="1" x14ac:dyDescent="0.25">
      <c r="A11" s="57"/>
      <c r="B11" s="2">
        <v>45758</v>
      </c>
      <c r="C11" s="3">
        <v>102387171</v>
      </c>
      <c r="D11" s="3">
        <v>1</v>
      </c>
      <c r="E11" s="4" t="s">
        <v>145</v>
      </c>
      <c r="F11" s="4" t="s">
        <v>23</v>
      </c>
      <c r="G11" s="5" t="s">
        <v>11</v>
      </c>
      <c r="H11" s="6">
        <v>200</v>
      </c>
    </row>
    <row r="12" spans="1:8" ht="20.100000000000001" customHeight="1" x14ac:dyDescent="0.25">
      <c r="A12" s="57"/>
      <c r="B12" s="2">
        <v>45796</v>
      </c>
      <c r="C12" s="3">
        <v>2963359813</v>
      </c>
      <c r="D12" s="3">
        <v>10</v>
      </c>
      <c r="E12" s="4" t="s">
        <v>672</v>
      </c>
      <c r="F12" s="4" t="s">
        <v>23</v>
      </c>
      <c r="G12" s="5" t="s">
        <v>6</v>
      </c>
      <c r="H12" s="6">
        <v>2000</v>
      </c>
    </row>
    <row r="13" spans="1:8" ht="20.100000000000001" customHeight="1" x14ac:dyDescent="0.25">
      <c r="A13" s="57"/>
      <c r="B13" s="2">
        <v>45800</v>
      </c>
      <c r="C13" s="3">
        <v>1507804806</v>
      </c>
      <c r="D13" s="3">
        <v>10</v>
      </c>
      <c r="E13" s="4" t="s">
        <v>577</v>
      </c>
      <c r="F13" s="4" t="s">
        <v>23</v>
      </c>
      <c r="G13" s="5" t="s">
        <v>7</v>
      </c>
      <c r="H13" s="6">
        <v>2000</v>
      </c>
    </row>
    <row r="14" spans="1:8" ht="20.100000000000001" customHeight="1" x14ac:dyDescent="0.25">
      <c r="A14" s="57"/>
      <c r="B14" s="2">
        <v>45806</v>
      </c>
      <c r="C14" s="3">
        <v>273435800</v>
      </c>
      <c r="D14" s="3">
        <v>5</v>
      </c>
      <c r="E14" s="4" t="s">
        <v>673</v>
      </c>
      <c r="F14" s="4" t="s">
        <v>23</v>
      </c>
      <c r="G14" s="5" t="s">
        <v>11</v>
      </c>
      <c r="H14" s="6">
        <v>1000</v>
      </c>
    </row>
    <row r="15" spans="1:8" ht="20.100000000000001" customHeight="1" x14ac:dyDescent="0.25">
      <c r="A15" s="57"/>
      <c r="B15" s="2">
        <v>45824</v>
      </c>
      <c r="C15" s="3">
        <v>40058976</v>
      </c>
      <c r="D15" s="3">
        <v>1</v>
      </c>
      <c r="E15" s="4" t="s">
        <v>145</v>
      </c>
      <c r="F15" s="4" t="s">
        <v>674</v>
      </c>
      <c r="G15" s="5" t="s">
        <v>11</v>
      </c>
      <c r="H15" s="6">
        <v>100</v>
      </c>
    </row>
    <row r="16" spans="1:8" ht="20.100000000000001" customHeight="1" x14ac:dyDescent="0.25">
      <c r="A16" s="57"/>
      <c r="B16" s="2">
        <v>45824</v>
      </c>
      <c r="C16" s="3">
        <v>40058976</v>
      </c>
      <c r="D16" s="3">
        <v>2</v>
      </c>
      <c r="E16" s="4" t="s">
        <v>145</v>
      </c>
      <c r="F16" s="4" t="s">
        <v>675</v>
      </c>
      <c r="G16" s="5" t="s">
        <v>6</v>
      </c>
      <c r="H16" s="6">
        <v>300</v>
      </c>
    </row>
    <row r="17" spans="1:8" ht="20.100000000000001" customHeight="1" x14ac:dyDescent="0.25">
      <c r="A17" s="57"/>
      <c r="B17" s="2">
        <v>45825</v>
      </c>
      <c r="C17" s="3">
        <v>388968991</v>
      </c>
      <c r="D17" s="3">
        <v>10</v>
      </c>
      <c r="E17" s="4" t="s">
        <v>676</v>
      </c>
      <c r="F17" s="4" t="s">
        <v>23</v>
      </c>
      <c r="G17" s="5" t="s">
        <v>6</v>
      </c>
      <c r="H17" s="6">
        <v>1800</v>
      </c>
    </row>
    <row r="18" spans="1:8" ht="20.100000000000001" customHeight="1" x14ac:dyDescent="0.25">
      <c r="A18" s="57"/>
      <c r="B18" s="2">
        <v>45841</v>
      </c>
      <c r="C18" s="3">
        <v>1232553410</v>
      </c>
      <c r="D18" s="3">
        <v>8</v>
      </c>
      <c r="E18" s="19" t="s">
        <v>772</v>
      </c>
      <c r="F18" s="19" t="s">
        <v>23</v>
      </c>
      <c r="G18" s="10" t="s">
        <v>7</v>
      </c>
      <c r="H18" s="11">
        <v>1600</v>
      </c>
    </row>
    <row r="19" spans="1:8" ht="20.100000000000001" customHeight="1" x14ac:dyDescent="0.25">
      <c r="A19" s="57"/>
      <c r="B19" s="2">
        <v>45846</v>
      </c>
      <c r="C19" s="3">
        <v>3744089626</v>
      </c>
      <c r="D19" s="3">
        <v>10</v>
      </c>
      <c r="E19" s="19" t="s">
        <v>539</v>
      </c>
      <c r="F19" s="19" t="s">
        <v>23</v>
      </c>
      <c r="G19" s="10" t="s">
        <v>6</v>
      </c>
      <c r="H19" s="11">
        <v>2000</v>
      </c>
    </row>
    <row r="20" spans="1:8" ht="15.75" x14ac:dyDescent="0.25">
      <c r="A20" s="57"/>
      <c r="B20" s="2">
        <v>45863</v>
      </c>
      <c r="C20" s="3">
        <v>4245569830</v>
      </c>
      <c r="D20" s="3">
        <v>10</v>
      </c>
      <c r="E20" s="19" t="s">
        <v>577</v>
      </c>
      <c r="F20" s="19" t="s">
        <v>23</v>
      </c>
      <c r="G20" s="10" t="s">
        <v>6</v>
      </c>
      <c r="H20" s="11">
        <v>2000</v>
      </c>
    </row>
    <row r="21" spans="1:8" ht="20.100000000000001" customHeight="1" x14ac:dyDescent="0.25">
      <c r="A21" s="57"/>
      <c r="B21" s="47">
        <v>45901</v>
      </c>
      <c r="C21" s="48">
        <v>3355134473</v>
      </c>
      <c r="D21" s="3">
        <v>2</v>
      </c>
      <c r="E21" s="28" t="s">
        <v>379</v>
      </c>
      <c r="F21" s="28" t="s">
        <v>23</v>
      </c>
      <c r="G21" s="49" t="s">
        <v>6</v>
      </c>
      <c r="H21" s="6">
        <v>400</v>
      </c>
    </row>
    <row r="22" spans="1:8" ht="20.100000000000001" customHeight="1" x14ac:dyDescent="0.25">
      <c r="A22" s="57"/>
      <c r="B22" s="47">
        <v>45905</v>
      </c>
      <c r="C22" s="48">
        <v>69550257</v>
      </c>
      <c r="D22" s="3">
        <v>1</v>
      </c>
      <c r="E22" s="28" t="s">
        <v>978</v>
      </c>
      <c r="F22" s="28" t="s">
        <v>23</v>
      </c>
      <c r="G22" s="49" t="s">
        <v>6</v>
      </c>
      <c r="H22" s="6">
        <v>250</v>
      </c>
    </row>
    <row r="23" spans="1:8" ht="20.100000000000001" customHeight="1" x14ac:dyDescent="0.25">
      <c r="A23" s="57"/>
      <c r="B23" s="47">
        <v>45923</v>
      </c>
      <c r="C23" s="48">
        <v>2917811098</v>
      </c>
      <c r="D23" s="3">
        <v>1</v>
      </c>
      <c r="E23" s="28" t="s">
        <v>979</v>
      </c>
      <c r="F23" s="28" t="s">
        <v>23</v>
      </c>
      <c r="G23" s="49" t="s">
        <v>6</v>
      </c>
      <c r="H23" s="6">
        <v>200</v>
      </c>
    </row>
    <row r="24" spans="1:8" ht="20.100000000000001" customHeight="1" x14ac:dyDescent="0.25">
      <c r="A24" s="57"/>
      <c r="B24" s="47">
        <v>45923</v>
      </c>
      <c r="C24" s="48">
        <v>2917811098</v>
      </c>
      <c r="D24" s="3">
        <v>1</v>
      </c>
      <c r="E24" s="28" t="s">
        <v>673</v>
      </c>
      <c r="F24" s="28" t="s">
        <v>23</v>
      </c>
      <c r="G24" s="49" t="s">
        <v>6</v>
      </c>
      <c r="H24" s="6">
        <v>200</v>
      </c>
    </row>
    <row r="25" spans="1:8" ht="20.100000000000001" customHeight="1" x14ac:dyDescent="0.25">
      <c r="A25" s="57"/>
      <c r="B25" s="47">
        <v>45925</v>
      </c>
      <c r="C25" s="48">
        <v>1882670617</v>
      </c>
      <c r="D25" s="3">
        <v>6</v>
      </c>
      <c r="E25" s="28" t="s">
        <v>99</v>
      </c>
      <c r="F25" s="28" t="s">
        <v>23</v>
      </c>
      <c r="G25" s="49" t="s">
        <v>7</v>
      </c>
      <c r="H25" s="6">
        <v>1200</v>
      </c>
    </row>
    <row r="26" spans="1:8" ht="20.100000000000001" customHeight="1" x14ac:dyDescent="0.25">
      <c r="A26" s="57"/>
      <c r="B26" s="47">
        <v>45926</v>
      </c>
      <c r="C26" s="48">
        <v>488981515</v>
      </c>
      <c r="D26" s="3">
        <v>6</v>
      </c>
      <c r="E26" s="28" t="s">
        <v>980</v>
      </c>
      <c r="F26" s="28" t="s">
        <v>23</v>
      </c>
      <c r="G26" s="49" t="s">
        <v>7</v>
      </c>
      <c r="H26" s="6">
        <v>1800</v>
      </c>
    </row>
    <row r="27" spans="1:8" ht="20.100000000000001" customHeight="1" x14ac:dyDescent="0.25">
      <c r="A27" s="57"/>
      <c r="B27" s="47">
        <v>45933</v>
      </c>
      <c r="C27" s="48">
        <v>1680621729</v>
      </c>
      <c r="D27" s="3">
        <v>10</v>
      </c>
      <c r="E27" s="28" t="s">
        <v>1016</v>
      </c>
      <c r="F27" s="28" t="s">
        <v>23</v>
      </c>
      <c r="G27" s="49" t="s">
        <v>6</v>
      </c>
      <c r="H27" s="6">
        <v>2000</v>
      </c>
    </row>
    <row r="28" spans="1:8" ht="20.100000000000001" customHeight="1" x14ac:dyDescent="0.25">
      <c r="A28" s="57"/>
      <c r="B28" s="47">
        <v>45975</v>
      </c>
      <c r="C28" s="48">
        <v>1773816485</v>
      </c>
      <c r="D28" s="3">
        <v>10</v>
      </c>
      <c r="E28" s="28" t="s">
        <v>1136</v>
      </c>
      <c r="F28" s="28" t="s">
        <v>23</v>
      </c>
      <c r="G28" s="49" t="s">
        <v>7</v>
      </c>
      <c r="H28" s="6">
        <v>2000</v>
      </c>
    </row>
    <row r="29" spans="1:8" ht="20.100000000000001" customHeight="1" x14ac:dyDescent="0.25">
      <c r="A29" s="57"/>
      <c r="B29" s="47">
        <v>45986</v>
      </c>
      <c r="C29" s="48">
        <v>646662968</v>
      </c>
      <c r="D29" s="3">
        <v>10</v>
      </c>
      <c r="E29" s="28" t="s">
        <v>1137</v>
      </c>
      <c r="F29" s="28" t="s">
        <v>23</v>
      </c>
      <c r="G29" s="49" t="s">
        <v>6</v>
      </c>
      <c r="H29" s="6">
        <v>2000</v>
      </c>
    </row>
    <row r="30" spans="1:8" ht="20.100000000000001" customHeight="1" x14ac:dyDescent="0.25">
      <c r="A30" s="57"/>
      <c r="B30" s="47">
        <v>45986</v>
      </c>
      <c r="C30" s="48">
        <v>2132625414</v>
      </c>
      <c r="D30" s="3">
        <v>5</v>
      </c>
      <c r="E30" s="28" t="s">
        <v>379</v>
      </c>
      <c r="F30" s="28" t="s">
        <v>23</v>
      </c>
      <c r="G30" s="49" t="s">
        <v>6</v>
      </c>
      <c r="H30" s="6">
        <v>1000</v>
      </c>
    </row>
    <row r="31" spans="1:8" ht="20.100000000000001" customHeight="1" x14ac:dyDescent="0.25">
      <c r="A31" s="57"/>
      <c r="B31" s="47">
        <v>45994</v>
      </c>
      <c r="C31" s="48">
        <v>1847479170</v>
      </c>
      <c r="D31" s="3">
        <v>5</v>
      </c>
      <c r="E31" s="28" t="s">
        <v>1136</v>
      </c>
      <c r="F31" s="28" t="s">
        <v>23</v>
      </c>
      <c r="G31" s="49" t="s">
        <v>6</v>
      </c>
      <c r="H31" s="6">
        <v>1000</v>
      </c>
    </row>
    <row r="32" spans="1:8" ht="15.75" x14ac:dyDescent="0.25">
      <c r="A32" s="58"/>
      <c r="B32" s="13"/>
      <c r="C32" s="14"/>
      <c r="D32" s="14"/>
      <c r="E32" s="14" t="s">
        <v>5</v>
      </c>
      <c r="F32" s="26"/>
      <c r="G32" s="16"/>
      <c r="H32" s="23">
        <f>SUM(H3:H31)</f>
        <v>31550</v>
      </c>
    </row>
  </sheetData>
  <mergeCells count="7"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3"/>
  <dimension ref="A1:H45"/>
  <sheetViews>
    <sheetView workbookViewId="0">
      <pane ySplit="2" topLeftCell="A30" activePane="bottomLeft" state="frozen"/>
      <selection pane="bottomLeft" activeCell="A45" sqref="A45:XFD55"/>
    </sheetView>
  </sheetViews>
  <sheetFormatPr baseColWidth="10" defaultColWidth="9.140625" defaultRowHeight="15" x14ac:dyDescent="0.25"/>
  <cols>
    <col min="1" max="1" width="14.5703125" bestFit="1" customWidth="1"/>
    <col min="2" max="2" width="12.7109375" bestFit="1" customWidth="1"/>
    <col min="3" max="3" width="17.42578125" customWidth="1"/>
    <col min="4" max="4" width="11" customWidth="1"/>
    <col min="5" max="5" width="33.7109375" bestFit="1" customWidth="1"/>
    <col min="6" max="6" width="67.5703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6" t="s">
        <v>24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57"/>
      <c r="B2" s="86"/>
      <c r="C2" s="88"/>
      <c r="D2" s="88"/>
      <c r="E2" s="88"/>
      <c r="F2" s="88"/>
      <c r="G2" s="82"/>
      <c r="H2" s="84"/>
    </row>
    <row r="3" spans="1:8" ht="31.5" customHeight="1" x14ac:dyDescent="0.25">
      <c r="A3" s="57"/>
      <c r="B3" s="2">
        <v>45694</v>
      </c>
      <c r="C3" s="3">
        <v>1228620836</v>
      </c>
      <c r="D3" s="3">
        <v>2</v>
      </c>
      <c r="E3" s="19" t="s">
        <v>256</v>
      </c>
      <c r="F3" s="19" t="s">
        <v>280</v>
      </c>
      <c r="G3" s="10" t="s">
        <v>7</v>
      </c>
      <c r="H3" s="11">
        <v>2856</v>
      </c>
    </row>
    <row r="4" spans="1:8" ht="15.75" x14ac:dyDescent="0.25">
      <c r="A4" s="57"/>
      <c r="B4" s="2">
        <v>45694</v>
      </c>
      <c r="C4" s="3">
        <v>1228620836</v>
      </c>
      <c r="D4" s="3">
        <v>2</v>
      </c>
      <c r="E4" s="19" t="s">
        <v>256</v>
      </c>
      <c r="F4" s="19" t="s">
        <v>281</v>
      </c>
      <c r="G4" s="10" t="s">
        <v>7</v>
      </c>
      <c r="H4" s="11">
        <v>2856</v>
      </c>
    </row>
    <row r="5" spans="1:8" ht="20.100000000000001" customHeight="1" x14ac:dyDescent="0.25">
      <c r="A5" s="57"/>
      <c r="B5" s="2">
        <v>45694</v>
      </c>
      <c r="C5" s="3">
        <v>1228620836</v>
      </c>
      <c r="D5" s="3">
        <v>4</v>
      </c>
      <c r="E5" s="19" t="s">
        <v>256</v>
      </c>
      <c r="F5" s="19" t="s">
        <v>282</v>
      </c>
      <c r="G5" s="10" t="s">
        <v>7</v>
      </c>
      <c r="H5" s="11">
        <v>1500</v>
      </c>
    </row>
    <row r="6" spans="1:8" ht="20.100000000000001" customHeight="1" x14ac:dyDescent="0.25">
      <c r="A6" s="57"/>
      <c r="B6" s="2">
        <v>45701</v>
      </c>
      <c r="C6" s="3">
        <v>2853981145</v>
      </c>
      <c r="D6" s="3">
        <v>2</v>
      </c>
      <c r="E6" s="19" t="s">
        <v>283</v>
      </c>
      <c r="F6" s="19" t="s">
        <v>284</v>
      </c>
      <c r="G6" s="10" t="s">
        <v>10</v>
      </c>
      <c r="H6" s="11">
        <v>1200</v>
      </c>
    </row>
    <row r="7" spans="1:8" ht="15.75" x14ac:dyDescent="0.25">
      <c r="A7" s="57"/>
      <c r="B7" s="2">
        <v>45701</v>
      </c>
      <c r="C7" s="3">
        <v>2853981145</v>
      </c>
      <c r="D7" s="3">
        <v>1</v>
      </c>
      <c r="E7" s="19" t="s">
        <v>283</v>
      </c>
      <c r="F7" s="19" t="s">
        <v>285</v>
      </c>
      <c r="G7" s="10" t="s">
        <v>10</v>
      </c>
      <c r="H7" s="11">
        <v>400</v>
      </c>
    </row>
    <row r="8" spans="1:8" ht="33" customHeight="1" x14ac:dyDescent="0.25">
      <c r="A8" s="57"/>
      <c r="B8" s="2">
        <v>45706</v>
      </c>
      <c r="C8" s="3">
        <v>253903913</v>
      </c>
      <c r="D8" s="3">
        <v>10</v>
      </c>
      <c r="E8" s="19" t="s">
        <v>286</v>
      </c>
      <c r="F8" s="19" t="s">
        <v>287</v>
      </c>
      <c r="G8" s="10" t="s">
        <v>19</v>
      </c>
      <c r="H8" s="11">
        <v>7500</v>
      </c>
    </row>
    <row r="9" spans="1:8" ht="15.75" x14ac:dyDescent="0.25">
      <c r="A9" s="57"/>
      <c r="B9" s="2">
        <v>45712</v>
      </c>
      <c r="C9" s="3">
        <v>2786017757</v>
      </c>
      <c r="D9" s="3">
        <v>2</v>
      </c>
      <c r="E9" s="19" t="s">
        <v>283</v>
      </c>
      <c r="F9" s="19" t="s">
        <v>284</v>
      </c>
      <c r="G9" s="10" t="s">
        <v>10</v>
      </c>
      <c r="H9" s="11">
        <v>1200</v>
      </c>
    </row>
    <row r="10" spans="1:8" ht="20.100000000000001" customHeight="1" x14ac:dyDescent="0.25">
      <c r="A10" s="57"/>
      <c r="B10" s="2">
        <v>45712</v>
      </c>
      <c r="C10" s="3">
        <v>2786017757</v>
      </c>
      <c r="D10" s="3">
        <v>1</v>
      </c>
      <c r="E10" s="19" t="s">
        <v>283</v>
      </c>
      <c r="F10" s="19" t="s">
        <v>285</v>
      </c>
      <c r="G10" s="10" t="s">
        <v>10</v>
      </c>
      <c r="H10" s="11">
        <v>400</v>
      </c>
    </row>
    <row r="11" spans="1:8" ht="20.100000000000001" customHeight="1" x14ac:dyDescent="0.25">
      <c r="A11" s="57"/>
      <c r="B11" s="2">
        <v>45720</v>
      </c>
      <c r="C11" s="3">
        <v>686968060</v>
      </c>
      <c r="D11" s="3">
        <v>8</v>
      </c>
      <c r="E11" s="4" t="s">
        <v>331</v>
      </c>
      <c r="F11" s="19" t="s">
        <v>24</v>
      </c>
      <c r="G11" s="5" t="s">
        <v>19</v>
      </c>
      <c r="H11" s="6">
        <v>4000</v>
      </c>
    </row>
    <row r="12" spans="1:8" ht="20.100000000000001" customHeight="1" x14ac:dyDescent="0.25">
      <c r="A12" s="57"/>
      <c r="B12" s="2">
        <v>45727</v>
      </c>
      <c r="C12" s="3">
        <v>3245099025</v>
      </c>
      <c r="D12" s="3">
        <v>8</v>
      </c>
      <c r="E12" s="4" t="s">
        <v>331</v>
      </c>
      <c r="F12" s="19" t="s">
        <v>380</v>
      </c>
      <c r="G12" s="5" t="s">
        <v>6</v>
      </c>
      <c r="H12" s="6">
        <v>3200</v>
      </c>
    </row>
    <row r="13" spans="1:8" ht="20.100000000000001" customHeight="1" x14ac:dyDescent="0.25">
      <c r="A13" s="57"/>
      <c r="B13" s="2">
        <v>45729</v>
      </c>
      <c r="C13" s="3">
        <v>1462453453</v>
      </c>
      <c r="D13" s="3">
        <v>10</v>
      </c>
      <c r="E13" s="4" t="s">
        <v>154</v>
      </c>
      <c r="F13" s="19" t="s">
        <v>381</v>
      </c>
      <c r="G13" s="5" t="s">
        <v>6</v>
      </c>
      <c r="H13" s="6">
        <v>5000</v>
      </c>
    </row>
    <row r="14" spans="1:8" ht="20.100000000000001" customHeight="1" x14ac:dyDescent="0.25">
      <c r="A14" s="57"/>
      <c r="B14" s="2">
        <v>45729</v>
      </c>
      <c r="C14" s="3">
        <v>3055373476</v>
      </c>
      <c r="D14" s="3">
        <v>1</v>
      </c>
      <c r="E14" s="4" t="s">
        <v>283</v>
      </c>
      <c r="F14" s="19" t="s">
        <v>382</v>
      </c>
      <c r="G14" s="5" t="s">
        <v>10</v>
      </c>
      <c r="H14" s="6">
        <v>200</v>
      </c>
    </row>
    <row r="15" spans="1:8" ht="15.75" x14ac:dyDescent="0.25">
      <c r="A15" s="57"/>
      <c r="B15" s="2">
        <v>45729</v>
      </c>
      <c r="C15" s="3">
        <v>3055373476</v>
      </c>
      <c r="D15" s="3">
        <v>1</v>
      </c>
      <c r="E15" s="4" t="s">
        <v>283</v>
      </c>
      <c r="F15" s="19" t="s">
        <v>382</v>
      </c>
      <c r="G15" s="5" t="s">
        <v>10</v>
      </c>
      <c r="H15" s="6">
        <v>200</v>
      </c>
    </row>
    <row r="16" spans="1:8" ht="15.75" x14ac:dyDescent="0.25">
      <c r="A16" s="57"/>
      <c r="B16" s="2">
        <v>45729</v>
      </c>
      <c r="C16" s="3">
        <v>3055373476</v>
      </c>
      <c r="D16" s="3">
        <v>1</v>
      </c>
      <c r="E16" s="4" t="s">
        <v>283</v>
      </c>
      <c r="F16" s="19" t="s">
        <v>383</v>
      </c>
      <c r="G16" s="5" t="s">
        <v>10</v>
      </c>
      <c r="H16" s="6">
        <v>600</v>
      </c>
    </row>
    <row r="17" spans="1:8" ht="15.75" x14ac:dyDescent="0.25">
      <c r="A17" s="57"/>
      <c r="B17" s="2">
        <v>45735</v>
      </c>
      <c r="C17" s="3">
        <v>361710355</v>
      </c>
      <c r="D17" s="3">
        <v>10</v>
      </c>
      <c r="E17" s="4" t="s">
        <v>159</v>
      </c>
      <c r="F17" s="19" t="s">
        <v>380</v>
      </c>
      <c r="G17" s="5" t="s">
        <v>19</v>
      </c>
      <c r="H17" s="6">
        <v>4000</v>
      </c>
    </row>
    <row r="18" spans="1:8" ht="20.100000000000001" customHeight="1" x14ac:dyDescent="0.25">
      <c r="A18" s="57"/>
      <c r="B18" s="2">
        <v>45737</v>
      </c>
      <c r="C18" s="3">
        <v>2470331090</v>
      </c>
      <c r="D18" s="3">
        <v>1</v>
      </c>
      <c r="E18" s="4" t="s">
        <v>283</v>
      </c>
      <c r="F18" s="19" t="s">
        <v>383</v>
      </c>
      <c r="G18" s="5" t="s">
        <v>10</v>
      </c>
      <c r="H18" s="6">
        <v>600</v>
      </c>
    </row>
    <row r="19" spans="1:8" ht="20.100000000000001" customHeight="1" x14ac:dyDescent="0.25">
      <c r="A19" s="57"/>
      <c r="B19" s="2">
        <v>45743</v>
      </c>
      <c r="C19" s="3">
        <v>2601209826</v>
      </c>
      <c r="D19" s="3">
        <v>10</v>
      </c>
      <c r="E19" s="4" t="s">
        <v>384</v>
      </c>
      <c r="F19" s="19" t="s">
        <v>380</v>
      </c>
      <c r="G19" s="5" t="s">
        <v>19</v>
      </c>
      <c r="H19" s="6">
        <v>4000</v>
      </c>
    </row>
    <row r="20" spans="1:8" ht="20.100000000000001" customHeight="1" x14ac:dyDescent="0.25">
      <c r="A20" s="57"/>
      <c r="B20" s="2">
        <v>45743</v>
      </c>
      <c r="C20" s="3">
        <v>1686913372</v>
      </c>
      <c r="D20" s="3">
        <v>5</v>
      </c>
      <c r="E20" s="4" t="s">
        <v>385</v>
      </c>
      <c r="F20" s="19" t="s">
        <v>380</v>
      </c>
      <c r="G20" s="5" t="s">
        <v>7</v>
      </c>
      <c r="H20" s="6">
        <v>2000</v>
      </c>
    </row>
    <row r="21" spans="1:8" ht="20.100000000000001" customHeight="1" x14ac:dyDescent="0.25">
      <c r="A21" s="57"/>
      <c r="B21" s="2">
        <v>45757</v>
      </c>
      <c r="C21" s="3">
        <v>3032303345</v>
      </c>
      <c r="D21" s="3">
        <v>10</v>
      </c>
      <c r="E21" s="4" t="s">
        <v>154</v>
      </c>
      <c r="F21" s="19" t="s">
        <v>582</v>
      </c>
      <c r="G21" s="5" t="s">
        <v>7</v>
      </c>
      <c r="H21" s="6">
        <v>5000</v>
      </c>
    </row>
    <row r="22" spans="1:8" ht="20.100000000000001" customHeight="1" x14ac:dyDescent="0.25">
      <c r="A22" s="57"/>
      <c r="B22" s="2">
        <v>45757</v>
      </c>
      <c r="C22" s="3">
        <v>2559068357</v>
      </c>
      <c r="D22" s="3">
        <v>10</v>
      </c>
      <c r="E22" s="4" t="s">
        <v>246</v>
      </c>
      <c r="F22" s="19" t="s">
        <v>550</v>
      </c>
      <c r="G22" s="5" t="s">
        <v>7</v>
      </c>
      <c r="H22" s="6">
        <v>5000</v>
      </c>
    </row>
    <row r="23" spans="1:8" ht="20.100000000000001" customHeight="1" x14ac:dyDescent="0.25">
      <c r="A23" s="57"/>
      <c r="B23" s="2">
        <v>45770</v>
      </c>
      <c r="C23" s="3">
        <v>1624852001</v>
      </c>
      <c r="D23" s="3">
        <v>10</v>
      </c>
      <c r="E23" s="4" t="s">
        <v>551</v>
      </c>
      <c r="F23" s="19" t="s">
        <v>552</v>
      </c>
      <c r="G23" s="5" t="s">
        <v>19</v>
      </c>
      <c r="H23" s="6">
        <v>5000</v>
      </c>
    </row>
    <row r="24" spans="1:8" ht="20.100000000000001" customHeight="1" x14ac:dyDescent="0.25">
      <c r="A24" s="57"/>
      <c r="B24" s="2">
        <v>45772</v>
      </c>
      <c r="C24" s="3">
        <v>3941092268</v>
      </c>
      <c r="D24" s="3">
        <v>8</v>
      </c>
      <c r="E24" s="4" t="s">
        <v>553</v>
      </c>
      <c r="F24" s="19" t="s">
        <v>554</v>
      </c>
      <c r="G24" s="5" t="s">
        <v>7</v>
      </c>
      <c r="H24" s="6">
        <v>4000</v>
      </c>
    </row>
    <row r="25" spans="1:8" ht="20.100000000000001" customHeight="1" x14ac:dyDescent="0.25">
      <c r="A25" s="57"/>
      <c r="B25" s="2">
        <v>45775</v>
      </c>
      <c r="C25" s="3">
        <v>3546696414</v>
      </c>
      <c r="D25" s="3">
        <v>8</v>
      </c>
      <c r="E25" s="4" t="s">
        <v>154</v>
      </c>
      <c r="F25" s="19" t="s">
        <v>555</v>
      </c>
      <c r="G25" s="5" t="s">
        <v>7</v>
      </c>
      <c r="H25" s="6">
        <v>4000</v>
      </c>
    </row>
    <row r="26" spans="1:8" ht="20.100000000000001" customHeight="1" x14ac:dyDescent="0.25">
      <c r="A26" s="57"/>
      <c r="B26" s="2">
        <v>45776</v>
      </c>
      <c r="C26" s="3">
        <v>2526954006</v>
      </c>
      <c r="D26" s="3">
        <v>8</v>
      </c>
      <c r="E26" s="4" t="s">
        <v>556</v>
      </c>
      <c r="F26" s="19" t="s">
        <v>24</v>
      </c>
      <c r="G26" s="5" t="s">
        <v>19</v>
      </c>
      <c r="H26" s="6">
        <v>4200</v>
      </c>
    </row>
    <row r="27" spans="1:8" ht="20.100000000000001" customHeight="1" x14ac:dyDescent="0.25">
      <c r="A27" s="57"/>
      <c r="B27" s="2">
        <v>45789</v>
      </c>
      <c r="C27" s="3">
        <v>1866812255</v>
      </c>
      <c r="D27" s="3">
        <v>5</v>
      </c>
      <c r="E27" s="4" t="s">
        <v>590</v>
      </c>
      <c r="F27" s="19" t="s">
        <v>677</v>
      </c>
      <c r="G27" s="5" t="s">
        <v>7</v>
      </c>
      <c r="H27" s="6">
        <v>2000</v>
      </c>
    </row>
    <row r="28" spans="1:8" ht="20.100000000000001" customHeight="1" x14ac:dyDescent="0.25">
      <c r="A28" s="57"/>
      <c r="B28" s="2">
        <v>45805</v>
      </c>
      <c r="C28" s="3">
        <v>3709487724</v>
      </c>
      <c r="D28" s="3">
        <v>1</v>
      </c>
      <c r="E28" s="4" t="s">
        <v>678</v>
      </c>
      <c r="F28" s="19" t="s">
        <v>677</v>
      </c>
      <c r="G28" s="5" t="s">
        <v>19</v>
      </c>
      <c r="H28" s="6">
        <v>400</v>
      </c>
    </row>
    <row r="29" spans="1:8" ht="20.100000000000001" customHeight="1" x14ac:dyDescent="0.25">
      <c r="A29" s="57"/>
      <c r="B29" s="2">
        <v>45805</v>
      </c>
      <c r="C29" s="3">
        <v>3709487724</v>
      </c>
      <c r="D29" s="3">
        <v>1</v>
      </c>
      <c r="E29" s="4" t="s">
        <v>678</v>
      </c>
      <c r="F29" s="19" t="s">
        <v>555</v>
      </c>
      <c r="G29" s="5" t="s">
        <v>19</v>
      </c>
      <c r="H29" s="6">
        <v>400</v>
      </c>
    </row>
    <row r="30" spans="1:8" ht="20.100000000000001" customHeight="1" x14ac:dyDescent="0.25">
      <c r="A30" s="57"/>
      <c r="B30" s="2">
        <v>45819</v>
      </c>
      <c r="C30" s="3">
        <v>2789098201</v>
      </c>
      <c r="D30" s="3">
        <v>8</v>
      </c>
      <c r="E30" s="4" t="s">
        <v>619</v>
      </c>
      <c r="F30" s="19" t="s">
        <v>555</v>
      </c>
      <c r="G30" s="5" t="s">
        <v>7</v>
      </c>
      <c r="H30" s="6">
        <v>4000</v>
      </c>
    </row>
    <row r="31" spans="1:8" ht="20.100000000000001" customHeight="1" x14ac:dyDescent="0.25">
      <c r="A31" s="57"/>
      <c r="B31" s="2">
        <v>45832</v>
      </c>
      <c r="C31" s="3">
        <v>1953186340</v>
      </c>
      <c r="D31" s="3">
        <v>5</v>
      </c>
      <c r="E31" s="4" t="s">
        <v>679</v>
      </c>
      <c r="F31" s="19" t="s">
        <v>680</v>
      </c>
      <c r="G31" s="5" t="s">
        <v>7</v>
      </c>
      <c r="H31" s="6">
        <v>2730</v>
      </c>
    </row>
    <row r="32" spans="1:8" ht="20.100000000000001" customHeight="1" x14ac:dyDescent="0.25">
      <c r="A32" s="57"/>
      <c r="B32" s="2">
        <v>45845</v>
      </c>
      <c r="C32" s="3">
        <v>2987280240</v>
      </c>
      <c r="D32" s="3">
        <v>10</v>
      </c>
      <c r="E32" s="4" t="s">
        <v>154</v>
      </c>
      <c r="F32" s="19" t="s">
        <v>555</v>
      </c>
      <c r="G32" s="5" t="s">
        <v>6</v>
      </c>
      <c r="H32" s="6">
        <v>5000</v>
      </c>
    </row>
    <row r="33" spans="1:8" ht="20.100000000000001" customHeight="1" x14ac:dyDescent="0.25">
      <c r="A33" s="57"/>
      <c r="B33" s="2">
        <v>45853</v>
      </c>
      <c r="C33" s="3">
        <v>3386917913</v>
      </c>
      <c r="D33" s="3">
        <v>3</v>
      </c>
      <c r="E33" s="4" t="s">
        <v>754</v>
      </c>
      <c r="F33" s="19" t="s">
        <v>790</v>
      </c>
      <c r="G33" s="5" t="s">
        <v>7</v>
      </c>
      <c r="H33" s="6">
        <v>1749.9999</v>
      </c>
    </row>
    <row r="34" spans="1:8" ht="31.5" customHeight="1" x14ac:dyDescent="0.25">
      <c r="A34" s="57"/>
      <c r="B34" s="2">
        <v>45876</v>
      </c>
      <c r="C34" s="3">
        <v>1661225929</v>
      </c>
      <c r="D34" s="3">
        <v>10</v>
      </c>
      <c r="E34" s="4" t="s">
        <v>447</v>
      </c>
      <c r="F34" s="4" t="s">
        <v>914</v>
      </c>
      <c r="G34" s="5" t="s">
        <v>7</v>
      </c>
      <c r="H34" s="6">
        <v>4800</v>
      </c>
    </row>
    <row r="35" spans="1:8" ht="20.100000000000001" customHeight="1" x14ac:dyDescent="0.25">
      <c r="A35" s="57"/>
      <c r="B35" s="2">
        <v>45917</v>
      </c>
      <c r="C35" s="3">
        <v>707020684</v>
      </c>
      <c r="D35" s="3">
        <v>2</v>
      </c>
      <c r="E35" s="4" t="s">
        <v>500</v>
      </c>
      <c r="F35" s="4" t="s">
        <v>981</v>
      </c>
      <c r="G35" s="5" t="s">
        <v>7</v>
      </c>
      <c r="H35" s="6">
        <v>1092</v>
      </c>
    </row>
    <row r="36" spans="1:8" ht="20.100000000000001" customHeight="1" x14ac:dyDescent="0.25">
      <c r="A36" s="57"/>
      <c r="B36" s="2">
        <v>45917</v>
      </c>
      <c r="C36" s="3">
        <v>707020684</v>
      </c>
      <c r="D36" s="3">
        <v>1</v>
      </c>
      <c r="E36" s="4" t="s">
        <v>500</v>
      </c>
      <c r="F36" s="4" t="s">
        <v>981</v>
      </c>
      <c r="G36" s="5" t="s">
        <v>7</v>
      </c>
      <c r="H36" s="6">
        <v>548</v>
      </c>
    </row>
    <row r="37" spans="1:8" ht="20.100000000000001" customHeight="1" x14ac:dyDescent="0.25">
      <c r="A37" s="57"/>
      <c r="B37" s="2">
        <v>45926</v>
      </c>
      <c r="C37" s="3">
        <v>1444564183</v>
      </c>
      <c r="D37" s="3">
        <v>10</v>
      </c>
      <c r="E37" s="4" t="s">
        <v>955</v>
      </c>
      <c r="F37" s="4" t="s">
        <v>555</v>
      </c>
      <c r="G37" s="5" t="s">
        <v>7</v>
      </c>
      <c r="H37" s="6">
        <v>5000</v>
      </c>
    </row>
    <row r="38" spans="1:8" ht="20.100000000000001" customHeight="1" x14ac:dyDescent="0.25">
      <c r="A38" s="57"/>
      <c r="B38" s="2">
        <v>45926</v>
      </c>
      <c r="C38" s="3">
        <v>1444564183</v>
      </c>
      <c r="D38" s="3">
        <v>2</v>
      </c>
      <c r="E38" s="4" t="s">
        <v>955</v>
      </c>
      <c r="F38" s="4" t="s">
        <v>982</v>
      </c>
      <c r="G38" s="5" t="s">
        <v>7</v>
      </c>
      <c r="H38" s="6">
        <v>846</v>
      </c>
    </row>
    <row r="39" spans="1:8" ht="20.100000000000001" customHeight="1" x14ac:dyDescent="0.25">
      <c r="A39" s="57"/>
      <c r="B39" s="2">
        <v>45926</v>
      </c>
      <c r="C39" s="3">
        <v>1444564183</v>
      </c>
      <c r="D39" s="3">
        <v>1</v>
      </c>
      <c r="E39" s="4" t="s">
        <v>955</v>
      </c>
      <c r="F39" s="4" t="s">
        <v>982</v>
      </c>
      <c r="G39" s="5" t="s">
        <v>7</v>
      </c>
      <c r="H39" s="6">
        <v>424</v>
      </c>
    </row>
    <row r="40" spans="1:8" ht="20.100000000000001" customHeight="1" x14ac:dyDescent="0.25">
      <c r="A40" s="57"/>
      <c r="B40" s="2">
        <v>45929</v>
      </c>
      <c r="C40" s="3">
        <v>2625326285</v>
      </c>
      <c r="D40" s="3">
        <v>3</v>
      </c>
      <c r="E40" s="4" t="s">
        <v>256</v>
      </c>
      <c r="F40" s="4" t="s">
        <v>983</v>
      </c>
      <c r="G40" s="5" t="s">
        <v>7</v>
      </c>
      <c r="H40" s="6">
        <v>1275</v>
      </c>
    </row>
    <row r="41" spans="1:8" ht="20.100000000000001" customHeight="1" x14ac:dyDescent="0.25">
      <c r="A41" s="57"/>
      <c r="B41" s="2">
        <v>45929</v>
      </c>
      <c r="C41" s="3">
        <v>2625326285</v>
      </c>
      <c r="D41" s="3">
        <v>3</v>
      </c>
      <c r="E41" s="4" t="s">
        <v>256</v>
      </c>
      <c r="F41" s="4" t="s">
        <v>984</v>
      </c>
      <c r="G41" s="5" t="s">
        <v>7</v>
      </c>
      <c r="H41" s="6">
        <v>1275</v>
      </c>
    </row>
    <row r="42" spans="1:8" ht="20.100000000000001" customHeight="1" x14ac:dyDescent="0.25">
      <c r="A42" s="57"/>
      <c r="B42" s="2">
        <v>45929</v>
      </c>
      <c r="C42" s="3">
        <v>2625326285</v>
      </c>
      <c r="D42" s="3">
        <v>3</v>
      </c>
      <c r="E42" s="4" t="s">
        <v>256</v>
      </c>
      <c r="F42" s="4" t="s">
        <v>985</v>
      </c>
      <c r="G42" s="5" t="s">
        <v>7</v>
      </c>
      <c r="H42" s="6">
        <v>1275</v>
      </c>
    </row>
    <row r="43" spans="1:8" ht="20.100000000000001" customHeight="1" x14ac:dyDescent="0.25">
      <c r="A43" s="57"/>
      <c r="B43" s="47">
        <v>45975</v>
      </c>
      <c r="C43" s="48">
        <v>3248966351</v>
      </c>
      <c r="D43" s="3">
        <v>10</v>
      </c>
      <c r="E43" s="28" t="s">
        <v>1127</v>
      </c>
      <c r="F43" s="28" t="s">
        <v>555</v>
      </c>
      <c r="G43" s="49" t="s">
        <v>7</v>
      </c>
      <c r="H43" s="6">
        <v>4950</v>
      </c>
    </row>
    <row r="44" spans="1:8" ht="20.100000000000001" customHeight="1" x14ac:dyDescent="0.25">
      <c r="A44" s="57"/>
      <c r="B44" s="47">
        <v>45975</v>
      </c>
      <c r="C44" s="48">
        <v>3248966351</v>
      </c>
      <c r="D44" s="3">
        <v>10</v>
      </c>
      <c r="E44" s="28" t="s">
        <v>1127</v>
      </c>
      <c r="F44" s="28" t="s">
        <v>555</v>
      </c>
      <c r="G44" s="49" t="s">
        <v>7</v>
      </c>
      <c r="H44" s="6">
        <v>4950</v>
      </c>
    </row>
    <row r="45" spans="1:8" ht="15.75" x14ac:dyDescent="0.25">
      <c r="A45" s="58"/>
      <c r="B45" s="13"/>
      <c r="C45" s="14"/>
      <c r="D45" s="14"/>
      <c r="E45" s="14" t="s">
        <v>5</v>
      </c>
      <c r="F45" s="15"/>
      <c r="G45" s="16"/>
      <c r="H45" s="23">
        <f>SUM(H3:H44)</f>
        <v>111626.9999</v>
      </c>
    </row>
  </sheetData>
  <mergeCells count="7"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/>
  <dimension ref="A1:H127"/>
  <sheetViews>
    <sheetView workbookViewId="0">
      <pane ySplit="2" topLeftCell="A117" activePane="bottomLeft" state="frozen"/>
      <selection pane="bottomLeft" sqref="A1:A1048576"/>
    </sheetView>
  </sheetViews>
  <sheetFormatPr baseColWidth="10" defaultColWidth="9.140625" defaultRowHeight="15" x14ac:dyDescent="0.25"/>
  <cols>
    <col min="1" max="1" width="14.7109375" style="1" customWidth="1"/>
    <col min="2" max="2" width="12.7109375" bestFit="1" customWidth="1"/>
    <col min="3" max="3" width="17.42578125" customWidth="1"/>
    <col min="4" max="4" width="11" customWidth="1"/>
    <col min="5" max="5" width="39.28515625" bestFit="1" customWidth="1"/>
    <col min="6" max="6" width="40.7109375" style="1" bestFit="1" customWidth="1"/>
    <col min="7" max="7" width="16.140625" customWidth="1"/>
    <col min="8" max="8" width="16.42578125" bestFit="1" customWidth="1"/>
  </cols>
  <sheetData>
    <row r="1" spans="1:8" ht="15" customHeight="1" x14ac:dyDescent="0.25">
      <c r="A1" s="73" t="s">
        <v>26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74"/>
      <c r="B2" s="86"/>
      <c r="C2" s="88"/>
      <c r="D2" s="88"/>
      <c r="E2" s="88"/>
      <c r="F2" s="88"/>
      <c r="G2" s="82"/>
      <c r="H2" s="84"/>
    </row>
    <row r="3" spans="1:8" ht="24.95" customHeight="1" x14ac:dyDescent="0.25">
      <c r="A3" s="74"/>
      <c r="B3" s="2">
        <v>45670</v>
      </c>
      <c r="C3" s="3">
        <v>3038333533</v>
      </c>
      <c r="D3" s="3">
        <v>2</v>
      </c>
      <c r="E3" s="4" t="s">
        <v>157</v>
      </c>
      <c r="F3" s="19" t="s">
        <v>25</v>
      </c>
      <c r="G3" s="10" t="s">
        <v>7</v>
      </c>
      <c r="H3" s="11">
        <v>10000</v>
      </c>
    </row>
    <row r="4" spans="1:8" ht="24.95" customHeight="1" x14ac:dyDescent="0.25">
      <c r="A4" s="74"/>
      <c r="B4" s="2">
        <v>45671</v>
      </c>
      <c r="C4" s="3">
        <v>1109345378</v>
      </c>
      <c r="D4" s="3">
        <v>2</v>
      </c>
      <c r="E4" s="4" t="s">
        <v>113</v>
      </c>
      <c r="F4" s="19" t="s">
        <v>25</v>
      </c>
      <c r="G4" s="10" t="s">
        <v>6</v>
      </c>
      <c r="H4" s="11">
        <v>10000</v>
      </c>
    </row>
    <row r="5" spans="1:8" ht="24.95" customHeight="1" x14ac:dyDescent="0.25">
      <c r="A5" s="74"/>
      <c r="B5" s="2">
        <v>45672</v>
      </c>
      <c r="C5" s="3">
        <v>3368960788</v>
      </c>
      <c r="D5" s="3">
        <v>2</v>
      </c>
      <c r="E5" s="4" t="s">
        <v>159</v>
      </c>
      <c r="F5" s="19" t="s">
        <v>25</v>
      </c>
      <c r="G5" s="10" t="s">
        <v>7</v>
      </c>
      <c r="H5" s="11">
        <v>10000</v>
      </c>
    </row>
    <row r="6" spans="1:8" ht="24.95" customHeight="1" x14ac:dyDescent="0.25">
      <c r="A6" s="74"/>
      <c r="B6" s="2">
        <v>45673</v>
      </c>
      <c r="C6" s="3">
        <v>2309900924</v>
      </c>
      <c r="D6" s="3">
        <v>2</v>
      </c>
      <c r="E6" s="4" t="s">
        <v>167</v>
      </c>
      <c r="F6" s="19" t="s">
        <v>25</v>
      </c>
      <c r="G6" s="10" t="s">
        <v>7</v>
      </c>
      <c r="H6" s="11">
        <v>10000</v>
      </c>
    </row>
    <row r="7" spans="1:8" ht="24.95" customHeight="1" x14ac:dyDescent="0.25">
      <c r="A7" s="74"/>
      <c r="B7" s="2">
        <v>45677</v>
      </c>
      <c r="C7" s="3">
        <v>3576581540</v>
      </c>
      <c r="D7" s="3">
        <v>2</v>
      </c>
      <c r="E7" s="4" t="s">
        <v>139</v>
      </c>
      <c r="F7" s="19" t="s">
        <v>25</v>
      </c>
      <c r="G7" s="10" t="s">
        <v>7</v>
      </c>
      <c r="H7" s="11">
        <v>10000</v>
      </c>
    </row>
    <row r="8" spans="1:8" ht="24.95" customHeight="1" x14ac:dyDescent="0.25">
      <c r="A8" s="74"/>
      <c r="B8" s="2">
        <v>45678</v>
      </c>
      <c r="C8" s="3">
        <v>3438365580</v>
      </c>
      <c r="D8" s="3">
        <v>2</v>
      </c>
      <c r="E8" s="4" t="s">
        <v>168</v>
      </c>
      <c r="F8" s="19" t="s">
        <v>25</v>
      </c>
      <c r="G8" s="10" t="s">
        <v>6</v>
      </c>
      <c r="H8" s="11">
        <v>10000</v>
      </c>
    </row>
    <row r="9" spans="1:8" ht="24.95" customHeight="1" x14ac:dyDescent="0.25">
      <c r="A9" s="74"/>
      <c r="B9" s="2">
        <v>45679</v>
      </c>
      <c r="C9" s="3">
        <v>2776255686</v>
      </c>
      <c r="D9" s="3">
        <v>2</v>
      </c>
      <c r="E9" s="4" t="s">
        <v>123</v>
      </c>
      <c r="F9" s="19" t="s">
        <v>25</v>
      </c>
      <c r="G9" s="10" t="s">
        <v>19</v>
      </c>
      <c r="H9" s="11">
        <v>10000</v>
      </c>
    </row>
    <row r="10" spans="1:8" ht="24.95" customHeight="1" x14ac:dyDescent="0.25">
      <c r="A10" s="74"/>
      <c r="B10" s="2">
        <v>45679</v>
      </c>
      <c r="C10" s="3">
        <v>1233602801</v>
      </c>
      <c r="D10" s="3">
        <v>2</v>
      </c>
      <c r="E10" s="4" t="s">
        <v>89</v>
      </c>
      <c r="F10" s="19" t="s">
        <v>25</v>
      </c>
      <c r="G10" s="10" t="s">
        <v>19</v>
      </c>
      <c r="H10" s="11">
        <v>10000</v>
      </c>
    </row>
    <row r="11" spans="1:8" ht="24.95" customHeight="1" x14ac:dyDescent="0.25">
      <c r="A11" s="74"/>
      <c r="B11" s="2">
        <v>45680</v>
      </c>
      <c r="C11" s="3">
        <v>858016581</v>
      </c>
      <c r="D11" s="3">
        <v>2</v>
      </c>
      <c r="E11" s="4" t="s">
        <v>83</v>
      </c>
      <c r="F11" s="19" t="s">
        <v>104</v>
      </c>
      <c r="G11" s="10" t="s">
        <v>19</v>
      </c>
      <c r="H11" s="11">
        <v>10000</v>
      </c>
    </row>
    <row r="12" spans="1:8" ht="24.95" customHeight="1" x14ac:dyDescent="0.25">
      <c r="A12" s="74"/>
      <c r="B12" s="2">
        <v>45684</v>
      </c>
      <c r="C12" s="3">
        <v>356533895</v>
      </c>
      <c r="D12" s="3">
        <v>2</v>
      </c>
      <c r="E12" s="4" t="s">
        <v>79</v>
      </c>
      <c r="F12" s="19" t="s">
        <v>25</v>
      </c>
      <c r="G12" s="10" t="s">
        <v>6</v>
      </c>
      <c r="H12" s="11">
        <v>10000</v>
      </c>
    </row>
    <row r="13" spans="1:8" ht="15.75" x14ac:dyDescent="0.25">
      <c r="A13" s="74"/>
      <c r="B13" s="2">
        <v>45684</v>
      </c>
      <c r="C13" s="3">
        <v>187779292</v>
      </c>
      <c r="D13" s="3">
        <v>2</v>
      </c>
      <c r="E13" s="4" t="s">
        <v>112</v>
      </c>
      <c r="F13" s="19" t="s">
        <v>25</v>
      </c>
      <c r="G13" s="10" t="s">
        <v>6</v>
      </c>
      <c r="H13" s="11">
        <v>10000</v>
      </c>
    </row>
    <row r="14" spans="1:8" ht="24.95" customHeight="1" x14ac:dyDescent="0.25">
      <c r="A14" s="74"/>
      <c r="B14" s="2">
        <v>45686</v>
      </c>
      <c r="C14" s="3">
        <v>3701163459</v>
      </c>
      <c r="D14" s="3">
        <v>2</v>
      </c>
      <c r="E14" s="4" t="s">
        <v>55</v>
      </c>
      <c r="F14" s="19" t="s">
        <v>25</v>
      </c>
      <c r="G14" s="10" t="s">
        <v>11</v>
      </c>
      <c r="H14" s="11">
        <v>10000</v>
      </c>
    </row>
    <row r="15" spans="1:8" ht="24.95" customHeight="1" x14ac:dyDescent="0.25">
      <c r="A15" s="74"/>
      <c r="B15" s="2">
        <v>45687</v>
      </c>
      <c r="C15" s="3">
        <v>1917733017</v>
      </c>
      <c r="D15" s="3">
        <v>2</v>
      </c>
      <c r="E15" s="4" t="s">
        <v>129</v>
      </c>
      <c r="F15" s="19" t="s">
        <v>25</v>
      </c>
      <c r="G15" s="10" t="s">
        <v>6</v>
      </c>
      <c r="H15" s="11">
        <v>10000</v>
      </c>
    </row>
    <row r="16" spans="1:8" ht="15.75" x14ac:dyDescent="0.25">
      <c r="A16" s="74"/>
      <c r="B16" s="2">
        <v>45687</v>
      </c>
      <c r="C16" s="3">
        <v>1917733017</v>
      </c>
      <c r="D16" s="3">
        <v>2</v>
      </c>
      <c r="E16" s="4" t="s">
        <v>169</v>
      </c>
      <c r="F16" s="19" t="s">
        <v>25</v>
      </c>
      <c r="G16" s="10" t="s">
        <v>6</v>
      </c>
      <c r="H16" s="11">
        <v>10000</v>
      </c>
    </row>
    <row r="17" spans="1:8" ht="24.95" customHeight="1" x14ac:dyDescent="0.25">
      <c r="A17" s="74"/>
      <c r="B17" s="2">
        <v>45688</v>
      </c>
      <c r="C17" s="3">
        <v>3388424963</v>
      </c>
      <c r="D17" s="3">
        <v>2</v>
      </c>
      <c r="E17" s="4" t="s">
        <v>170</v>
      </c>
      <c r="F17" s="19" t="s">
        <v>25</v>
      </c>
      <c r="G17" s="10" t="s">
        <v>6</v>
      </c>
      <c r="H17" s="11">
        <v>10000</v>
      </c>
    </row>
    <row r="18" spans="1:8" ht="24.95" customHeight="1" x14ac:dyDescent="0.25">
      <c r="A18" s="74"/>
      <c r="B18" s="2">
        <v>45688</v>
      </c>
      <c r="C18" s="3">
        <v>3388424963</v>
      </c>
      <c r="D18" s="3">
        <v>2</v>
      </c>
      <c r="E18" s="4" t="s">
        <v>171</v>
      </c>
      <c r="F18" s="19" t="s">
        <v>25</v>
      </c>
      <c r="G18" s="10" t="s">
        <v>6</v>
      </c>
      <c r="H18" s="11">
        <v>10000</v>
      </c>
    </row>
    <row r="19" spans="1:8" ht="24.95" customHeight="1" x14ac:dyDescent="0.25">
      <c r="A19" s="74"/>
      <c r="B19" s="2">
        <v>45691</v>
      </c>
      <c r="C19" s="3">
        <v>171394218</v>
      </c>
      <c r="D19" s="3">
        <v>2</v>
      </c>
      <c r="E19" s="4" t="s">
        <v>288</v>
      </c>
      <c r="F19" s="19" t="s">
        <v>25</v>
      </c>
      <c r="G19" s="10" t="s">
        <v>19</v>
      </c>
      <c r="H19" s="11">
        <v>10000</v>
      </c>
    </row>
    <row r="20" spans="1:8" ht="24.95" customHeight="1" x14ac:dyDescent="0.25">
      <c r="A20" s="74"/>
      <c r="B20" s="2">
        <v>45695</v>
      </c>
      <c r="C20" s="3">
        <v>2582006793</v>
      </c>
      <c r="D20" s="3">
        <v>2</v>
      </c>
      <c r="E20" s="4" t="s">
        <v>289</v>
      </c>
      <c r="F20" s="19" t="s">
        <v>104</v>
      </c>
      <c r="G20" s="10" t="s">
        <v>19</v>
      </c>
      <c r="H20" s="11">
        <v>10000</v>
      </c>
    </row>
    <row r="21" spans="1:8" ht="24.95" customHeight="1" x14ac:dyDescent="0.25">
      <c r="A21" s="74"/>
      <c r="B21" s="2">
        <v>45698</v>
      </c>
      <c r="C21" s="3">
        <v>4247340298</v>
      </c>
      <c r="D21" s="3">
        <v>2</v>
      </c>
      <c r="E21" s="4" t="s">
        <v>290</v>
      </c>
      <c r="F21" s="19" t="s">
        <v>25</v>
      </c>
      <c r="G21" s="10" t="s">
        <v>6</v>
      </c>
      <c r="H21" s="11">
        <v>10000</v>
      </c>
    </row>
    <row r="22" spans="1:8" ht="24.95" customHeight="1" x14ac:dyDescent="0.25">
      <c r="A22" s="74"/>
      <c r="B22" s="2">
        <v>45705</v>
      </c>
      <c r="C22" s="3">
        <v>1506037746</v>
      </c>
      <c r="D22" s="3">
        <v>2</v>
      </c>
      <c r="E22" s="4" t="s">
        <v>291</v>
      </c>
      <c r="F22" s="19" t="s">
        <v>25</v>
      </c>
      <c r="G22" s="10" t="s">
        <v>19</v>
      </c>
      <c r="H22" s="11">
        <v>10000</v>
      </c>
    </row>
    <row r="23" spans="1:8" ht="15.75" x14ac:dyDescent="0.25">
      <c r="A23" s="74"/>
      <c r="B23" s="2">
        <v>45705</v>
      </c>
      <c r="C23" s="3">
        <v>976045547</v>
      </c>
      <c r="D23" s="3">
        <v>2</v>
      </c>
      <c r="E23" s="4" t="s">
        <v>292</v>
      </c>
      <c r="F23" s="19" t="s">
        <v>25</v>
      </c>
      <c r="G23" s="10" t="s">
        <v>6</v>
      </c>
      <c r="H23" s="11">
        <v>10000</v>
      </c>
    </row>
    <row r="24" spans="1:8" ht="24.95" customHeight="1" x14ac:dyDescent="0.25">
      <c r="A24" s="74"/>
      <c r="B24" s="2">
        <v>45705</v>
      </c>
      <c r="C24" s="3">
        <v>2694073923</v>
      </c>
      <c r="D24" s="3">
        <v>2</v>
      </c>
      <c r="E24" s="4" t="s">
        <v>293</v>
      </c>
      <c r="F24" s="19" t="s">
        <v>25</v>
      </c>
      <c r="G24" s="10" t="s">
        <v>19</v>
      </c>
      <c r="H24" s="11">
        <v>10000</v>
      </c>
    </row>
    <row r="25" spans="1:8" ht="24.95" customHeight="1" x14ac:dyDescent="0.25">
      <c r="A25" s="74"/>
      <c r="B25" s="2">
        <v>45707</v>
      </c>
      <c r="C25" s="3">
        <v>1478705960</v>
      </c>
      <c r="D25" s="3">
        <v>2</v>
      </c>
      <c r="E25" s="4" t="s">
        <v>83</v>
      </c>
      <c r="F25" s="19" t="s">
        <v>294</v>
      </c>
      <c r="G25" s="10" t="s">
        <v>19</v>
      </c>
      <c r="H25" s="11">
        <v>10000</v>
      </c>
    </row>
    <row r="26" spans="1:8" ht="24.95" customHeight="1" x14ac:dyDescent="0.25">
      <c r="A26" s="74"/>
      <c r="B26" s="2">
        <v>45707</v>
      </c>
      <c r="C26" s="3">
        <v>1478705960</v>
      </c>
      <c r="D26" s="3">
        <v>2</v>
      </c>
      <c r="E26" s="4" t="s">
        <v>83</v>
      </c>
      <c r="F26" s="19" t="s">
        <v>104</v>
      </c>
      <c r="G26" s="10" t="s">
        <v>19</v>
      </c>
      <c r="H26" s="11">
        <v>10000</v>
      </c>
    </row>
    <row r="27" spans="1:8" ht="24.95" customHeight="1" x14ac:dyDescent="0.25">
      <c r="A27" s="74"/>
      <c r="B27" s="2">
        <v>45709</v>
      </c>
      <c r="C27" s="3">
        <v>813977462</v>
      </c>
      <c r="D27" s="3">
        <v>2</v>
      </c>
      <c r="E27" s="4" t="s">
        <v>99</v>
      </c>
      <c r="F27" s="19" t="s">
        <v>25</v>
      </c>
      <c r="G27" s="10" t="s">
        <v>19</v>
      </c>
      <c r="H27" s="11">
        <v>10000</v>
      </c>
    </row>
    <row r="28" spans="1:8" ht="24.95" customHeight="1" x14ac:dyDescent="0.25">
      <c r="A28" s="74"/>
      <c r="B28" s="2">
        <v>45709</v>
      </c>
      <c r="C28" s="3">
        <v>2329036717</v>
      </c>
      <c r="D28" s="3">
        <v>2</v>
      </c>
      <c r="E28" s="4" t="s">
        <v>295</v>
      </c>
      <c r="F28" s="19" t="s">
        <v>25</v>
      </c>
      <c r="G28" s="10" t="s">
        <v>6</v>
      </c>
      <c r="H28" s="11">
        <v>10000</v>
      </c>
    </row>
    <row r="29" spans="1:8" ht="24.95" customHeight="1" x14ac:dyDescent="0.25">
      <c r="A29" s="74"/>
      <c r="B29" s="2">
        <v>45709</v>
      </c>
      <c r="C29" s="3">
        <v>3798549846</v>
      </c>
      <c r="D29" s="3">
        <v>2</v>
      </c>
      <c r="E29" s="4" t="s">
        <v>159</v>
      </c>
      <c r="F29" s="19" t="s">
        <v>104</v>
      </c>
      <c r="G29" s="10" t="s">
        <v>19</v>
      </c>
      <c r="H29" s="11">
        <v>10000</v>
      </c>
    </row>
    <row r="30" spans="1:8" ht="24.95" customHeight="1" x14ac:dyDescent="0.25">
      <c r="A30" s="74"/>
      <c r="B30" s="2">
        <v>45712</v>
      </c>
      <c r="C30" s="3">
        <v>1749109374</v>
      </c>
      <c r="D30" s="3">
        <v>2</v>
      </c>
      <c r="E30" s="4" t="s">
        <v>296</v>
      </c>
      <c r="F30" s="19" t="s">
        <v>25</v>
      </c>
      <c r="G30" s="10" t="s">
        <v>7</v>
      </c>
      <c r="H30" s="11">
        <v>10000</v>
      </c>
    </row>
    <row r="31" spans="1:8" ht="24.95" customHeight="1" x14ac:dyDescent="0.25">
      <c r="A31" s="74"/>
      <c r="B31" s="2">
        <v>45712</v>
      </c>
      <c r="C31" s="3">
        <v>1749109374</v>
      </c>
      <c r="D31" s="3">
        <v>2</v>
      </c>
      <c r="E31" s="4" t="s">
        <v>296</v>
      </c>
      <c r="F31" s="19" t="s">
        <v>87</v>
      </c>
      <c r="G31" s="10" t="s">
        <v>7</v>
      </c>
      <c r="H31" s="11">
        <v>5000</v>
      </c>
    </row>
    <row r="32" spans="1:8" ht="24.95" customHeight="1" x14ac:dyDescent="0.25">
      <c r="A32" s="74"/>
      <c r="B32" s="2">
        <v>45716</v>
      </c>
      <c r="C32" s="3">
        <v>3658301888</v>
      </c>
      <c r="D32" s="3">
        <v>2</v>
      </c>
      <c r="E32" s="4" t="s">
        <v>267</v>
      </c>
      <c r="F32" s="19" t="s">
        <v>25</v>
      </c>
      <c r="G32" s="10" t="s">
        <v>19</v>
      </c>
      <c r="H32" s="11">
        <v>10000</v>
      </c>
    </row>
    <row r="33" spans="1:8" ht="24.95" customHeight="1" x14ac:dyDescent="0.25">
      <c r="A33" s="74"/>
      <c r="B33" s="2">
        <v>45716</v>
      </c>
      <c r="C33" s="3">
        <v>3580642323</v>
      </c>
      <c r="D33" s="3">
        <v>3</v>
      </c>
      <c r="E33" s="4" t="s">
        <v>269</v>
      </c>
      <c r="F33" s="19" t="s">
        <v>25</v>
      </c>
      <c r="G33" s="10" t="s">
        <v>7</v>
      </c>
      <c r="H33" s="11">
        <v>15000</v>
      </c>
    </row>
    <row r="34" spans="1:8" ht="24.95" customHeight="1" x14ac:dyDescent="0.25">
      <c r="A34" s="74"/>
      <c r="B34" s="2">
        <v>45723</v>
      </c>
      <c r="C34" s="3">
        <v>826951596</v>
      </c>
      <c r="D34" s="3">
        <v>2</v>
      </c>
      <c r="E34" s="4" t="s">
        <v>386</v>
      </c>
      <c r="F34" s="19" t="s">
        <v>25</v>
      </c>
      <c r="G34" s="5" t="s">
        <v>7</v>
      </c>
      <c r="H34" s="6">
        <v>10000</v>
      </c>
    </row>
    <row r="35" spans="1:8" ht="24.95" customHeight="1" x14ac:dyDescent="0.25">
      <c r="A35" s="74"/>
      <c r="B35" s="2">
        <v>45726</v>
      </c>
      <c r="C35" s="3">
        <v>909069859</v>
      </c>
      <c r="D35" s="3">
        <v>2</v>
      </c>
      <c r="E35" s="4" t="s">
        <v>317</v>
      </c>
      <c r="F35" s="19" t="s">
        <v>387</v>
      </c>
      <c r="G35" s="5" t="s">
        <v>19</v>
      </c>
      <c r="H35" s="6">
        <v>10000</v>
      </c>
    </row>
    <row r="36" spans="1:8" ht="24.95" customHeight="1" x14ac:dyDescent="0.25">
      <c r="A36" s="74"/>
      <c r="B36" s="2">
        <v>45734</v>
      </c>
      <c r="C36" s="3">
        <v>3094300416</v>
      </c>
      <c r="D36" s="3">
        <v>1</v>
      </c>
      <c r="E36" s="4" t="s">
        <v>388</v>
      </c>
      <c r="F36" s="19" t="s">
        <v>389</v>
      </c>
      <c r="G36" s="5" t="s">
        <v>7</v>
      </c>
      <c r="H36" s="6">
        <v>5000</v>
      </c>
    </row>
    <row r="37" spans="1:8" ht="24.95" customHeight="1" x14ac:dyDescent="0.25">
      <c r="A37" s="74"/>
      <c r="B37" s="2">
        <v>45734</v>
      </c>
      <c r="C37" s="3">
        <v>1078938385</v>
      </c>
      <c r="D37" s="3">
        <v>2</v>
      </c>
      <c r="E37" s="4" t="s">
        <v>390</v>
      </c>
      <c r="F37" s="19" t="s">
        <v>25</v>
      </c>
      <c r="G37" s="5" t="s">
        <v>19</v>
      </c>
      <c r="H37" s="6">
        <v>10000</v>
      </c>
    </row>
    <row r="38" spans="1:8" ht="24.95" customHeight="1" x14ac:dyDescent="0.25">
      <c r="A38" s="74"/>
      <c r="B38" s="2">
        <v>45741</v>
      </c>
      <c r="C38" s="3">
        <v>225333028</v>
      </c>
      <c r="D38" s="3">
        <v>2</v>
      </c>
      <c r="E38" s="4" t="s">
        <v>391</v>
      </c>
      <c r="F38" s="19" t="s">
        <v>25</v>
      </c>
      <c r="G38" s="5" t="s">
        <v>7</v>
      </c>
      <c r="H38" s="6">
        <v>10000</v>
      </c>
    </row>
    <row r="39" spans="1:8" ht="24.95" customHeight="1" x14ac:dyDescent="0.25">
      <c r="A39" s="74"/>
      <c r="B39" s="2">
        <v>45743</v>
      </c>
      <c r="C39" s="3">
        <v>2143504099</v>
      </c>
      <c r="D39" s="3">
        <v>2</v>
      </c>
      <c r="E39" s="4" t="s">
        <v>392</v>
      </c>
      <c r="F39" s="19" t="s">
        <v>25</v>
      </c>
      <c r="G39" s="5" t="s">
        <v>7</v>
      </c>
      <c r="H39" s="6">
        <v>10000</v>
      </c>
    </row>
    <row r="40" spans="1:8" ht="15.75" x14ac:dyDescent="0.25">
      <c r="A40" s="74"/>
      <c r="B40" s="2">
        <v>45744</v>
      </c>
      <c r="C40" s="3">
        <v>3471067542</v>
      </c>
      <c r="D40" s="3">
        <v>2</v>
      </c>
      <c r="E40" s="4" t="s">
        <v>393</v>
      </c>
      <c r="F40" s="19" t="s">
        <v>25</v>
      </c>
      <c r="G40" s="5" t="s">
        <v>10</v>
      </c>
      <c r="H40" s="6">
        <v>10000</v>
      </c>
    </row>
    <row r="41" spans="1:8" ht="24.95" customHeight="1" x14ac:dyDescent="0.25">
      <c r="A41" s="74"/>
      <c r="B41" s="2">
        <v>45747</v>
      </c>
      <c r="C41" s="3">
        <v>2357283486</v>
      </c>
      <c r="D41" s="3">
        <v>2</v>
      </c>
      <c r="E41" s="4" t="s">
        <v>394</v>
      </c>
      <c r="F41" s="19" t="s">
        <v>395</v>
      </c>
      <c r="G41" s="10" t="s">
        <v>10</v>
      </c>
      <c r="H41" s="11">
        <v>10000</v>
      </c>
    </row>
    <row r="42" spans="1:8" ht="24.95" customHeight="1" x14ac:dyDescent="0.25">
      <c r="A42" s="74"/>
      <c r="B42" s="2">
        <v>45747</v>
      </c>
      <c r="C42" s="3">
        <v>2357283486</v>
      </c>
      <c r="D42" s="3">
        <v>2</v>
      </c>
      <c r="E42" s="4" t="s">
        <v>394</v>
      </c>
      <c r="F42" s="19" t="s">
        <v>396</v>
      </c>
      <c r="G42" s="10" t="s">
        <v>10</v>
      </c>
      <c r="H42" s="11">
        <v>10000</v>
      </c>
    </row>
    <row r="43" spans="1:8" ht="24.95" customHeight="1" x14ac:dyDescent="0.25">
      <c r="A43" s="74"/>
      <c r="B43" s="2">
        <v>45747</v>
      </c>
      <c r="C43" s="3">
        <v>1667187504</v>
      </c>
      <c r="D43" s="3">
        <v>2</v>
      </c>
      <c r="E43" s="4" t="s">
        <v>397</v>
      </c>
      <c r="F43" s="19" t="s">
        <v>25</v>
      </c>
      <c r="G43" s="10" t="s">
        <v>19</v>
      </c>
      <c r="H43" s="11">
        <v>10000</v>
      </c>
    </row>
    <row r="44" spans="1:8" ht="24.95" customHeight="1" x14ac:dyDescent="0.25">
      <c r="A44" s="74"/>
      <c r="B44" s="2">
        <v>45751</v>
      </c>
      <c r="C44" s="3">
        <v>3429780243</v>
      </c>
      <c r="D44" s="3">
        <v>3</v>
      </c>
      <c r="E44" s="4" t="s">
        <v>557</v>
      </c>
      <c r="F44" s="19" t="s">
        <v>104</v>
      </c>
      <c r="G44" s="10" t="s">
        <v>7</v>
      </c>
      <c r="H44" s="11">
        <v>15000</v>
      </c>
    </row>
    <row r="45" spans="1:8" ht="24.95" customHeight="1" x14ac:dyDescent="0.25">
      <c r="A45" s="74"/>
      <c r="B45" s="2">
        <v>45757</v>
      </c>
      <c r="C45" s="3">
        <v>2459780968</v>
      </c>
      <c r="D45" s="3">
        <v>3</v>
      </c>
      <c r="E45" s="4" t="s">
        <v>521</v>
      </c>
      <c r="F45" s="19" t="s">
        <v>389</v>
      </c>
      <c r="G45" s="10" t="s">
        <v>19</v>
      </c>
      <c r="H45" s="11">
        <v>15000</v>
      </c>
    </row>
    <row r="46" spans="1:8" ht="24.95" customHeight="1" x14ac:dyDescent="0.25">
      <c r="A46" s="74"/>
      <c r="B46" s="2">
        <v>45757</v>
      </c>
      <c r="C46" s="3">
        <v>2987737636</v>
      </c>
      <c r="D46" s="3">
        <v>2</v>
      </c>
      <c r="E46" s="4" t="s">
        <v>83</v>
      </c>
      <c r="F46" s="19" t="s">
        <v>104</v>
      </c>
      <c r="G46" s="10" t="s">
        <v>19</v>
      </c>
      <c r="H46" s="11">
        <v>10000</v>
      </c>
    </row>
    <row r="47" spans="1:8" ht="24.95" customHeight="1" x14ac:dyDescent="0.25">
      <c r="A47" s="74"/>
      <c r="B47" s="2">
        <v>45770</v>
      </c>
      <c r="C47" s="3">
        <v>2419344962</v>
      </c>
      <c r="D47" s="3">
        <v>2</v>
      </c>
      <c r="E47" s="4" t="s">
        <v>558</v>
      </c>
      <c r="F47" s="19" t="s">
        <v>25</v>
      </c>
      <c r="G47" s="10" t="s">
        <v>7</v>
      </c>
      <c r="H47" s="11">
        <v>11200</v>
      </c>
    </row>
    <row r="48" spans="1:8" ht="24.95" customHeight="1" x14ac:dyDescent="0.25">
      <c r="A48" s="74"/>
      <c r="B48" s="2">
        <v>45770</v>
      </c>
      <c r="C48" s="3">
        <v>513360193</v>
      </c>
      <c r="D48" s="3">
        <v>2</v>
      </c>
      <c r="E48" s="4" t="s">
        <v>559</v>
      </c>
      <c r="F48" s="19" t="s">
        <v>25</v>
      </c>
      <c r="G48" s="10" t="s">
        <v>19</v>
      </c>
      <c r="H48" s="11">
        <v>10000</v>
      </c>
    </row>
    <row r="49" spans="1:8" ht="24.95" customHeight="1" x14ac:dyDescent="0.25">
      <c r="A49" s="74"/>
      <c r="B49" s="2">
        <v>45771</v>
      </c>
      <c r="C49" s="3">
        <v>3332391556</v>
      </c>
      <c r="D49" s="3">
        <v>3</v>
      </c>
      <c r="E49" s="4" t="s">
        <v>560</v>
      </c>
      <c r="F49" s="19" t="s">
        <v>25</v>
      </c>
      <c r="G49" s="10" t="s">
        <v>19</v>
      </c>
      <c r="H49" s="11">
        <v>15000</v>
      </c>
    </row>
    <row r="50" spans="1:8" ht="24.95" customHeight="1" x14ac:dyDescent="0.25">
      <c r="A50" s="74"/>
      <c r="B50" s="2">
        <v>45775</v>
      </c>
      <c r="C50" s="3">
        <v>3109176138</v>
      </c>
      <c r="D50" s="3">
        <v>2</v>
      </c>
      <c r="E50" s="4" t="s">
        <v>561</v>
      </c>
      <c r="F50" s="19" t="s">
        <v>25</v>
      </c>
      <c r="G50" s="10" t="s">
        <v>7</v>
      </c>
      <c r="H50" s="11">
        <v>10000</v>
      </c>
    </row>
    <row r="51" spans="1:8" ht="24.95" customHeight="1" x14ac:dyDescent="0.25">
      <c r="A51" s="74"/>
      <c r="B51" s="2">
        <v>45776</v>
      </c>
      <c r="C51" s="3">
        <v>4138355348</v>
      </c>
      <c r="D51" s="3">
        <v>3</v>
      </c>
      <c r="E51" s="4" t="s">
        <v>311</v>
      </c>
      <c r="F51" s="19" t="s">
        <v>25</v>
      </c>
      <c r="G51" s="10" t="s">
        <v>7</v>
      </c>
      <c r="H51" s="11">
        <v>15000</v>
      </c>
    </row>
    <row r="52" spans="1:8" ht="24.95" customHeight="1" x14ac:dyDescent="0.25">
      <c r="A52" s="74"/>
      <c r="B52" s="2">
        <v>45776</v>
      </c>
      <c r="C52" s="3">
        <v>2356559897</v>
      </c>
      <c r="D52" s="3">
        <v>3</v>
      </c>
      <c r="E52" s="4" t="s">
        <v>521</v>
      </c>
      <c r="F52" s="19" t="s">
        <v>562</v>
      </c>
      <c r="G52" s="10" t="s">
        <v>13</v>
      </c>
      <c r="H52" s="11">
        <v>15000</v>
      </c>
    </row>
    <row r="53" spans="1:8" ht="24.95" customHeight="1" x14ac:dyDescent="0.25">
      <c r="A53" s="74"/>
      <c r="B53" s="2">
        <v>45784</v>
      </c>
      <c r="C53" s="3">
        <v>2392935911</v>
      </c>
      <c r="D53" s="3">
        <v>3</v>
      </c>
      <c r="E53" s="4" t="s">
        <v>681</v>
      </c>
      <c r="F53" s="19" t="s">
        <v>25</v>
      </c>
      <c r="G53" s="10" t="s">
        <v>6</v>
      </c>
      <c r="H53" s="11">
        <v>15000</v>
      </c>
    </row>
    <row r="54" spans="1:8" ht="24.95" customHeight="1" x14ac:dyDescent="0.25">
      <c r="A54" s="74"/>
      <c r="B54" s="2">
        <v>45789</v>
      </c>
      <c r="C54" s="3">
        <v>4044834886</v>
      </c>
      <c r="D54" s="3">
        <v>1</v>
      </c>
      <c r="E54" s="4" t="s">
        <v>388</v>
      </c>
      <c r="F54" s="19" t="s">
        <v>25</v>
      </c>
      <c r="G54" s="10" t="s">
        <v>7</v>
      </c>
      <c r="H54" s="11">
        <v>5000</v>
      </c>
    </row>
    <row r="55" spans="1:8" ht="24.95" customHeight="1" x14ac:dyDescent="0.25">
      <c r="A55" s="74"/>
      <c r="B55" s="2">
        <v>45790</v>
      </c>
      <c r="C55" s="3">
        <v>1588610819</v>
      </c>
      <c r="D55" s="3">
        <v>3</v>
      </c>
      <c r="E55" s="4" t="s">
        <v>633</v>
      </c>
      <c r="F55" s="19" t="s">
        <v>25</v>
      </c>
      <c r="G55" s="10" t="s">
        <v>7</v>
      </c>
      <c r="H55" s="11">
        <v>15000</v>
      </c>
    </row>
    <row r="56" spans="1:8" ht="24.95" customHeight="1" x14ac:dyDescent="0.25">
      <c r="A56" s="74"/>
      <c r="B56" s="2">
        <v>45791</v>
      </c>
      <c r="C56" s="3">
        <v>87051065</v>
      </c>
      <c r="D56" s="3">
        <v>3</v>
      </c>
      <c r="E56" s="4" t="s">
        <v>412</v>
      </c>
      <c r="F56" s="19" t="s">
        <v>25</v>
      </c>
      <c r="G56" s="10" t="s">
        <v>6</v>
      </c>
      <c r="H56" s="11">
        <v>15000</v>
      </c>
    </row>
    <row r="57" spans="1:8" ht="24.95" customHeight="1" x14ac:dyDescent="0.25">
      <c r="A57" s="74"/>
      <c r="B57" s="2">
        <v>45799</v>
      </c>
      <c r="C57" s="3">
        <v>2015511528</v>
      </c>
      <c r="D57" s="3">
        <v>3</v>
      </c>
      <c r="E57" s="4" t="s">
        <v>603</v>
      </c>
      <c r="F57" s="19" t="s">
        <v>25</v>
      </c>
      <c r="G57" s="10" t="s">
        <v>7</v>
      </c>
      <c r="H57" s="11">
        <v>15000</v>
      </c>
    </row>
    <row r="58" spans="1:8" ht="24.95" customHeight="1" x14ac:dyDescent="0.25">
      <c r="A58" s="74"/>
      <c r="B58" s="2">
        <v>45800</v>
      </c>
      <c r="C58" s="3">
        <v>3320860538</v>
      </c>
      <c r="D58" s="3">
        <v>3</v>
      </c>
      <c r="E58" s="4" t="s">
        <v>682</v>
      </c>
      <c r="F58" s="19" t="s">
        <v>389</v>
      </c>
      <c r="G58" s="10" t="s">
        <v>7</v>
      </c>
      <c r="H58" s="11">
        <v>15000</v>
      </c>
    </row>
    <row r="59" spans="1:8" ht="24.95" customHeight="1" x14ac:dyDescent="0.25">
      <c r="A59" s="74"/>
      <c r="B59" s="2">
        <v>45804</v>
      </c>
      <c r="C59" s="3">
        <v>1194410493</v>
      </c>
      <c r="D59" s="3">
        <v>2</v>
      </c>
      <c r="E59" s="4" t="s">
        <v>683</v>
      </c>
      <c r="F59" s="19" t="s">
        <v>25</v>
      </c>
      <c r="G59" s="10" t="s">
        <v>6</v>
      </c>
      <c r="H59" s="11">
        <v>10000</v>
      </c>
    </row>
    <row r="60" spans="1:8" ht="24.95" customHeight="1" x14ac:dyDescent="0.25">
      <c r="A60" s="74"/>
      <c r="B60" s="2">
        <v>45804</v>
      </c>
      <c r="C60" s="3">
        <v>37571875</v>
      </c>
      <c r="D60" s="3">
        <v>1</v>
      </c>
      <c r="E60" s="4" t="s">
        <v>684</v>
      </c>
      <c r="F60" s="19" t="s">
        <v>25</v>
      </c>
      <c r="G60" s="10" t="s">
        <v>10</v>
      </c>
      <c r="H60" s="11">
        <v>5000</v>
      </c>
    </row>
    <row r="61" spans="1:8" ht="24.95" customHeight="1" x14ac:dyDescent="0.25">
      <c r="A61" s="74"/>
      <c r="B61" s="2">
        <v>45804</v>
      </c>
      <c r="C61" s="3">
        <v>37571875</v>
      </c>
      <c r="D61" s="3">
        <v>1</v>
      </c>
      <c r="E61" s="4" t="s">
        <v>684</v>
      </c>
      <c r="F61" s="19" t="s">
        <v>25</v>
      </c>
      <c r="G61" s="10" t="s">
        <v>19</v>
      </c>
      <c r="H61" s="11">
        <v>5000</v>
      </c>
    </row>
    <row r="62" spans="1:8" ht="24.95" customHeight="1" x14ac:dyDescent="0.25">
      <c r="A62" s="74"/>
      <c r="B62" s="2">
        <v>45805</v>
      </c>
      <c r="C62" s="3">
        <v>1356940640</v>
      </c>
      <c r="D62" s="3">
        <v>2</v>
      </c>
      <c r="E62" s="4" t="s">
        <v>685</v>
      </c>
      <c r="F62" s="19" t="s">
        <v>25</v>
      </c>
      <c r="G62" s="10" t="s">
        <v>19</v>
      </c>
      <c r="H62" s="11">
        <v>10000</v>
      </c>
    </row>
    <row r="63" spans="1:8" ht="24.95" customHeight="1" x14ac:dyDescent="0.25">
      <c r="A63" s="74"/>
      <c r="B63" s="2">
        <v>45806</v>
      </c>
      <c r="C63" s="3">
        <v>4011936327</v>
      </c>
      <c r="D63" s="3">
        <v>2</v>
      </c>
      <c r="E63" s="4" t="s">
        <v>105</v>
      </c>
      <c r="F63" s="19" t="s">
        <v>25</v>
      </c>
      <c r="G63" s="10" t="s">
        <v>13</v>
      </c>
      <c r="H63" s="11">
        <v>10000</v>
      </c>
    </row>
    <row r="64" spans="1:8" ht="24.95" customHeight="1" x14ac:dyDescent="0.25">
      <c r="A64" s="74"/>
      <c r="B64" s="2">
        <v>45806</v>
      </c>
      <c r="C64" s="3">
        <v>917783383</v>
      </c>
      <c r="D64" s="3">
        <v>2</v>
      </c>
      <c r="E64" s="4" t="s">
        <v>621</v>
      </c>
      <c r="F64" s="19" t="s">
        <v>389</v>
      </c>
      <c r="G64" s="10" t="s">
        <v>7</v>
      </c>
      <c r="H64" s="11">
        <v>10000</v>
      </c>
    </row>
    <row r="65" spans="1:8" ht="24.95" customHeight="1" x14ac:dyDescent="0.25">
      <c r="A65" s="74"/>
      <c r="B65" s="2">
        <v>45812</v>
      </c>
      <c r="C65" s="3">
        <v>2561035022</v>
      </c>
      <c r="D65" s="3">
        <v>2</v>
      </c>
      <c r="E65" s="4" t="s">
        <v>637</v>
      </c>
      <c r="F65" s="19" t="s">
        <v>25</v>
      </c>
      <c r="G65" s="10" t="s">
        <v>6</v>
      </c>
      <c r="H65" s="11">
        <v>10000</v>
      </c>
    </row>
    <row r="66" spans="1:8" ht="24.95" customHeight="1" x14ac:dyDescent="0.25">
      <c r="A66" s="74"/>
      <c r="B66" s="2">
        <v>45814</v>
      </c>
      <c r="C66" s="3">
        <v>455099357</v>
      </c>
      <c r="D66" s="3">
        <v>2</v>
      </c>
      <c r="E66" s="4" t="s">
        <v>646</v>
      </c>
      <c r="F66" s="19" t="s">
        <v>25</v>
      </c>
      <c r="G66" s="10" t="s">
        <v>10</v>
      </c>
      <c r="H66" s="11">
        <v>10000</v>
      </c>
    </row>
    <row r="67" spans="1:8" ht="24.95" customHeight="1" x14ac:dyDescent="0.25">
      <c r="A67" s="74"/>
      <c r="B67" s="2">
        <v>45819</v>
      </c>
      <c r="C67" s="3">
        <v>3126871400</v>
      </c>
      <c r="D67" s="3">
        <v>2</v>
      </c>
      <c r="E67" s="4" t="s">
        <v>686</v>
      </c>
      <c r="F67" s="19" t="s">
        <v>25</v>
      </c>
      <c r="G67" s="10" t="s">
        <v>19</v>
      </c>
      <c r="H67" s="11">
        <v>10000</v>
      </c>
    </row>
    <row r="68" spans="1:8" ht="24.95" customHeight="1" x14ac:dyDescent="0.25">
      <c r="A68" s="74"/>
      <c r="B68" s="2">
        <v>45820</v>
      </c>
      <c r="C68" s="3">
        <v>2583184228</v>
      </c>
      <c r="D68" s="3">
        <v>3</v>
      </c>
      <c r="E68" s="4" t="s">
        <v>622</v>
      </c>
      <c r="F68" s="19" t="s">
        <v>389</v>
      </c>
      <c r="G68" s="10" t="s">
        <v>10</v>
      </c>
      <c r="H68" s="11">
        <v>15000</v>
      </c>
    </row>
    <row r="69" spans="1:8" ht="24.95" customHeight="1" x14ac:dyDescent="0.25">
      <c r="A69" s="74"/>
      <c r="B69" s="2">
        <v>45824</v>
      </c>
      <c r="C69" s="3">
        <v>3333505554</v>
      </c>
      <c r="D69" s="3">
        <v>2</v>
      </c>
      <c r="E69" s="4" t="s">
        <v>83</v>
      </c>
      <c r="F69" s="19" t="s">
        <v>104</v>
      </c>
      <c r="G69" s="10" t="s">
        <v>19</v>
      </c>
      <c r="H69" s="11">
        <v>10000</v>
      </c>
    </row>
    <row r="70" spans="1:8" ht="24.95" customHeight="1" x14ac:dyDescent="0.25">
      <c r="A70" s="74"/>
      <c r="B70" s="2">
        <v>45825</v>
      </c>
      <c r="C70" s="3">
        <v>33114116</v>
      </c>
      <c r="D70" s="3">
        <v>2</v>
      </c>
      <c r="E70" s="4" t="s">
        <v>687</v>
      </c>
      <c r="F70" s="19" t="s">
        <v>389</v>
      </c>
      <c r="G70" s="10" t="s">
        <v>10</v>
      </c>
      <c r="H70" s="11">
        <v>10000</v>
      </c>
    </row>
    <row r="71" spans="1:8" ht="24.95" customHeight="1" x14ac:dyDescent="0.25">
      <c r="A71" s="74"/>
      <c r="B71" s="2">
        <v>45826</v>
      </c>
      <c r="C71" s="3">
        <v>1693859939</v>
      </c>
      <c r="D71" s="3">
        <v>3</v>
      </c>
      <c r="E71" s="4" t="s">
        <v>626</v>
      </c>
      <c r="F71" s="19" t="s">
        <v>389</v>
      </c>
      <c r="G71" s="10" t="s">
        <v>11</v>
      </c>
      <c r="H71" s="11">
        <v>15000</v>
      </c>
    </row>
    <row r="72" spans="1:8" ht="24.95" customHeight="1" x14ac:dyDescent="0.25">
      <c r="A72" s="74"/>
      <c r="B72" s="2">
        <v>45833</v>
      </c>
      <c r="C72" s="3">
        <v>1163479015</v>
      </c>
      <c r="D72" s="3">
        <v>2</v>
      </c>
      <c r="E72" s="4" t="s">
        <v>688</v>
      </c>
      <c r="F72" s="19" t="s">
        <v>389</v>
      </c>
      <c r="G72" s="10" t="s">
        <v>13</v>
      </c>
      <c r="H72" s="11">
        <v>10000</v>
      </c>
    </row>
    <row r="73" spans="1:8" ht="15.75" x14ac:dyDescent="0.25">
      <c r="A73" s="74"/>
      <c r="B73" s="2">
        <v>45835</v>
      </c>
      <c r="C73" s="3">
        <v>3581757804</v>
      </c>
      <c r="D73" s="3">
        <v>3</v>
      </c>
      <c r="E73" s="4" t="s">
        <v>689</v>
      </c>
      <c r="F73" s="19" t="s">
        <v>389</v>
      </c>
      <c r="G73" s="10" t="s">
        <v>19</v>
      </c>
      <c r="H73" s="11">
        <v>15000</v>
      </c>
    </row>
    <row r="74" spans="1:8" ht="15.75" x14ac:dyDescent="0.25">
      <c r="A74" s="74"/>
      <c r="B74" s="2">
        <v>45840</v>
      </c>
      <c r="C74" s="3">
        <v>2218541913</v>
      </c>
      <c r="D74" s="3">
        <v>2</v>
      </c>
      <c r="E74" s="4" t="s">
        <v>791</v>
      </c>
      <c r="F74" s="19" t="s">
        <v>25</v>
      </c>
      <c r="G74" s="10" t="s">
        <v>7</v>
      </c>
      <c r="H74" s="11">
        <v>10000</v>
      </c>
    </row>
    <row r="75" spans="1:8" ht="15.75" x14ac:dyDescent="0.25">
      <c r="A75" s="74"/>
      <c r="B75" s="2">
        <v>45840</v>
      </c>
      <c r="C75" s="3">
        <v>1671843409</v>
      </c>
      <c r="D75" s="3">
        <v>2</v>
      </c>
      <c r="E75" s="4" t="s">
        <v>741</v>
      </c>
      <c r="F75" s="19" t="s">
        <v>25</v>
      </c>
      <c r="G75" s="10" t="s">
        <v>7</v>
      </c>
      <c r="H75" s="11">
        <v>10000</v>
      </c>
    </row>
    <row r="76" spans="1:8" ht="15.75" x14ac:dyDescent="0.25">
      <c r="A76" s="74"/>
      <c r="B76" s="2">
        <v>45847</v>
      </c>
      <c r="C76" s="3">
        <v>1183141224</v>
      </c>
      <c r="D76" s="3">
        <v>2</v>
      </c>
      <c r="E76" s="4" t="s">
        <v>188</v>
      </c>
      <c r="F76" s="19" t="s">
        <v>25</v>
      </c>
      <c r="G76" s="10" t="s">
        <v>19</v>
      </c>
      <c r="H76" s="11">
        <v>10000</v>
      </c>
    </row>
    <row r="77" spans="1:8" ht="15.75" x14ac:dyDescent="0.25">
      <c r="A77" s="74"/>
      <c r="B77" s="2">
        <v>45861</v>
      </c>
      <c r="C77" s="3">
        <v>4031467196</v>
      </c>
      <c r="D77" s="3">
        <v>2</v>
      </c>
      <c r="E77" s="4" t="s">
        <v>83</v>
      </c>
      <c r="F77" s="19" t="s">
        <v>104</v>
      </c>
      <c r="G77" s="10" t="s">
        <v>19</v>
      </c>
      <c r="H77" s="11">
        <v>10000</v>
      </c>
    </row>
    <row r="78" spans="1:8" ht="15.75" x14ac:dyDescent="0.25">
      <c r="A78" s="74"/>
      <c r="B78" s="2">
        <v>45862</v>
      </c>
      <c r="C78" s="3">
        <v>2168278153</v>
      </c>
      <c r="D78" s="3">
        <v>2</v>
      </c>
      <c r="E78" s="4" t="s">
        <v>349</v>
      </c>
      <c r="F78" s="19" t="s">
        <v>25</v>
      </c>
      <c r="G78" s="10" t="s">
        <v>19</v>
      </c>
      <c r="H78" s="11">
        <v>10000</v>
      </c>
    </row>
    <row r="79" spans="1:8" ht="15.75" x14ac:dyDescent="0.25">
      <c r="A79" s="74"/>
      <c r="B79" s="2">
        <v>45863</v>
      </c>
      <c r="C79" s="3">
        <v>2346338509</v>
      </c>
      <c r="D79" s="3">
        <v>2</v>
      </c>
      <c r="E79" s="4" t="s">
        <v>390</v>
      </c>
      <c r="F79" s="19" t="s">
        <v>792</v>
      </c>
      <c r="G79" s="10" t="s">
        <v>19</v>
      </c>
      <c r="H79" s="11">
        <v>10000</v>
      </c>
    </row>
    <row r="80" spans="1:8" ht="15.75" x14ac:dyDescent="0.25">
      <c r="A80" s="74"/>
      <c r="B80" s="2">
        <v>45866</v>
      </c>
      <c r="C80" s="3">
        <v>2090615078</v>
      </c>
      <c r="D80" s="3">
        <v>2</v>
      </c>
      <c r="E80" s="4" t="s">
        <v>793</v>
      </c>
      <c r="F80" s="19" t="s">
        <v>25</v>
      </c>
      <c r="G80" s="10" t="s">
        <v>19</v>
      </c>
      <c r="H80" s="11">
        <v>10000</v>
      </c>
    </row>
    <row r="81" spans="1:8" ht="15.75" x14ac:dyDescent="0.25">
      <c r="A81" s="74"/>
      <c r="B81" s="2">
        <v>45869</v>
      </c>
      <c r="C81" s="3">
        <v>1978024460</v>
      </c>
      <c r="D81" s="3">
        <v>2</v>
      </c>
      <c r="E81" s="4" t="s">
        <v>794</v>
      </c>
      <c r="F81" s="19" t="s">
        <v>25</v>
      </c>
      <c r="G81" s="10" t="s">
        <v>19</v>
      </c>
      <c r="H81" s="11">
        <v>10000</v>
      </c>
    </row>
    <row r="82" spans="1:8" ht="15.75" x14ac:dyDescent="0.25">
      <c r="A82" s="74"/>
      <c r="B82" s="2">
        <v>45869</v>
      </c>
      <c r="C82" s="3">
        <v>2251180563</v>
      </c>
      <c r="D82" s="3">
        <v>2</v>
      </c>
      <c r="E82" s="4" t="s">
        <v>795</v>
      </c>
      <c r="F82" s="19" t="s">
        <v>25</v>
      </c>
      <c r="G82" s="10" t="s">
        <v>7</v>
      </c>
      <c r="H82" s="11">
        <v>10000</v>
      </c>
    </row>
    <row r="83" spans="1:8" ht="24.95" customHeight="1" x14ac:dyDescent="0.25">
      <c r="A83" s="74"/>
      <c r="B83" s="2">
        <v>45869</v>
      </c>
      <c r="C83" s="3">
        <v>1651723636</v>
      </c>
      <c r="D83" s="3">
        <v>2</v>
      </c>
      <c r="E83" s="4" t="s">
        <v>796</v>
      </c>
      <c r="F83" s="19" t="s">
        <v>25</v>
      </c>
      <c r="G83" s="10" t="s">
        <v>6</v>
      </c>
      <c r="H83" s="11">
        <v>10000</v>
      </c>
    </row>
    <row r="84" spans="1:8" ht="24.95" customHeight="1" x14ac:dyDescent="0.25">
      <c r="A84" s="74"/>
      <c r="B84" s="2">
        <v>45870</v>
      </c>
      <c r="C84" s="3">
        <v>1709656858</v>
      </c>
      <c r="D84" s="3">
        <v>1</v>
      </c>
      <c r="E84" s="4" t="s">
        <v>413</v>
      </c>
      <c r="F84" s="4" t="s">
        <v>25</v>
      </c>
      <c r="G84" s="5" t="s">
        <v>11</v>
      </c>
      <c r="H84" s="6">
        <v>5000</v>
      </c>
    </row>
    <row r="85" spans="1:8" ht="24.95" customHeight="1" x14ac:dyDescent="0.25">
      <c r="A85" s="74"/>
      <c r="B85" s="2">
        <v>45876</v>
      </c>
      <c r="C85" s="3">
        <v>3580182941</v>
      </c>
      <c r="D85" s="3">
        <v>3</v>
      </c>
      <c r="E85" s="4" t="s">
        <v>915</v>
      </c>
      <c r="F85" s="4" t="s">
        <v>389</v>
      </c>
      <c r="G85" s="5" t="s">
        <v>10</v>
      </c>
      <c r="H85" s="6">
        <v>15000</v>
      </c>
    </row>
    <row r="86" spans="1:8" ht="24.95" customHeight="1" x14ac:dyDescent="0.25">
      <c r="A86" s="74"/>
      <c r="B86" s="2">
        <v>45880</v>
      </c>
      <c r="C86" s="3">
        <v>3581362970</v>
      </c>
      <c r="D86" s="3">
        <v>2</v>
      </c>
      <c r="E86" s="4" t="s">
        <v>477</v>
      </c>
      <c r="F86" s="4" t="s">
        <v>916</v>
      </c>
      <c r="G86" s="5" t="s">
        <v>19</v>
      </c>
      <c r="H86" s="6">
        <v>10000</v>
      </c>
    </row>
    <row r="87" spans="1:8" ht="24.95" customHeight="1" x14ac:dyDescent="0.25">
      <c r="A87" s="74"/>
      <c r="B87" s="2">
        <v>45887</v>
      </c>
      <c r="C87" s="3">
        <v>921259484</v>
      </c>
      <c r="D87" s="3">
        <v>2</v>
      </c>
      <c r="E87" s="4" t="s">
        <v>394</v>
      </c>
      <c r="F87" s="4" t="s">
        <v>25</v>
      </c>
      <c r="G87" s="5" t="s">
        <v>19</v>
      </c>
      <c r="H87" s="6">
        <v>10000</v>
      </c>
    </row>
    <row r="88" spans="1:8" ht="24.95" customHeight="1" x14ac:dyDescent="0.25">
      <c r="A88" s="74"/>
      <c r="B88" s="2">
        <v>45889</v>
      </c>
      <c r="C88" s="3">
        <v>3206629173</v>
      </c>
      <c r="D88" s="3">
        <v>2</v>
      </c>
      <c r="E88" s="4" t="s">
        <v>917</v>
      </c>
      <c r="F88" s="4" t="s">
        <v>25</v>
      </c>
      <c r="G88" s="5" t="s">
        <v>7</v>
      </c>
      <c r="H88" s="6">
        <v>10000</v>
      </c>
    </row>
    <row r="89" spans="1:8" ht="24.95" customHeight="1" x14ac:dyDescent="0.25">
      <c r="A89" s="74"/>
      <c r="B89" s="2">
        <v>45890</v>
      </c>
      <c r="C89" s="3">
        <v>4251600083</v>
      </c>
      <c r="D89" s="3">
        <v>2</v>
      </c>
      <c r="E89" s="4" t="s">
        <v>496</v>
      </c>
      <c r="F89" s="4" t="s">
        <v>25</v>
      </c>
      <c r="G89" s="5" t="s">
        <v>7</v>
      </c>
      <c r="H89" s="6">
        <v>10000</v>
      </c>
    </row>
    <row r="90" spans="1:8" ht="24.95" customHeight="1" x14ac:dyDescent="0.25">
      <c r="A90" s="74"/>
      <c r="B90" s="2">
        <v>45897</v>
      </c>
      <c r="C90" s="3">
        <v>896812298</v>
      </c>
      <c r="D90" s="3">
        <v>2</v>
      </c>
      <c r="E90" s="4" t="s">
        <v>517</v>
      </c>
      <c r="F90" s="4" t="s">
        <v>25</v>
      </c>
      <c r="G90" s="5" t="s">
        <v>7</v>
      </c>
      <c r="H90" s="6">
        <v>10000</v>
      </c>
    </row>
    <row r="91" spans="1:8" ht="24.95" customHeight="1" x14ac:dyDescent="0.25">
      <c r="A91" s="74"/>
      <c r="B91" s="2">
        <v>45902</v>
      </c>
      <c r="C91" s="3">
        <v>2201502690</v>
      </c>
      <c r="D91" s="3">
        <v>2</v>
      </c>
      <c r="E91" s="4" t="s">
        <v>986</v>
      </c>
      <c r="F91" s="4" t="s">
        <v>25</v>
      </c>
      <c r="G91" s="5" t="s">
        <v>19</v>
      </c>
      <c r="H91" s="6">
        <v>10000</v>
      </c>
    </row>
    <row r="92" spans="1:8" ht="24.95" customHeight="1" x14ac:dyDescent="0.25">
      <c r="A92" s="74"/>
      <c r="B92" s="2">
        <v>45904</v>
      </c>
      <c r="C92" s="3">
        <v>1367296050</v>
      </c>
      <c r="D92" s="3">
        <v>1</v>
      </c>
      <c r="E92" s="4" t="s">
        <v>987</v>
      </c>
      <c r="F92" s="4" t="s">
        <v>25</v>
      </c>
      <c r="G92" s="5" t="s">
        <v>11</v>
      </c>
      <c r="H92" s="6">
        <v>5000</v>
      </c>
    </row>
    <row r="93" spans="1:8" ht="24.95" customHeight="1" x14ac:dyDescent="0.25">
      <c r="A93" s="74"/>
      <c r="B93" s="2">
        <v>45904</v>
      </c>
      <c r="C93" s="3">
        <v>2165326716</v>
      </c>
      <c r="D93" s="3">
        <v>3</v>
      </c>
      <c r="E93" s="4" t="s">
        <v>951</v>
      </c>
      <c r="F93" s="4" t="s">
        <v>25</v>
      </c>
      <c r="G93" s="5" t="s">
        <v>19</v>
      </c>
      <c r="H93" s="6">
        <v>15000</v>
      </c>
    </row>
    <row r="94" spans="1:8" ht="24.95" customHeight="1" x14ac:dyDescent="0.25">
      <c r="A94" s="74"/>
      <c r="B94" s="2">
        <v>45905</v>
      </c>
      <c r="C94" s="3">
        <v>2897560455</v>
      </c>
      <c r="D94" s="3">
        <v>2</v>
      </c>
      <c r="E94" s="4" t="s">
        <v>950</v>
      </c>
      <c r="F94" s="4" t="s">
        <v>25</v>
      </c>
      <c r="G94" s="5" t="s">
        <v>7</v>
      </c>
      <c r="H94" s="6">
        <v>10000</v>
      </c>
    </row>
    <row r="95" spans="1:8" ht="24.95" customHeight="1" x14ac:dyDescent="0.25">
      <c r="A95" s="74"/>
      <c r="B95" s="2">
        <v>45910</v>
      </c>
      <c r="C95" s="3">
        <v>3554954603</v>
      </c>
      <c r="D95" s="3">
        <v>1</v>
      </c>
      <c r="E95" s="4" t="s">
        <v>987</v>
      </c>
      <c r="F95" s="4" t="s">
        <v>25</v>
      </c>
      <c r="G95" s="5" t="s">
        <v>7</v>
      </c>
      <c r="H95" s="6">
        <v>4000</v>
      </c>
    </row>
    <row r="96" spans="1:8" ht="24.95" customHeight="1" x14ac:dyDescent="0.25">
      <c r="A96" s="74"/>
      <c r="B96" s="2">
        <v>45910</v>
      </c>
      <c r="C96" s="3">
        <v>3554954603</v>
      </c>
      <c r="D96" s="3">
        <v>1</v>
      </c>
      <c r="E96" s="4" t="s">
        <v>987</v>
      </c>
      <c r="F96" s="4" t="s">
        <v>25</v>
      </c>
      <c r="G96" s="5" t="s">
        <v>11</v>
      </c>
      <c r="H96" s="6">
        <v>6000</v>
      </c>
    </row>
    <row r="97" spans="1:8" ht="24.95" customHeight="1" x14ac:dyDescent="0.25">
      <c r="A97" s="74"/>
      <c r="B97" s="2">
        <v>45911</v>
      </c>
      <c r="C97" s="3">
        <v>1213546554</v>
      </c>
      <c r="D97" s="3">
        <v>3</v>
      </c>
      <c r="E97" s="4" t="s">
        <v>988</v>
      </c>
      <c r="F97" s="4" t="s">
        <v>294</v>
      </c>
      <c r="G97" s="5" t="s">
        <v>7</v>
      </c>
      <c r="H97" s="6">
        <v>15000</v>
      </c>
    </row>
    <row r="98" spans="1:8" ht="24.95" customHeight="1" x14ac:dyDescent="0.25">
      <c r="A98" s="74"/>
      <c r="B98" s="2">
        <v>45912</v>
      </c>
      <c r="C98" s="3">
        <v>2574010395</v>
      </c>
      <c r="D98" s="3">
        <v>2</v>
      </c>
      <c r="E98" s="4" t="s">
        <v>957</v>
      </c>
      <c r="F98" s="4" t="s">
        <v>25</v>
      </c>
      <c r="G98" s="5" t="s">
        <v>7</v>
      </c>
      <c r="H98" s="6">
        <v>10000</v>
      </c>
    </row>
    <row r="99" spans="1:8" ht="24.95" customHeight="1" x14ac:dyDescent="0.25">
      <c r="A99" s="74"/>
      <c r="B99" s="2">
        <v>45923</v>
      </c>
      <c r="C99" s="3">
        <v>3060485992</v>
      </c>
      <c r="D99" s="3">
        <v>2</v>
      </c>
      <c r="E99" s="4" t="s">
        <v>989</v>
      </c>
      <c r="F99" s="4" t="s">
        <v>25</v>
      </c>
      <c r="G99" s="5" t="s">
        <v>7</v>
      </c>
      <c r="H99" s="6">
        <v>10000</v>
      </c>
    </row>
    <row r="100" spans="1:8" ht="24.95" customHeight="1" x14ac:dyDescent="0.25">
      <c r="A100" s="74"/>
      <c r="B100" s="2">
        <v>45924</v>
      </c>
      <c r="C100" s="3">
        <v>2794802534</v>
      </c>
      <c r="D100" s="3">
        <v>2</v>
      </c>
      <c r="E100" s="4" t="s">
        <v>154</v>
      </c>
      <c r="F100" s="4" t="s">
        <v>25</v>
      </c>
      <c r="G100" s="5" t="s">
        <v>7</v>
      </c>
      <c r="H100" s="6">
        <v>10000</v>
      </c>
    </row>
    <row r="101" spans="1:8" ht="24.95" customHeight="1" x14ac:dyDescent="0.25">
      <c r="A101" s="74"/>
      <c r="B101" s="47">
        <v>45931</v>
      </c>
      <c r="C101" s="48">
        <v>3529982003</v>
      </c>
      <c r="D101" s="3">
        <v>2</v>
      </c>
      <c r="E101" s="28" t="s">
        <v>610</v>
      </c>
      <c r="F101" s="28" t="s">
        <v>25</v>
      </c>
      <c r="G101" s="49" t="s">
        <v>6</v>
      </c>
      <c r="H101" s="6">
        <v>12000</v>
      </c>
    </row>
    <row r="102" spans="1:8" ht="24.95" customHeight="1" x14ac:dyDescent="0.25">
      <c r="A102" s="74"/>
      <c r="B102" s="47">
        <v>45933</v>
      </c>
      <c r="C102" s="48">
        <v>605112694</v>
      </c>
      <c r="D102" s="3">
        <v>2</v>
      </c>
      <c r="E102" s="28" t="s">
        <v>1055</v>
      </c>
      <c r="F102" s="28" t="s">
        <v>1056</v>
      </c>
      <c r="G102" s="49" t="s">
        <v>7</v>
      </c>
      <c r="H102" s="6">
        <v>8000</v>
      </c>
    </row>
    <row r="103" spans="1:8" ht="24.95" customHeight="1" x14ac:dyDescent="0.25">
      <c r="A103" s="74"/>
      <c r="B103" s="47">
        <v>45933</v>
      </c>
      <c r="C103" s="48">
        <v>605112694</v>
      </c>
      <c r="D103" s="3">
        <v>1</v>
      </c>
      <c r="E103" s="28" t="s">
        <v>1055</v>
      </c>
      <c r="F103" s="28" t="s">
        <v>1057</v>
      </c>
      <c r="G103" s="49" t="s">
        <v>11</v>
      </c>
      <c r="H103" s="6">
        <v>2000</v>
      </c>
    </row>
    <row r="104" spans="1:8" ht="24.95" customHeight="1" x14ac:dyDescent="0.25">
      <c r="A104" s="74"/>
      <c r="B104" s="47">
        <v>45943</v>
      </c>
      <c r="C104" s="48">
        <v>3872473816</v>
      </c>
      <c r="D104" s="3">
        <v>1</v>
      </c>
      <c r="E104" s="28" t="s">
        <v>313</v>
      </c>
      <c r="F104" s="28" t="s">
        <v>25</v>
      </c>
      <c r="G104" s="49" t="s">
        <v>6</v>
      </c>
      <c r="H104" s="6">
        <v>5000</v>
      </c>
    </row>
    <row r="105" spans="1:8" ht="24.95" customHeight="1" x14ac:dyDescent="0.25">
      <c r="A105" s="74"/>
      <c r="B105" s="47">
        <v>45944</v>
      </c>
      <c r="C105" s="48">
        <v>4057153859</v>
      </c>
      <c r="D105" s="3">
        <v>2</v>
      </c>
      <c r="E105" s="28" t="s">
        <v>246</v>
      </c>
      <c r="F105" s="28" t="s">
        <v>25</v>
      </c>
      <c r="G105" s="49" t="s">
        <v>7</v>
      </c>
      <c r="H105" s="6">
        <v>10000</v>
      </c>
    </row>
    <row r="106" spans="1:8" ht="24.95" customHeight="1" x14ac:dyDescent="0.25">
      <c r="A106" s="74"/>
      <c r="B106" s="47">
        <v>45945</v>
      </c>
      <c r="C106" s="48">
        <v>3749855943</v>
      </c>
      <c r="D106" s="3">
        <v>2</v>
      </c>
      <c r="E106" s="28" t="s">
        <v>1033</v>
      </c>
      <c r="F106" s="28" t="s">
        <v>25</v>
      </c>
      <c r="G106" s="49" t="s">
        <v>11</v>
      </c>
      <c r="H106" s="6">
        <v>10000</v>
      </c>
    </row>
    <row r="107" spans="1:8" ht="24.95" customHeight="1" x14ac:dyDescent="0.25">
      <c r="A107" s="74"/>
      <c r="B107" s="47">
        <v>45954</v>
      </c>
      <c r="C107" s="48">
        <v>1617054938</v>
      </c>
      <c r="D107" s="3">
        <v>2</v>
      </c>
      <c r="E107" s="28" t="s">
        <v>83</v>
      </c>
      <c r="F107" s="28" t="s">
        <v>104</v>
      </c>
      <c r="G107" s="49" t="s">
        <v>19</v>
      </c>
      <c r="H107" s="6">
        <v>10000</v>
      </c>
    </row>
    <row r="108" spans="1:8" ht="24.95" customHeight="1" x14ac:dyDescent="0.25">
      <c r="A108" s="74"/>
      <c r="B108" s="47">
        <v>45957</v>
      </c>
      <c r="C108" s="48">
        <v>1133528486</v>
      </c>
      <c r="D108" s="3">
        <v>2</v>
      </c>
      <c r="E108" s="28" t="s">
        <v>1058</v>
      </c>
      <c r="F108" s="28" t="s">
        <v>389</v>
      </c>
      <c r="G108" s="49" t="s">
        <v>7</v>
      </c>
      <c r="H108" s="6">
        <v>10000</v>
      </c>
    </row>
    <row r="109" spans="1:8" ht="24.95" customHeight="1" x14ac:dyDescent="0.25">
      <c r="A109" s="74"/>
      <c r="B109" s="47">
        <v>45958</v>
      </c>
      <c r="C109" s="48">
        <v>3349169554</v>
      </c>
      <c r="D109" s="3">
        <v>2</v>
      </c>
      <c r="E109" s="28" t="s">
        <v>572</v>
      </c>
      <c r="F109" s="28" t="s">
        <v>104</v>
      </c>
      <c r="G109" s="49" t="s">
        <v>19</v>
      </c>
      <c r="H109" s="6">
        <v>10000</v>
      </c>
    </row>
    <row r="110" spans="1:8" ht="24.95" customHeight="1" x14ac:dyDescent="0.25">
      <c r="A110" s="74"/>
      <c r="B110" s="47">
        <v>45959</v>
      </c>
      <c r="C110" s="48">
        <v>408437182</v>
      </c>
      <c r="D110" s="3">
        <v>2</v>
      </c>
      <c r="E110" s="28" t="s">
        <v>241</v>
      </c>
      <c r="F110" s="28" t="s">
        <v>25</v>
      </c>
      <c r="G110" s="49" t="s">
        <v>10</v>
      </c>
      <c r="H110" s="6">
        <v>10000</v>
      </c>
    </row>
    <row r="111" spans="1:8" ht="24.95" customHeight="1" x14ac:dyDescent="0.25">
      <c r="A111" s="74"/>
      <c r="B111" s="47">
        <v>45959</v>
      </c>
      <c r="C111" s="48">
        <v>212222302</v>
      </c>
      <c r="D111" s="3">
        <v>2</v>
      </c>
      <c r="E111" s="28" t="s">
        <v>122</v>
      </c>
      <c r="F111" s="28" t="s">
        <v>25</v>
      </c>
      <c r="G111" s="49" t="s">
        <v>10</v>
      </c>
      <c r="H111" s="6">
        <v>10000</v>
      </c>
    </row>
    <row r="112" spans="1:8" ht="24.95" customHeight="1" x14ac:dyDescent="0.25">
      <c r="A112" s="74"/>
      <c r="B112" s="47">
        <v>45973</v>
      </c>
      <c r="C112" s="48">
        <v>2650557551</v>
      </c>
      <c r="D112" s="3">
        <v>2</v>
      </c>
      <c r="E112" s="28" t="s">
        <v>551</v>
      </c>
      <c r="F112" s="28" t="s">
        <v>916</v>
      </c>
      <c r="G112" s="49" t="s">
        <v>19</v>
      </c>
      <c r="H112" s="6">
        <v>10000</v>
      </c>
    </row>
    <row r="113" spans="1:8" ht="24.95" customHeight="1" x14ac:dyDescent="0.25">
      <c r="A113" s="74"/>
      <c r="B113" s="47">
        <v>45973</v>
      </c>
      <c r="C113" s="48">
        <v>3832368173</v>
      </c>
      <c r="D113" s="3">
        <v>2</v>
      </c>
      <c r="E113" s="28" t="s">
        <v>867</v>
      </c>
      <c r="F113" s="28" t="s">
        <v>916</v>
      </c>
      <c r="G113" s="49" t="s">
        <v>19</v>
      </c>
      <c r="H113" s="6">
        <v>10000</v>
      </c>
    </row>
    <row r="114" spans="1:8" ht="24.95" customHeight="1" x14ac:dyDescent="0.25">
      <c r="A114" s="74"/>
      <c r="B114" s="47">
        <v>45974</v>
      </c>
      <c r="C114" s="48">
        <v>2122534605</v>
      </c>
      <c r="D114" s="3">
        <v>1</v>
      </c>
      <c r="E114" s="28" t="s">
        <v>1138</v>
      </c>
      <c r="F114" s="28" t="s">
        <v>389</v>
      </c>
      <c r="G114" s="49" t="s">
        <v>6</v>
      </c>
      <c r="H114" s="6">
        <v>5000</v>
      </c>
    </row>
    <row r="115" spans="1:8" ht="24.95" customHeight="1" x14ac:dyDescent="0.25">
      <c r="A115" s="74"/>
      <c r="B115" s="47">
        <v>45981</v>
      </c>
      <c r="C115" s="48">
        <v>1744782577</v>
      </c>
      <c r="D115" s="3">
        <v>2</v>
      </c>
      <c r="E115" s="28" t="s">
        <v>501</v>
      </c>
      <c r="F115" s="28" t="s">
        <v>25</v>
      </c>
      <c r="G115" s="49" t="s">
        <v>7</v>
      </c>
      <c r="H115" s="6">
        <v>10000</v>
      </c>
    </row>
    <row r="116" spans="1:8" ht="24.95" customHeight="1" x14ac:dyDescent="0.25">
      <c r="A116" s="74"/>
      <c r="B116" s="47">
        <v>45988</v>
      </c>
      <c r="C116" s="48">
        <v>376983394</v>
      </c>
      <c r="D116" s="3">
        <v>2</v>
      </c>
      <c r="E116" s="28" t="s">
        <v>1139</v>
      </c>
      <c r="F116" s="28" t="s">
        <v>25</v>
      </c>
      <c r="G116" s="49" t="s">
        <v>10</v>
      </c>
      <c r="H116" s="6">
        <v>10000</v>
      </c>
    </row>
    <row r="117" spans="1:8" ht="24.95" customHeight="1" x14ac:dyDescent="0.25">
      <c r="A117" s="74"/>
      <c r="B117" s="47">
        <v>45988</v>
      </c>
      <c r="C117" s="48">
        <v>440749362</v>
      </c>
      <c r="D117" s="3">
        <v>2</v>
      </c>
      <c r="E117" s="28" t="s">
        <v>1140</v>
      </c>
      <c r="F117" s="28" t="s">
        <v>25</v>
      </c>
      <c r="G117" s="49" t="s">
        <v>19</v>
      </c>
      <c r="H117" s="6">
        <v>10000</v>
      </c>
    </row>
    <row r="118" spans="1:8" ht="24.95" customHeight="1" x14ac:dyDescent="0.25">
      <c r="A118" s="74"/>
      <c r="B118" s="47">
        <v>45996</v>
      </c>
      <c r="C118" s="48">
        <v>1065373168</v>
      </c>
      <c r="D118" s="3">
        <v>2</v>
      </c>
      <c r="E118" s="28" t="s">
        <v>403</v>
      </c>
      <c r="F118" s="28" t="s">
        <v>25</v>
      </c>
      <c r="G118" s="49" t="s">
        <v>6</v>
      </c>
      <c r="H118" s="6">
        <v>10000</v>
      </c>
    </row>
    <row r="119" spans="1:8" ht="24.95" customHeight="1" x14ac:dyDescent="0.25">
      <c r="A119" s="74"/>
      <c r="B119" s="47">
        <v>46002</v>
      </c>
      <c r="C119" s="48">
        <v>3803270622</v>
      </c>
      <c r="D119" s="3">
        <v>2</v>
      </c>
      <c r="E119" s="28" t="s">
        <v>159</v>
      </c>
      <c r="F119" s="28" t="s">
        <v>104</v>
      </c>
      <c r="G119" s="49" t="s">
        <v>19</v>
      </c>
      <c r="H119" s="6">
        <v>10000</v>
      </c>
    </row>
    <row r="120" spans="1:8" ht="24.95" customHeight="1" x14ac:dyDescent="0.25">
      <c r="A120" s="74"/>
      <c r="B120" s="47">
        <v>46002</v>
      </c>
      <c r="C120" s="48">
        <v>2386772829</v>
      </c>
      <c r="D120" s="3">
        <v>2</v>
      </c>
      <c r="E120" s="28" t="s">
        <v>1234</v>
      </c>
      <c r="F120" s="28" t="s">
        <v>25</v>
      </c>
      <c r="G120" s="49" t="s">
        <v>6</v>
      </c>
      <c r="H120" s="6">
        <v>10000</v>
      </c>
    </row>
    <row r="121" spans="1:8" ht="24.95" customHeight="1" x14ac:dyDescent="0.25">
      <c r="A121" s="74"/>
      <c r="B121" s="47">
        <v>46006</v>
      </c>
      <c r="C121" s="48">
        <v>1784367056</v>
      </c>
      <c r="D121" s="3">
        <v>2</v>
      </c>
      <c r="E121" s="28" t="s">
        <v>1253</v>
      </c>
      <c r="F121" s="28" t="s">
        <v>25</v>
      </c>
      <c r="G121" s="49" t="s">
        <v>6</v>
      </c>
      <c r="H121" s="6">
        <v>10000</v>
      </c>
    </row>
    <row r="122" spans="1:8" ht="24.95" customHeight="1" x14ac:dyDescent="0.25">
      <c r="A122" s="74"/>
      <c r="B122" s="47">
        <v>46007</v>
      </c>
      <c r="C122" s="48">
        <v>2770880027</v>
      </c>
      <c r="D122" s="3">
        <v>3</v>
      </c>
      <c r="E122" s="28" t="s">
        <v>1254</v>
      </c>
      <c r="F122" s="28" t="s">
        <v>389</v>
      </c>
      <c r="G122" s="49" t="s">
        <v>7</v>
      </c>
      <c r="H122" s="6">
        <v>15000</v>
      </c>
    </row>
    <row r="123" spans="1:8" ht="24.95" customHeight="1" x14ac:dyDescent="0.25">
      <c r="A123" s="74"/>
      <c r="B123" s="47">
        <v>46009</v>
      </c>
      <c r="C123" s="48">
        <v>974145449</v>
      </c>
      <c r="D123" s="3">
        <v>2</v>
      </c>
      <c r="E123" s="28" t="s">
        <v>200</v>
      </c>
      <c r="F123" s="28" t="s">
        <v>25</v>
      </c>
      <c r="G123" s="49" t="s">
        <v>10</v>
      </c>
      <c r="H123" s="6">
        <v>10000</v>
      </c>
    </row>
    <row r="124" spans="1:8" ht="24.95" customHeight="1" x14ac:dyDescent="0.25">
      <c r="A124" s="74"/>
      <c r="B124" s="47">
        <v>46010</v>
      </c>
      <c r="C124" s="48">
        <v>871646583</v>
      </c>
      <c r="D124" s="3">
        <v>2</v>
      </c>
      <c r="E124" s="28" t="s">
        <v>1255</v>
      </c>
      <c r="F124" s="28" t="s">
        <v>25</v>
      </c>
      <c r="G124" s="49" t="s">
        <v>6</v>
      </c>
      <c r="H124" s="6">
        <v>10000</v>
      </c>
    </row>
    <row r="125" spans="1:8" ht="24.95" customHeight="1" x14ac:dyDescent="0.25">
      <c r="A125" s="74"/>
      <c r="B125" s="47">
        <v>46022</v>
      </c>
      <c r="C125" s="48">
        <v>194070282</v>
      </c>
      <c r="D125" s="3">
        <v>2</v>
      </c>
      <c r="E125" s="28" t="s">
        <v>99</v>
      </c>
      <c r="F125" s="28" t="s">
        <v>25</v>
      </c>
      <c r="G125" s="49" t="s">
        <v>19</v>
      </c>
      <c r="H125" s="6">
        <v>10000</v>
      </c>
    </row>
    <row r="126" spans="1:8" ht="24.95" customHeight="1" x14ac:dyDescent="0.25">
      <c r="A126" s="74"/>
      <c r="B126" s="47">
        <v>46022</v>
      </c>
      <c r="C126" s="48">
        <v>1424903467</v>
      </c>
      <c r="D126" s="3">
        <v>2</v>
      </c>
      <c r="E126" s="28" t="s">
        <v>1087</v>
      </c>
      <c r="F126" s="28" t="s">
        <v>25</v>
      </c>
      <c r="G126" s="49" t="s">
        <v>19</v>
      </c>
      <c r="H126" s="6">
        <v>10000</v>
      </c>
    </row>
    <row r="127" spans="1:8" ht="15.75" x14ac:dyDescent="0.25">
      <c r="A127" s="75"/>
      <c r="B127" s="13"/>
      <c r="C127" s="14"/>
      <c r="D127" s="14"/>
      <c r="E127" s="14" t="s">
        <v>5</v>
      </c>
      <c r="F127" s="15"/>
      <c r="G127" s="16"/>
      <c r="H127" s="23">
        <f>SUM(H3:H126)</f>
        <v>1268200</v>
      </c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5">
    <tabColor rgb="FFFF0000"/>
  </sheetPr>
  <dimension ref="A1:H4"/>
  <sheetViews>
    <sheetView workbookViewId="0">
      <selection activeCell="E14" sqref="E14"/>
    </sheetView>
  </sheetViews>
  <sheetFormatPr baseColWidth="10" defaultColWidth="9.140625" defaultRowHeight="15" x14ac:dyDescent="0.25"/>
  <cols>
    <col min="1" max="1" width="18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9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94" t="s">
        <v>27</v>
      </c>
      <c r="B1" s="86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95"/>
      <c r="B2" s="87"/>
      <c r="C2" s="88"/>
      <c r="D2" s="88"/>
      <c r="E2" s="88"/>
      <c r="F2" s="88"/>
      <c r="G2" s="82"/>
      <c r="H2" s="84"/>
    </row>
    <row r="3" spans="1:8" ht="20.100000000000001" customHeight="1" x14ac:dyDescent="0.25">
      <c r="A3" s="95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46" t="s">
        <v>95</v>
      </c>
    </row>
    <row r="4" spans="1:8" ht="15.75" x14ac:dyDescent="0.25">
      <c r="A4" s="96"/>
      <c r="B4" s="13"/>
      <c r="C4" s="14"/>
      <c r="D4" s="14"/>
      <c r="E4" s="14" t="s">
        <v>5</v>
      </c>
      <c r="F4" s="15"/>
      <c r="G4" s="16"/>
      <c r="H4" s="23">
        <f>SUM(H3:H3)</f>
        <v>0</v>
      </c>
    </row>
  </sheetData>
  <mergeCells count="8">
    <mergeCell ref="A1:A4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6"/>
  <dimension ref="A1:H97"/>
  <sheetViews>
    <sheetView workbookViewId="0">
      <pane ySplit="2" topLeftCell="A66" activePane="bottomLeft" state="frozen"/>
      <selection pane="bottomLeft" sqref="A1:A1048576"/>
    </sheetView>
  </sheetViews>
  <sheetFormatPr baseColWidth="10" defaultColWidth="9.140625" defaultRowHeight="15" x14ac:dyDescent="0.25"/>
  <cols>
    <col min="1" max="1" width="14.85546875" style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28</v>
      </c>
      <c r="B1" s="92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74"/>
      <c r="B2" s="86"/>
      <c r="C2" s="88"/>
      <c r="D2" s="88"/>
      <c r="E2" s="88"/>
      <c r="F2" s="88"/>
      <c r="G2" s="82"/>
      <c r="H2" s="84"/>
    </row>
    <row r="3" spans="1:8" ht="15" customHeight="1" x14ac:dyDescent="0.25">
      <c r="A3" s="74"/>
      <c r="B3" s="2">
        <v>45671</v>
      </c>
      <c r="C3" s="3">
        <v>814566760</v>
      </c>
      <c r="D3" s="3">
        <v>1</v>
      </c>
      <c r="E3" s="4" t="s">
        <v>74</v>
      </c>
      <c r="F3" s="19" t="s">
        <v>87</v>
      </c>
      <c r="G3" s="10" t="s">
        <v>7</v>
      </c>
      <c r="H3" s="11">
        <v>2500</v>
      </c>
    </row>
    <row r="4" spans="1:8" ht="15" customHeight="1" x14ac:dyDescent="0.25">
      <c r="A4" s="74"/>
      <c r="B4" s="2">
        <v>45673</v>
      </c>
      <c r="C4" s="3">
        <v>2309900924</v>
      </c>
      <c r="D4" s="3">
        <v>2</v>
      </c>
      <c r="E4" s="4" t="s">
        <v>167</v>
      </c>
      <c r="F4" s="19" t="s">
        <v>87</v>
      </c>
      <c r="G4" s="10" t="s">
        <v>7</v>
      </c>
      <c r="H4" s="11">
        <v>5000</v>
      </c>
    </row>
    <row r="5" spans="1:8" ht="15" customHeight="1" x14ac:dyDescent="0.25">
      <c r="A5" s="74"/>
      <c r="B5" s="2">
        <v>45677</v>
      </c>
      <c r="C5" s="3">
        <v>1770408293</v>
      </c>
      <c r="D5" s="3">
        <v>1</v>
      </c>
      <c r="E5" s="4" t="s">
        <v>172</v>
      </c>
      <c r="F5" s="19" t="s">
        <v>87</v>
      </c>
      <c r="G5" s="10" t="s">
        <v>10</v>
      </c>
      <c r="H5" s="11">
        <v>2500</v>
      </c>
    </row>
    <row r="6" spans="1:8" ht="15" customHeight="1" x14ac:dyDescent="0.25">
      <c r="A6" s="74"/>
      <c r="B6" s="2">
        <v>45677</v>
      </c>
      <c r="C6" s="3">
        <v>3576581540</v>
      </c>
      <c r="D6" s="3">
        <v>2</v>
      </c>
      <c r="E6" s="4" t="s">
        <v>139</v>
      </c>
      <c r="F6" s="19" t="s">
        <v>87</v>
      </c>
      <c r="G6" s="10" t="s">
        <v>7</v>
      </c>
      <c r="H6" s="11">
        <v>5000</v>
      </c>
    </row>
    <row r="7" spans="1:8" ht="15" customHeight="1" x14ac:dyDescent="0.25">
      <c r="A7" s="74"/>
      <c r="B7" s="2">
        <v>45678</v>
      </c>
      <c r="C7" s="3">
        <v>3438365580</v>
      </c>
      <c r="D7" s="3">
        <v>2</v>
      </c>
      <c r="E7" s="4" t="s">
        <v>168</v>
      </c>
      <c r="F7" s="19" t="s">
        <v>87</v>
      </c>
      <c r="G7" s="10" t="s">
        <v>6</v>
      </c>
      <c r="H7" s="11">
        <v>5000</v>
      </c>
    </row>
    <row r="8" spans="1:8" ht="15" customHeight="1" x14ac:dyDescent="0.25">
      <c r="A8" s="74"/>
      <c r="B8" s="2">
        <v>45679</v>
      </c>
      <c r="C8" s="3">
        <v>1484147248</v>
      </c>
      <c r="D8" s="3">
        <v>2</v>
      </c>
      <c r="E8" s="4" t="s">
        <v>173</v>
      </c>
      <c r="F8" s="19" t="s">
        <v>87</v>
      </c>
      <c r="G8" s="10" t="s">
        <v>7</v>
      </c>
      <c r="H8" s="11">
        <v>5000</v>
      </c>
    </row>
    <row r="9" spans="1:8" ht="15" customHeight="1" x14ac:dyDescent="0.25">
      <c r="A9" s="74"/>
      <c r="B9" s="2">
        <v>45684</v>
      </c>
      <c r="C9" s="3">
        <v>356533895</v>
      </c>
      <c r="D9" s="3">
        <v>2</v>
      </c>
      <c r="E9" s="4" t="s">
        <v>79</v>
      </c>
      <c r="F9" s="19" t="s">
        <v>87</v>
      </c>
      <c r="G9" s="10" t="s">
        <v>6</v>
      </c>
      <c r="H9" s="11">
        <v>5000</v>
      </c>
    </row>
    <row r="10" spans="1:8" ht="15" customHeight="1" x14ac:dyDescent="0.25">
      <c r="A10" s="74"/>
      <c r="B10" s="2">
        <v>45684</v>
      </c>
      <c r="C10" s="3">
        <v>1492928895</v>
      </c>
      <c r="D10" s="3">
        <v>1</v>
      </c>
      <c r="E10" s="4" t="s">
        <v>74</v>
      </c>
      <c r="F10" s="19" t="s">
        <v>174</v>
      </c>
      <c r="G10" s="10" t="s">
        <v>6</v>
      </c>
      <c r="H10" s="11">
        <v>1500</v>
      </c>
    </row>
    <row r="11" spans="1:8" ht="15" customHeight="1" x14ac:dyDescent="0.25">
      <c r="A11" s="74"/>
      <c r="B11" s="2">
        <v>45686</v>
      </c>
      <c r="C11" s="3">
        <v>3701163459</v>
      </c>
      <c r="D11" s="3">
        <v>2</v>
      </c>
      <c r="E11" s="4" t="s">
        <v>55</v>
      </c>
      <c r="F11" s="19" t="s">
        <v>87</v>
      </c>
      <c r="G11" s="10" t="s">
        <v>11</v>
      </c>
      <c r="H11" s="11">
        <v>5000</v>
      </c>
    </row>
    <row r="12" spans="1:8" ht="15" customHeight="1" x14ac:dyDescent="0.25">
      <c r="A12" s="74"/>
      <c r="B12" s="2">
        <v>45687</v>
      </c>
      <c r="C12" s="3">
        <v>1917733017</v>
      </c>
      <c r="D12" s="3">
        <v>2</v>
      </c>
      <c r="E12" s="4" t="s">
        <v>129</v>
      </c>
      <c r="F12" s="19" t="s">
        <v>87</v>
      </c>
      <c r="G12" s="10" t="s">
        <v>6</v>
      </c>
      <c r="H12" s="11">
        <v>5000</v>
      </c>
    </row>
    <row r="13" spans="1:8" ht="15" customHeight="1" x14ac:dyDescent="0.25">
      <c r="A13" s="74"/>
      <c r="B13" s="2">
        <v>45687</v>
      </c>
      <c r="C13" s="3">
        <v>1917733017</v>
      </c>
      <c r="D13" s="3">
        <v>2</v>
      </c>
      <c r="E13" s="4" t="s">
        <v>169</v>
      </c>
      <c r="F13" s="19" t="s">
        <v>87</v>
      </c>
      <c r="G13" s="10" t="s">
        <v>6</v>
      </c>
      <c r="H13" s="11">
        <v>5000</v>
      </c>
    </row>
    <row r="14" spans="1:8" ht="15" customHeight="1" x14ac:dyDescent="0.25">
      <c r="A14" s="74"/>
      <c r="B14" s="2">
        <v>45691</v>
      </c>
      <c r="C14" s="3">
        <v>4110697988</v>
      </c>
      <c r="D14" s="3">
        <v>2</v>
      </c>
      <c r="E14" s="4" t="s">
        <v>297</v>
      </c>
      <c r="F14" s="19" t="s">
        <v>87</v>
      </c>
      <c r="G14" s="10" t="s">
        <v>7</v>
      </c>
      <c r="H14" s="11">
        <v>5000</v>
      </c>
    </row>
    <row r="15" spans="1:8" ht="15" customHeight="1" x14ac:dyDescent="0.25">
      <c r="A15" s="74"/>
      <c r="B15" s="2">
        <v>45694</v>
      </c>
      <c r="C15" s="3">
        <v>1757168799</v>
      </c>
      <c r="D15" s="3">
        <v>2</v>
      </c>
      <c r="E15" s="4" t="s">
        <v>298</v>
      </c>
      <c r="F15" s="19" t="s">
        <v>87</v>
      </c>
      <c r="G15" s="10" t="s">
        <v>7</v>
      </c>
      <c r="H15" s="11">
        <v>5000</v>
      </c>
    </row>
    <row r="16" spans="1:8" ht="15" customHeight="1" x14ac:dyDescent="0.25">
      <c r="A16" s="74"/>
      <c r="B16" s="2">
        <v>45700</v>
      </c>
      <c r="C16" s="3">
        <v>1889160449</v>
      </c>
      <c r="D16" s="3">
        <v>1</v>
      </c>
      <c r="E16" s="4" t="s">
        <v>172</v>
      </c>
      <c r="F16" s="19" t="s">
        <v>299</v>
      </c>
      <c r="G16" s="10" t="s">
        <v>19</v>
      </c>
      <c r="H16" s="11">
        <v>2500</v>
      </c>
    </row>
    <row r="17" spans="1:8" ht="15" customHeight="1" x14ac:dyDescent="0.25">
      <c r="A17" s="74"/>
      <c r="B17" s="2">
        <v>45705</v>
      </c>
      <c r="C17" s="3">
        <v>2694073923</v>
      </c>
      <c r="D17" s="3">
        <v>2</v>
      </c>
      <c r="E17" s="4" t="s">
        <v>293</v>
      </c>
      <c r="F17" s="19" t="s">
        <v>87</v>
      </c>
      <c r="G17" s="10" t="s">
        <v>19</v>
      </c>
      <c r="H17" s="11">
        <v>5000</v>
      </c>
    </row>
    <row r="18" spans="1:8" ht="15" customHeight="1" x14ac:dyDescent="0.25">
      <c r="A18" s="74"/>
      <c r="B18" s="2">
        <v>45709</v>
      </c>
      <c r="C18" s="3">
        <v>4235872596</v>
      </c>
      <c r="D18" s="3">
        <v>2</v>
      </c>
      <c r="E18" s="4" t="s">
        <v>288</v>
      </c>
      <c r="F18" s="19" t="s">
        <v>87</v>
      </c>
      <c r="G18" s="10" t="s">
        <v>19</v>
      </c>
      <c r="H18" s="11">
        <v>5000</v>
      </c>
    </row>
    <row r="19" spans="1:8" ht="15" customHeight="1" x14ac:dyDescent="0.25">
      <c r="A19" s="74"/>
      <c r="B19" s="2">
        <v>45723</v>
      </c>
      <c r="C19" s="3">
        <v>826951596</v>
      </c>
      <c r="D19" s="3">
        <v>2</v>
      </c>
      <c r="E19" s="4" t="s">
        <v>386</v>
      </c>
      <c r="F19" s="19" t="s">
        <v>87</v>
      </c>
      <c r="G19" s="10" t="s">
        <v>7</v>
      </c>
      <c r="H19" s="11">
        <v>5000</v>
      </c>
    </row>
    <row r="20" spans="1:8" ht="15" customHeight="1" x14ac:dyDescent="0.25">
      <c r="A20" s="74"/>
      <c r="B20" s="2">
        <v>45723</v>
      </c>
      <c r="C20" s="3">
        <v>4062857786</v>
      </c>
      <c r="D20" s="3">
        <v>2</v>
      </c>
      <c r="E20" s="4" t="s">
        <v>398</v>
      </c>
      <c r="F20" s="19" t="s">
        <v>87</v>
      </c>
      <c r="G20" s="10" t="s">
        <v>6</v>
      </c>
      <c r="H20" s="11">
        <v>5000</v>
      </c>
    </row>
    <row r="21" spans="1:8" ht="15" customHeight="1" x14ac:dyDescent="0.25">
      <c r="A21" s="74"/>
      <c r="B21" s="2">
        <v>45729</v>
      </c>
      <c r="C21" s="3">
        <v>653346861</v>
      </c>
      <c r="D21" s="3">
        <v>1</v>
      </c>
      <c r="E21" s="4" t="s">
        <v>172</v>
      </c>
      <c r="F21" s="19" t="s">
        <v>87</v>
      </c>
      <c r="G21" s="10" t="s">
        <v>19</v>
      </c>
      <c r="H21" s="11">
        <v>2500</v>
      </c>
    </row>
    <row r="22" spans="1:8" ht="15" customHeight="1" x14ac:dyDescent="0.25">
      <c r="A22" s="74"/>
      <c r="B22" s="2">
        <v>45736</v>
      </c>
      <c r="C22" s="3">
        <v>761154984</v>
      </c>
      <c r="D22" s="3">
        <v>2</v>
      </c>
      <c r="E22" s="4" t="s">
        <v>399</v>
      </c>
      <c r="F22" s="19" t="s">
        <v>87</v>
      </c>
      <c r="G22" s="10" t="s">
        <v>7</v>
      </c>
      <c r="H22" s="11">
        <v>5000</v>
      </c>
    </row>
    <row r="23" spans="1:8" ht="15" customHeight="1" x14ac:dyDescent="0.25">
      <c r="A23" s="74"/>
      <c r="B23" s="2">
        <v>45736</v>
      </c>
      <c r="C23" s="3">
        <v>615401202</v>
      </c>
      <c r="D23" s="3">
        <v>1</v>
      </c>
      <c r="E23" s="4" t="s">
        <v>74</v>
      </c>
      <c r="F23" s="19" t="s">
        <v>400</v>
      </c>
      <c r="G23" s="10" t="s">
        <v>6</v>
      </c>
      <c r="H23" s="11">
        <v>1000</v>
      </c>
    </row>
    <row r="24" spans="1:8" ht="15" customHeight="1" x14ac:dyDescent="0.25">
      <c r="A24" s="74"/>
      <c r="B24" s="2">
        <v>45736</v>
      </c>
      <c r="C24" s="3">
        <v>1541359930</v>
      </c>
      <c r="D24" s="3">
        <v>1</v>
      </c>
      <c r="E24" s="4" t="s">
        <v>345</v>
      </c>
      <c r="F24" s="19" t="s">
        <v>87</v>
      </c>
      <c r="G24" s="10" t="s">
        <v>6</v>
      </c>
      <c r="H24" s="11">
        <v>2500</v>
      </c>
    </row>
    <row r="25" spans="1:8" ht="15" customHeight="1" x14ac:dyDescent="0.25">
      <c r="A25" s="74"/>
      <c r="B25" s="2">
        <v>45744</v>
      </c>
      <c r="C25" s="3">
        <v>3471067542</v>
      </c>
      <c r="D25" s="3">
        <v>2</v>
      </c>
      <c r="E25" s="4" t="s">
        <v>393</v>
      </c>
      <c r="F25" s="19" t="s">
        <v>87</v>
      </c>
      <c r="G25" s="10" t="s">
        <v>10</v>
      </c>
      <c r="H25" s="11">
        <v>5000</v>
      </c>
    </row>
    <row r="26" spans="1:8" ht="15" customHeight="1" x14ac:dyDescent="0.25">
      <c r="A26" s="74"/>
      <c r="B26" s="2">
        <v>45747</v>
      </c>
      <c r="C26" s="3">
        <v>49522810</v>
      </c>
      <c r="D26" s="3">
        <v>2</v>
      </c>
      <c r="E26" s="4" t="s">
        <v>401</v>
      </c>
      <c r="F26" s="19" t="s">
        <v>87</v>
      </c>
      <c r="G26" s="10" t="s">
        <v>10</v>
      </c>
      <c r="H26" s="11">
        <v>5000</v>
      </c>
    </row>
    <row r="27" spans="1:8" ht="15" customHeight="1" x14ac:dyDescent="0.25">
      <c r="A27" s="74"/>
      <c r="B27" s="2">
        <v>45747</v>
      </c>
      <c r="C27" s="3">
        <v>1667187504</v>
      </c>
      <c r="D27" s="3">
        <v>2</v>
      </c>
      <c r="E27" s="4" t="s">
        <v>397</v>
      </c>
      <c r="F27" s="19" t="s">
        <v>87</v>
      </c>
      <c r="G27" s="10" t="s">
        <v>19</v>
      </c>
      <c r="H27" s="11">
        <v>5000</v>
      </c>
    </row>
    <row r="28" spans="1:8" ht="16.5" customHeight="1" x14ac:dyDescent="0.25">
      <c r="A28" s="74"/>
      <c r="B28" s="2">
        <v>45748</v>
      </c>
      <c r="C28" s="3">
        <v>2423803837</v>
      </c>
      <c r="D28" s="3">
        <v>3</v>
      </c>
      <c r="E28" s="4" t="s">
        <v>563</v>
      </c>
      <c r="F28" s="19" t="s">
        <v>87</v>
      </c>
      <c r="G28" s="10" t="s">
        <v>6</v>
      </c>
      <c r="H28" s="11">
        <v>7500</v>
      </c>
    </row>
    <row r="29" spans="1:8" ht="16.5" customHeight="1" x14ac:dyDescent="0.25">
      <c r="A29" s="74"/>
      <c r="B29" s="2">
        <v>45748</v>
      </c>
      <c r="C29" s="3">
        <v>2423803837</v>
      </c>
      <c r="D29" s="3">
        <v>1</v>
      </c>
      <c r="E29" s="4" t="s">
        <v>563</v>
      </c>
      <c r="F29" s="19" t="s">
        <v>87</v>
      </c>
      <c r="G29" s="10" t="s">
        <v>6</v>
      </c>
      <c r="H29" s="11">
        <v>2500</v>
      </c>
    </row>
    <row r="30" spans="1:8" ht="16.5" customHeight="1" x14ac:dyDescent="0.25">
      <c r="A30" s="74"/>
      <c r="B30" s="2">
        <v>45750</v>
      </c>
      <c r="C30" s="3">
        <v>1559382418</v>
      </c>
      <c r="D30" s="3">
        <v>1</v>
      </c>
      <c r="E30" s="4" t="s">
        <v>548</v>
      </c>
      <c r="F30" s="19" t="s">
        <v>564</v>
      </c>
      <c r="G30" s="10" t="s">
        <v>7</v>
      </c>
      <c r="H30" s="11">
        <v>2500</v>
      </c>
    </row>
    <row r="31" spans="1:8" ht="16.5" customHeight="1" x14ac:dyDescent="0.25">
      <c r="A31" s="74"/>
      <c r="B31" s="2">
        <v>45770</v>
      </c>
      <c r="C31" s="3">
        <v>513360193</v>
      </c>
      <c r="D31" s="3">
        <v>2</v>
      </c>
      <c r="E31" s="4" t="s">
        <v>559</v>
      </c>
      <c r="F31" s="19" t="s">
        <v>565</v>
      </c>
      <c r="G31" s="10" t="s">
        <v>19</v>
      </c>
      <c r="H31" s="11">
        <v>5000</v>
      </c>
    </row>
    <row r="32" spans="1:8" ht="16.5" customHeight="1" x14ac:dyDescent="0.25">
      <c r="A32" s="74"/>
      <c r="B32" s="2">
        <v>45775</v>
      </c>
      <c r="C32" s="3">
        <v>3109176138</v>
      </c>
      <c r="D32" s="3">
        <v>2</v>
      </c>
      <c r="E32" s="4" t="s">
        <v>561</v>
      </c>
      <c r="F32" s="19" t="s">
        <v>565</v>
      </c>
      <c r="G32" s="10" t="s">
        <v>7</v>
      </c>
      <c r="H32" s="11">
        <v>5000</v>
      </c>
    </row>
    <row r="33" spans="1:8" ht="16.5" customHeight="1" x14ac:dyDescent="0.25">
      <c r="A33" s="74"/>
      <c r="B33" s="2">
        <v>45776</v>
      </c>
      <c r="C33" s="3">
        <v>4138355348</v>
      </c>
      <c r="D33" s="3">
        <v>2</v>
      </c>
      <c r="E33" s="4" t="s">
        <v>311</v>
      </c>
      <c r="F33" s="19" t="s">
        <v>565</v>
      </c>
      <c r="G33" s="10" t="s">
        <v>7</v>
      </c>
      <c r="H33" s="11">
        <v>5000</v>
      </c>
    </row>
    <row r="34" spans="1:8" ht="16.5" customHeight="1" x14ac:dyDescent="0.25">
      <c r="A34" s="74"/>
      <c r="B34" s="2">
        <v>45785</v>
      </c>
      <c r="C34" s="3">
        <v>3755688725</v>
      </c>
      <c r="D34" s="3">
        <v>2</v>
      </c>
      <c r="E34" s="4" t="s">
        <v>690</v>
      </c>
      <c r="F34" s="19" t="s">
        <v>564</v>
      </c>
      <c r="G34" s="10" t="s">
        <v>19</v>
      </c>
      <c r="H34" s="11">
        <v>5000</v>
      </c>
    </row>
    <row r="35" spans="1:8" ht="16.5" customHeight="1" x14ac:dyDescent="0.25">
      <c r="A35" s="74"/>
      <c r="B35" s="2">
        <v>45790</v>
      </c>
      <c r="C35" s="3">
        <v>1588610819</v>
      </c>
      <c r="D35" s="3">
        <v>2</v>
      </c>
      <c r="E35" s="4" t="s">
        <v>633</v>
      </c>
      <c r="F35" s="19" t="s">
        <v>564</v>
      </c>
      <c r="G35" s="10" t="s">
        <v>7</v>
      </c>
      <c r="H35" s="11">
        <v>5000</v>
      </c>
    </row>
    <row r="36" spans="1:8" ht="16.5" customHeight="1" x14ac:dyDescent="0.25">
      <c r="A36" s="74"/>
      <c r="B36" s="2">
        <v>45791</v>
      </c>
      <c r="C36" s="3">
        <v>2851948083</v>
      </c>
      <c r="D36" s="3">
        <v>1</v>
      </c>
      <c r="E36" s="4" t="s">
        <v>595</v>
      </c>
      <c r="F36" s="19" t="s">
        <v>564</v>
      </c>
      <c r="G36" s="10" t="s">
        <v>6</v>
      </c>
      <c r="H36" s="11">
        <v>2500</v>
      </c>
    </row>
    <row r="37" spans="1:8" ht="16.5" customHeight="1" x14ac:dyDescent="0.25">
      <c r="A37" s="74"/>
      <c r="B37" s="2">
        <v>45792</v>
      </c>
      <c r="C37" s="3">
        <v>2158447726</v>
      </c>
      <c r="D37" s="3">
        <v>2</v>
      </c>
      <c r="E37" s="4" t="s">
        <v>600</v>
      </c>
      <c r="F37" s="19" t="s">
        <v>564</v>
      </c>
      <c r="G37" s="10" t="s">
        <v>6</v>
      </c>
      <c r="H37" s="11">
        <v>5000</v>
      </c>
    </row>
    <row r="38" spans="1:8" ht="16.5" customHeight="1" x14ac:dyDescent="0.25">
      <c r="A38" s="74"/>
      <c r="B38" s="2">
        <v>45796</v>
      </c>
      <c r="C38" s="3">
        <v>2323269133</v>
      </c>
      <c r="D38" s="3">
        <v>2</v>
      </c>
      <c r="E38" s="4" t="s">
        <v>112</v>
      </c>
      <c r="F38" s="19" t="s">
        <v>564</v>
      </c>
      <c r="G38" s="10" t="s">
        <v>6</v>
      </c>
      <c r="H38" s="11">
        <v>5000</v>
      </c>
    </row>
    <row r="39" spans="1:8" ht="16.5" customHeight="1" x14ac:dyDescent="0.25">
      <c r="A39" s="74"/>
      <c r="B39" s="2">
        <v>45799</v>
      </c>
      <c r="C39" s="3">
        <v>115950529</v>
      </c>
      <c r="D39" s="3">
        <v>2</v>
      </c>
      <c r="E39" s="4" t="s">
        <v>152</v>
      </c>
      <c r="F39" s="19" t="s">
        <v>564</v>
      </c>
      <c r="G39" s="10" t="s">
        <v>7</v>
      </c>
      <c r="H39" s="11">
        <v>5000</v>
      </c>
    </row>
    <row r="40" spans="1:8" ht="16.5" customHeight="1" x14ac:dyDescent="0.25">
      <c r="A40" s="74"/>
      <c r="B40" s="2">
        <v>45804</v>
      </c>
      <c r="C40" s="3">
        <v>3467463622</v>
      </c>
      <c r="D40" s="3">
        <v>2</v>
      </c>
      <c r="E40" s="4" t="s">
        <v>691</v>
      </c>
      <c r="F40" s="19" t="s">
        <v>564</v>
      </c>
      <c r="G40" s="10" t="s">
        <v>10</v>
      </c>
      <c r="H40" s="11">
        <v>5000</v>
      </c>
    </row>
    <row r="41" spans="1:8" ht="16.5" customHeight="1" x14ac:dyDescent="0.25">
      <c r="A41" s="74"/>
      <c r="B41" s="2">
        <v>45805</v>
      </c>
      <c r="C41" s="3">
        <v>1356940640</v>
      </c>
      <c r="D41" s="3">
        <v>2</v>
      </c>
      <c r="E41" s="4" t="s">
        <v>685</v>
      </c>
      <c r="F41" s="19" t="s">
        <v>564</v>
      </c>
      <c r="G41" s="10" t="s">
        <v>19</v>
      </c>
      <c r="H41" s="11">
        <v>5000</v>
      </c>
    </row>
    <row r="42" spans="1:8" ht="16.5" customHeight="1" x14ac:dyDescent="0.25">
      <c r="A42" s="74"/>
      <c r="B42" s="2">
        <v>45806</v>
      </c>
      <c r="C42" s="3">
        <v>917783383</v>
      </c>
      <c r="D42" s="3">
        <v>2</v>
      </c>
      <c r="E42" s="4" t="s">
        <v>621</v>
      </c>
      <c r="F42" s="19" t="s">
        <v>564</v>
      </c>
      <c r="G42" s="10" t="s">
        <v>7</v>
      </c>
      <c r="H42" s="11">
        <v>5000</v>
      </c>
    </row>
    <row r="43" spans="1:8" ht="16.5" customHeight="1" x14ac:dyDescent="0.25">
      <c r="A43" s="74"/>
      <c r="B43" s="2">
        <v>45810</v>
      </c>
      <c r="C43" s="3">
        <v>1852198661</v>
      </c>
      <c r="D43" s="3">
        <v>2</v>
      </c>
      <c r="E43" s="4" t="s">
        <v>634</v>
      </c>
      <c r="F43" s="19" t="s">
        <v>564</v>
      </c>
      <c r="G43" s="10" t="s">
        <v>6</v>
      </c>
      <c r="H43" s="11">
        <v>5000</v>
      </c>
    </row>
    <row r="44" spans="1:8" ht="16.5" customHeight="1" x14ac:dyDescent="0.25">
      <c r="A44" s="74"/>
      <c r="B44" s="2">
        <v>45810</v>
      </c>
      <c r="C44" s="3">
        <v>3079686426</v>
      </c>
      <c r="D44" s="3">
        <v>1</v>
      </c>
      <c r="E44" s="4" t="s">
        <v>692</v>
      </c>
      <c r="F44" s="19" t="s">
        <v>564</v>
      </c>
      <c r="G44" s="10" t="s">
        <v>7</v>
      </c>
      <c r="H44" s="11">
        <v>2500</v>
      </c>
    </row>
    <row r="45" spans="1:8" ht="16.5" customHeight="1" x14ac:dyDescent="0.25">
      <c r="A45" s="74"/>
      <c r="B45" s="2">
        <v>45814</v>
      </c>
      <c r="C45" s="3">
        <v>455099357</v>
      </c>
      <c r="D45" s="3">
        <v>2</v>
      </c>
      <c r="E45" s="4" t="s">
        <v>646</v>
      </c>
      <c r="F45" s="19" t="s">
        <v>564</v>
      </c>
      <c r="G45" s="10" t="s">
        <v>10</v>
      </c>
      <c r="H45" s="11">
        <v>5000</v>
      </c>
    </row>
    <row r="46" spans="1:8" ht="16.5" customHeight="1" x14ac:dyDescent="0.25">
      <c r="A46" s="74"/>
      <c r="B46" s="2">
        <v>45821</v>
      </c>
      <c r="C46" s="3">
        <v>800802186</v>
      </c>
      <c r="D46" s="3">
        <v>2</v>
      </c>
      <c r="E46" s="4" t="s">
        <v>687</v>
      </c>
      <c r="F46" s="19" t="s">
        <v>564</v>
      </c>
      <c r="G46" s="10" t="s">
        <v>7</v>
      </c>
      <c r="H46" s="11">
        <v>5000</v>
      </c>
    </row>
    <row r="47" spans="1:8" ht="16.5" customHeight="1" x14ac:dyDescent="0.25">
      <c r="A47" s="74"/>
      <c r="B47" s="2">
        <v>45826</v>
      </c>
      <c r="C47" s="3">
        <v>1693859939</v>
      </c>
      <c r="D47" s="3">
        <v>2</v>
      </c>
      <c r="E47" s="4" t="s">
        <v>626</v>
      </c>
      <c r="F47" s="19" t="s">
        <v>564</v>
      </c>
      <c r="G47" s="10" t="s">
        <v>11</v>
      </c>
      <c r="H47" s="11">
        <v>5000</v>
      </c>
    </row>
    <row r="48" spans="1:8" ht="16.5" customHeight="1" x14ac:dyDescent="0.25">
      <c r="A48" s="74"/>
      <c r="B48" s="2">
        <v>45839</v>
      </c>
      <c r="C48" s="3">
        <v>1540244535</v>
      </c>
      <c r="D48" s="3">
        <v>1</v>
      </c>
      <c r="E48" s="4" t="s">
        <v>797</v>
      </c>
      <c r="F48" s="19" t="s">
        <v>564</v>
      </c>
      <c r="G48" s="10" t="s">
        <v>6</v>
      </c>
      <c r="H48" s="11">
        <v>2500</v>
      </c>
    </row>
    <row r="49" spans="1:8" ht="16.5" customHeight="1" x14ac:dyDescent="0.25">
      <c r="A49" s="74"/>
      <c r="B49" s="2">
        <v>45849</v>
      </c>
      <c r="C49" s="3">
        <v>482166228</v>
      </c>
      <c r="D49" s="3">
        <v>2</v>
      </c>
      <c r="E49" s="4" t="s">
        <v>798</v>
      </c>
      <c r="F49" s="19" t="s">
        <v>564</v>
      </c>
      <c r="G49" s="10" t="s">
        <v>7</v>
      </c>
      <c r="H49" s="11">
        <v>5000</v>
      </c>
    </row>
    <row r="50" spans="1:8" ht="16.5" customHeight="1" x14ac:dyDescent="0.25">
      <c r="A50" s="74"/>
      <c r="B50" s="2">
        <v>45854</v>
      </c>
      <c r="C50" s="3">
        <v>3991750145</v>
      </c>
      <c r="D50" s="3">
        <v>2</v>
      </c>
      <c r="E50" s="4" t="s">
        <v>200</v>
      </c>
      <c r="F50" s="19" t="s">
        <v>564</v>
      </c>
      <c r="G50" s="5" t="s">
        <v>6</v>
      </c>
      <c r="H50" s="6">
        <v>5000</v>
      </c>
    </row>
    <row r="51" spans="1:8" ht="16.5" customHeight="1" x14ac:dyDescent="0.25">
      <c r="A51" s="74"/>
      <c r="B51" s="2">
        <v>45854</v>
      </c>
      <c r="C51" s="3">
        <v>2505392321</v>
      </c>
      <c r="D51" s="3">
        <v>2</v>
      </c>
      <c r="E51" s="4" t="s">
        <v>799</v>
      </c>
      <c r="F51" s="19" t="s">
        <v>564</v>
      </c>
      <c r="G51" s="5" t="s">
        <v>7</v>
      </c>
      <c r="H51" s="6">
        <v>5000</v>
      </c>
    </row>
    <row r="52" spans="1:8" ht="16.5" customHeight="1" x14ac:dyDescent="0.25">
      <c r="A52" s="74"/>
      <c r="B52" s="2">
        <v>45855</v>
      </c>
      <c r="C52" s="3">
        <v>620382432</v>
      </c>
      <c r="D52" s="3">
        <v>2</v>
      </c>
      <c r="E52" s="4" t="s">
        <v>760</v>
      </c>
      <c r="F52" s="19" t="s">
        <v>564</v>
      </c>
      <c r="G52" s="5" t="s">
        <v>7</v>
      </c>
      <c r="H52" s="6">
        <v>5000</v>
      </c>
    </row>
    <row r="53" spans="1:8" ht="16.5" customHeight="1" x14ac:dyDescent="0.25">
      <c r="A53" s="74"/>
      <c r="B53" s="2">
        <v>45862</v>
      </c>
      <c r="C53" s="3">
        <v>2168278153</v>
      </c>
      <c r="D53" s="3">
        <v>2</v>
      </c>
      <c r="E53" s="4" t="s">
        <v>349</v>
      </c>
      <c r="F53" s="19" t="s">
        <v>564</v>
      </c>
      <c r="G53" s="5" t="s">
        <v>19</v>
      </c>
      <c r="H53" s="6">
        <v>5000</v>
      </c>
    </row>
    <row r="54" spans="1:8" ht="16.5" customHeight="1" x14ac:dyDescent="0.25">
      <c r="A54" s="74"/>
      <c r="B54" s="2">
        <v>45866</v>
      </c>
      <c r="C54" s="3">
        <v>2090615078</v>
      </c>
      <c r="D54" s="3">
        <v>2</v>
      </c>
      <c r="E54" s="4" t="s">
        <v>793</v>
      </c>
      <c r="F54" s="19" t="s">
        <v>564</v>
      </c>
      <c r="G54" s="5" t="s">
        <v>19</v>
      </c>
      <c r="H54" s="6">
        <v>5000</v>
      </c>
    </row>
    <row r="55" spans="1:8" ht="16.5" customHeight="1" x14ac:dyDescent="0.25">
      <c r="A55" s="74"/>
      <c r="B55" s="2">
        <v>45867</v>
      </c>
      <c r="C55" s="3">
        <v>1360609551</v>
      </c>
      <c r="D55" s="3">
        <v>2</v>
      </c>
      <c r="E55" s="4" t="s">
        <v>589</v>
      </c>
      <c r="F55" s="19" t="s">
        <v>800</v>
      </c>
      <c r="G55" s="5" t="s">
        <v>6</v>
      </c>
      <c r="H55" s="6">
        <v>5000</v>
      </c>
    </row>
    <row r="56" spans="1:8" ht="16.5" customHeight="1" x14ac:dyDescent="0.25">
      <c r="A56" s="74"/>
      <c r="B56" s="2">
        <v>45869</v>
      </c>
      <c r="C56" s="3">
        <v>1978024460</v>
      </c>
      <c r="D56" s="3">
        <v>2</v>
      </c>
      <c r="E56" s="4" t="s">
        <v>794</v>
      </c>
      <c r="F56" s="19" t="s">
        <v>564</v>
      </c>
      <c r="G56" s="5" t="s">
        <v>19</v>
      </c>
      <c r="H56" s="6">
        <v>5000</v>
      </c>
    </row>
    <row r="57" spans="1:8" ht="16.5" customHeight="1" x14ac:dyDescent="0.25">
      <c r="A57" s="74"/>
      <c r="B57" s="2">
        <v>45869</v>
      </c>
      <c r="C57" s="3">
        <v>1651723636</v>
      </c>
      <c r="D57" s="3">
        <v>2</v>
      </c>
      <c r="E57" s="4" t="s">
        <v>796</v>
      </c>
      <c r="F57" s="19" t="s">
        <v>564</v>
      </c>
      <c r="G57" s="5" t="s">
        <v>6</v>
      </c>
      <c r="H57" s="6">
        <v>5000</v>
      </c>
    </row>
    <row r="58" spans="1:8" ht="16.5" customHeight="1" x14ac:dyDescent="0.25">
      <c r="A58" s="74"/>
      <c r="B58" s="2">
        <v>45876</v>
      </c>
      <c r="C58" s="3">
        <v>2803123761</v>
      </c>
      <c r="D58" s="3">
        <v>1</v>
      </c>
      <c r="E58" s="4" t="s">
        <v>918</v>
      </c>
      <c r="F58" s="4" t="s">
        <v>564</v>
      </c>
      <c r="G58" s="5" t="s">
        <v>7</v>
      </c>
      <c r="H58" s="6">
        <v>2500</v>
      </c>
    </row>
    <row r="59" spans="1:8" ht="16.5" customHeight="1" x14ac:dyDescent="0.25">
      <c r="A59" s="74"/>
      <c r="B59" s="2">
        <v>45876</v>
      </c>
      <c r="C59" s="3">
        <v>2803123761</v>
      </c>
      <c r="D59" s="3">
        <v>1</v>
      </c>
      <c r="E59" s="4" t="s">
        <v>918</v>
      </c>
      <c r="F59" s="4" t="s">
        <v>919</v>
      </c>
      <c r="G59" s="5" t="s">
        <v>7</v>
      </c>
      <c r="H59" s="6">
        <v>900</v>
      </c>
    </row>
    <row r="60" spans="1:8" ht="16.5" customHeight="1" x14ac:dyDescent="0.25">
      <c r="A60" s="74"/>
      <c r="B60" s="2">
        <v>45880</v>
      </c>
      <c r="C60" s="3">
        <v>3581362970</v>
      </c>
      <c r="D60" s="3">
        <v>2</v>
      </c>
      <c r="E60" s="4" t="s">
        <v>477</v>
      </c>
      <c r="F60" s="4" t="s">
        <v>564</v>
      </c>
      <c r="G60" s="5" t="s">
        <v>19</v>
      </c>
      <c r="H60" s="6">
        <v>5000</v>
      </c>
    </row>
    <row r="61" spans="1:8" ht="16.5" customHeight="1" x14ac:dyDescent="0.25">
      <c r="A61" s="74"/>
      <c r="B61" s="2">
        <v>45888</v>
      </c>
      <c r="C61" s="3">
        <v>415320228</v>
      </c>
      <c r="D61" s="3">
        <v>2</v>
      </c>
      <c r="E61" s="4" t="s">
        <v>899</v>
      </c>
      <c r="F61" s="4" t="s">
        <v>564</v>
      </c>
      <c r="G61" s="5" t="s">
        <v>7</v>
      </c>
      <c r="H61" s="6">
        <v>5000</v>
      </c>
    </row>
    <row r="62" spans="1:8" ht="16.5" customHeight="1" x14ac:dyDescent="0.25">
      <c r="A62" s="74"/>
      <c r="B62" s="2">
        <v>45890</v>
      </c>
      <c r="C62" s="3">
        <v>4251600083</v>
      </c>
      <c r="D62" s="3">
        <v>2</v>
      </c>
      <c r="E62" s="4" t="s">
        <v>496</v>
      </c>
      <c r="F62" s="4" t="s">
        <v>564</v>
      </c>
      <c r="G62" s="5" t="s">
        <v>7</v>
      </c>
      <c r="H62" s="6">
        <v>5000</v>
      </c>
    </row>
    <row r="63" spans="1:8" ht="16.5" customHeight="1" x14ac:dyDescent="0.25">
      <c r="A63" s="74"/>
      <c r="B63" s="2">
        <v>45896</v>
      </c>
      <c r="C63" s="3">
        <v>3272952083</v>
      </c>
      <c r="D63" s="3">
        <v>2</v>
      </c>
      <c r="E63" s="4" t="s">
        <v>920</v>
      </c>
      <c r="F63" s="4" t="s">
        <v>564</v>
      </c>
      <c r="G63" s="5" t="s">
        <v>7</v>
      </c>
      <c r="H63" s="6">
        <v>5000</v>
      </c>
    </row>
    <row r="64" spans="1:8" ht="16.5" customHeight="1" x14ac:dyDescent="0.25">
      <c r="A64" s="74"/>
      <c r="B64" s="2">
        <v>45897</v>
      </c>
      <c r="C64" s="3">
        <v>896812298</v>
      </c>
      <c r="D64" s="3">
        <v>2</v>
      </c>
      <c r="E64" s="4" t="s">
        <v>517</v>
      </c>
      <c r="F64" s="4" t="s">
        <v>564</v>
      </c>
      <c r="G64" s="5" t="s">
        <v>7</v>
      </c>
      <c r="H64" s="6">
        <v>5000</v>
      </c>
    </row>
    <row r="65" spans="1:8" ht="16.5" customHeight="1" x14ac:dyDescent="0.25">
      <c r="A65" s="74"/>
      <c r="B65" s="2">
        <v>45911</v>
      </c>
      <c r="C65" s="3">
        <v>2373472209</v>
      </c>
      <c r="D65" s="3">
        <v>1</v>
      </c>
      <c r="E65" s="4" t="s">
        <v>990</v>
      </c>
      <c r="F65" s="4" t="s">
        <v>564</v>
      </c>
      <c r="G65" s="5" t="s">
        <v>6</v>
      </c>
      <c r="H65" s="6">
        <v>2500</v>
      </c>
    </row>
    <row r="66" spans="1:8" ht="16.5" customHeight="1" x14ac:dyDescent="0.25">
      <c r="A66" s="74"/>
      <c r="B66" s="2">
        <v>45918</v>
      </c>
      <c r="C66" s="3">
        <v>2908045371</v>
      </c>
      <c r="D66" s="3">
        <v>1</v>
      </c>
      <c r="E66" s="4" t="s">
        <v>991</v>
      </c>
      <c r="F66" s="4" t="s">
        <v>992</v>
      </c>
      <c r="G66" s="5" t="s">
        <v>19</v>
      </c>
      <c r="H66" s="6">
        <v>3200</v>
      </c>
    </row>
    <row r="67" spans="1:8" ht="16.5" customHeight="1" x14ac:dyDescent="0.25">
      <c r="A67" s="74"/>
      <c r="B67" s="2">
        <v>45923</v>
      </c>
      <c r="C67" s="3">
        <v>3060485992</v>
      </c>
      <c r="D67" s="3">
        <v>2</v>
      </c>
      <c r="E67" s="4" t="s">
        <v>989</v>
      </c>
      <c r="F67" s="4" t="s">
        <v>564</v>
      </c>
      <c r="G67" s="5" t="s">
        <v>7</v>
      </c>
      <c r="H67" s="6">
        <v>5000</v>
      </c>
    </row>
    <row r="68" spans="1:8" ht="16.5" customHeight="1" x14ac:dyDescent="0.25">
      <c r="A68" s="74"/>
      <c r="B68" s="2">
        <v>45929</v>
      </c>
      <c r="C68" s="3">
        <v>3715976598</v>
      </c>
      <c r="D68" s="3">
        <v>1</v>
      </c>
      <c r="E68" s="4" t="s">
        <v>105</v>
      </c>
      <c r="F68" s="4" t="s">
        <v>992</v>
      </c>
      <c r="G68" s="5" t="s">
        <v>13</v>
      </c>
      <c r="H68" s="6">
        <v>3200</v>
      </c>
    </row>
    <row r="69" spans="1:8" ht="16.5" customHeight="1" x14ac:dyDescent="0.25">
      <c r="A69" s="74"/>
      <c r="B69" s="2">
        <v>45930</v>
      </c>
      <c r="C69" s="3">
        <v>2167884459</v>
      </c>
      <c r="D69" s="3">
        <v>2</v>
      </c>
      <c r="E69" s="4" t="s">
        <v>210</v>
      </c>
      <c r="F69" s="4" t="s">
        <v>564</v>
      </c>
      <c r="G69" s="5" t="s">
        <v>19</v>
      </c>
      <c r="H69" s="6">
        <v>5000</v>
      </c>
    </row>
    <row r="70" spans="1:8" ht="16.5" customHeight="1" x14ac:dyDescent="0.25">
      <c r="A70" s="74"/>
      <c r="B70" s="47">
        <v>45964</v>
      </c>
      <c r="C70" s="48">
        <v>1311719497</v>
      </c>
      <c r="D70" s="3">
        <v>1</v>
      </c>
      <c r="E70" s="28" t="s">
        <v>407</v>
      </c>
      <c r="F70" s="28" t="s">
        <v>1141</v>
      </c>
      <c r="G70" s="49" t="s">
        <v>13</v>
      </c>
      <c r="H70" s="6">
        <v>3200</v>
      </c>
    </row>
    <row r="71" spans="1:8" ht="16.5" customHeight="1" x14ac:dyDescent="0.25">
      <c r="A71" s="74"/>
      <c r="B71" s="47">
        <v>46002</v>
      </c>
      <c r="C71" s="48">
        <v>2386772829</v>
      </c>
      <c r="D71" s="3">
        <v>2</v>
      </c>
      <c r="E71" s="28" t="s">
        <v>1234</v>
      </c>
      <c r="F71" s="28" t="s">
        <v>564</v>
      </c>
      <c r="G71" s="49" t="s">
        <v>6</v>
      </c>
      <c r="H71" s="6">
        <v>5000</v>
      </c>
    </row>
    <row r="72" spans="1:8" ht="16.5" customHeight="1" x14ac:dyDescent="0.25">
      <c r="A72" s="74"/>
      <c r="B72" s="47">
        <v>46006</v>
      </c>
      <c r="C72" s="48">
        <v>830097893</v>
      </c>
      <c r="D72" s="3">
        <v>1</v>
      </c>
      <c r="E72" s="28" t="s">
        <v>398</v>
      </c>
      <c r="F72" s="28" t="s">
        <v>564</v>
      </c>
      <c r="G72" s="49" t="s">
        <v>6</v>
      </c>
      <c r="H72" s="6">
        <v>2850</v>
      </c>
    </row>
    <row r="73" spans="1:8" ht="16.5" customHeight="1" x14ac:dyDescent="0.25">
      <c r="A73" s="74"/>
      <c r="B73" s="47">
        <v>46006</v>
      </c>
      <c r="C73" s="48">
        <v>943932607</v>
      </c>
      <c r="D73" s="3">
        <v>2</v>
      </c>
      <c r="E73" s="28" t="s">
        <v>1256</v>
      </c>
      <c r="F73" s="28" t="s">
        <v>564</v>
      </c>
      <c r="G73" s="49" t="s">
        <v>7</v>
      </c>
      <c r="H73" s="6">
        <v>5700</v>
      </c>
    </row>
    <row r="74" spans="1:8" ht="16.5" customHeight="1" x14ac:dyDescent="0.25">
      <c r="A74" s="74"/>
      <c r="B74" s="47">
        <v>46006</v>
      </c>
      <c r="C74" s="48">
        <v>725632419</v>
      </c>
      <c r="D74" s="3">
        <v>1</v>
      </c>
      <c r="E74" s="28" t="s">
        <v>1257</v>
      </c>
      <c r="F74" s="28" t="s">
        <v>1258</v>
      </c>
      <c r="G74" s="49" t="s">
        <v>7</v>
      </c>
      <c r="H74" s="6">
        <v>2550</v>
      </c>
    </row>
    <row r="75" spans="1:8" ht="16.5" customHeight="1" x14ac:dyDescent="0.25">
      <c r="A75" s="74"/>
      <c r="B75" s="47">
        <v>46006</v>
      </c>
      <c r="C75" s="48">
        <v>725632419</v>
      </c>
      <c r="D75" s="3">
        <v>1</v>
      </c>
      <c r="E75" s="28" t="s">
        <v>1257</v>
      </c>
      <c r="F75" s="28" t="s">
        <v>1259</v>
      </c>
      <c r="G75" s="49" t="s">
        <v>11</v>
      </c>
      <c r="H75" s="6">
        <v>300</v>
      </c>
    </row>
    <row r="76" spans="1:8" ht="16.5" customHeight="1" x14ac:dyDescent="0.25">
      <c r="A76" s="74"/>
      <c r="B76" s="47">
        <v>46006</v>
      </c>
      <c r="C76" s="48">
        <v>1784367056</v>
      </c>
      <c r="D76" s="3">
        <v>2</v>
      </c>
      <c r="E76" s="28" t="s">
        <v>1253</v>
      </c>
      <c r="F76" s="28" t="s">
        <v>564</v>
      </c>
      <c r="G76" s="49" t="s">
        <v>6</v>
      </c>
      <c r="H76" s="6">
        <v>5700</v>
      </c>
    </row>
    <row r="77" spans="1:8" ht="16.5" customHeight="1" x14ac:dyDescent="0.25">
      <c r="A77" s="74"/>
      <c r="B77" s="47">
        <v>46007</v>
      </c>
      <c r="C77" s="48">
        <v>756106742</v>
      </c>
      <c r="D77" s="3">
        <v>3</v>
      </c>
      <c r="E77" s="28" t="s">
        <v>1260</v>
      </c>
      <c r="F77" s="28" t="s">
        <v>564</v>
      </c>
      <c r="G77" s="49" t="s">
        <v>6</v>
      </c>
      <c r="H77" s="6">
        <v>8550</v>
      </c>
    </row>
    <row r="78" spans="1:8" ht="16.5" customHeight="1" x14ac:dyDescent="0.25">
      <c r="A78" s="74"/>
      <c r="B78" s="47">
        <v>46022</v>
      </c>
      <c r="C78" s="48">
        <v>194070282</v>
      </c>
      <c r="D78" s="3">
        <v>2</v>
      </c>
      <c r="E78" s="28" t="s">
        <v>99</v>
      </c>
      <c r="F78" s="28" t="s">
        <v>564</v>
      </c>
      <c r="G78" s="49" t="s">
        <v>19</v>
      </c>
      <c r="H78" s="6">
        <v>5000</v>
      </c>
    </row>
    <row r="79" spans="1:8" ht="15.75" x14ac:dyDescent="0.25">
      <c r="A79" s="75"/>
      <c r="B79" s="13"/>
      <c r="C79" s="14"/>
      <c r="D79" s="14"/>
      <c r="E79" s="14" t="s">
        <v>5</v>
      </c>
      <c r="F79" s="15"/>
      <c r="G79" s="16"/>
      <c r="H79" s="23">
        <f>SUM(H3:H78)</f>
        <v>331150</v>
      </c>
    </row>
    <row r="96" spans="6:6" x14ac:dyDescent="0.25">
      <c r="F96" s="2"/>
    </row>
    <row r="97" spans="6:6" x14ac:dyDescent="0.25">
      <c r="F97" s="2"/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/>
  <dimension ref="A1:H125"/>
  <sheetViews>
    <sheetView workbookViewId="0">
      <pane ySplit="2" topLeftCell="A116" activePane="bottomLeft" state="frozen"/>
      <selection pane="bottomLeft" sqref="A1:A1048576"/>
    </sheetView>
  </sheetViews>
  <sheetFormatPr baseColWidth="10" defaultColWidth="9.140625" defaultRowHeight="15" x14ac:dyDescent="0.25"/>
  <cols>
    <col min="1" max="1" width="16.5703125" style="1" customWidth="1"/>
    <col min="2" max="2" width="12.7109375" bestFit="1" customWidth="1"/>
    <col min="3" max="3" width="17.42578125" customWidth="1"/>
    <col min="4" max="4" width="11" customWidth="1"/>
    <col min="5" max="5" width="38" bestFit="1" customWidth="1"/>
    <col min="6" max="6" width="3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30</v>
      </c>
      <c r="B1" s="86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74"/>
      <c r="B2" s="87"/>
      <c r="C2" s="88"/>
      <c r="D2" s="88"/>
      <c r="E2" s="88"/>
      <c r="F2" s="88"/>
      <c r="G2" s="82"/>
      <c r="H2" s="84"/>
    </row>
    <row r="3" spans="1:8" ht="15.75" x14ac:dyDescent="0.25">
      <c r="A3" s="74"/>
      <c r="B3" s="2">
        <v>45671</v>
      </c>
      <c r="C3" s="3">
        <v>1689274031</v>
      </c>
      <c r="D3" s="3">
        <v>1</v>
      </c>
      <c r="E3" s="4" t="s">
        <v>107</v>
      </c>
      <c r="F3" s="19" t="s">
        <v>29</v>
      </c>
      <c r="G3" s="10" t="s">
        <v>7</v>
      </c>
      <c r="H3" s="11">
        <v>1200</v>
      </c>
    </row>
    <row r="4" spans="1:8" ht="15.75" x14ac:dyDescent="0.25">
      <c r="A4" s="74"/>
      <c r="B4" s="2">
        <v>45672</v>
      </c>
      <c r="C4" s="3">
        <v>104678237</v>
      </c>
      <c r="D4" s="3">
        <v>3</v>
      </c>
      <c r="E4" s="4" t="s">
        <v>175</v>
      </c>
      <c r="F4" s="19" t="s">
        <v>29</v>
      </c>
      <c r="G4" s="10" t="s">
        <v>6</v>
      </c>
      <c r="H4" s="11">
        <v>3600</v>
      </c>
    </row>
    <row r="5" spans="1:8" ht="15.75" x14ac:dyDescent="0.25">
      <c r="A5" s="74"/>
      <c r="B5" s="2">
        <v>45674</v>
      </c>
      <c r="C5" s="3">
        <v>3614983127</v>
      </c>
      <c r="D5" s="3">
        <v>2</v>
      </c>
      <c r="E5" s="4" t="s">
        <v>176</v>
      </c>
      <c r="F5" s="19" t="s">
        <v>29</v>
      </c>
      <c r="G5" s="10" t="s">
        <v>7</v>
      </c>
      <c r="H5" s="11">
        <v>2532</v>
      </c>
    </row>
    <row r="6" spans="1:8" ht="15.75" x14ac:dyDescent="0.25">
      <c r="A6" s="74"/>
      <c r="B6" s="2">
        <v>45674</v>
      </c>
      <c r="C6" s="3">
        <v>3614983127</v>
      </c>
      <c r="D6" s="3">
        <v>1</v>
      </c>
      <c r="E6" s="4" t="s">
        <v>176</v>
      </c>
      <c r="F6" s="19" t="s">
        <v>29</v>
      </c>
      <c r="G6" s="10" t="s">
        <v>7</v>
      </c>
      <c r="H6" s="11">
        <v>1268</v>
      </c>
    </row>
    <row r="7" spans="1:8" ht="15.75" x14ac:dyDescent="0.25">
      <c r="A7" s="74"/>
      <c r="B7" s="2">
        <v>45680</v>
      </c>
      <c r="C7" s="3">
        <v>2928297753</v>
      </c>
      <c r="D7" s="3">
        <v>3</v>
      </c>
      <c r="E7" s="4" t="s">
        <v>177</v>
      </c>
      <c r="F7" s="19" t="s">
        <v>29</v>
      </c>
      <c r="G7" s="10" t="s">
        <v>7</v>
      </c>
      <c r="H7" s="11">
        <v>3888</v>
      </c>
    </row>
    <row r="8" spans="1:8" ht="15.75" x14ac:dyDescent="0.25">
      <c r="A8" s="74"/>
      <c r="B8" s="2">
        <v>45684</v>
      </c>
      <c r="C8" s="3">
        <v>1398754801</v>
      </c>
      <c r="D8" s="3">
        <v>1</v>
      </c>
      <c r="E8" s="4" t="s">
        <v>105</v>
      </c>
      <c r="F8" s="19" t="s">
        <v>106</v>
      </c>
      <c r="G8" s="10" t="s">
        <v>13</v>
      </c>
      <c r="H8" s="11">
        <v>800</v>
      </c>
    </row>
    <row r="9" spans="1:8" ht="15.75" x14ac:dyDescent="0.25">
      <c r="A9" s="74"/>
      <c r="B9" s="2">
        <v>45686</v>
      </c>
      <c r="C9" s="3">
        <v>2331922080</v>
      </c>
      <c r="D9" s="3">
        <v>1</v>
      </c>
      <c r="E9" s="4" t="s">
        <v>101</v>
      </c>
      <c r="F9" s="19" t="s">
        <v>29</v>
      </c>
      <c r="G9" s="10" t="s">
        <v>6</v>
      </c>
      <c r="H9" s="11">
        <v>1600</v>
      </c>
    </row>
    <row r="10" spans="1:8" ht="15.75" x14ac:dyDescent="0.25">
      <c r="A10" s="74"/>
      <c r="B10" s="2">
        <v>45692</v>
      </c>
      <c r="C10" s="3">
        <v>3982314618</v>
      </c>
      <c r="D10" s="3">
        <v>3</v>
      </c>
      <c r="E10" s="4" t="s">
        <v>300</v>
      </c>
      <c r="F10" s="19" t="s">
        <v>29</v>
      </c>
      <c r="G10" s="10" t="s">
        <v>19</v>
      </c>
      <c r="H10" s="11">
        <v>3600</v>
      </c>
    </row>
    <row r="11" spans="1:8" ht="15.75" x14ac:dyDescent="0.25">
      <c r="A11" s="74"/>
      <c r="B11" s="2">
        <v>45698</v>
      </c>
      <c r="C11" s="3">
        <v>3090433388</v>
      </c>
      <c r="D11" s="3">
        <v>10</v>
      </c>
      <c r="E11" s="4" t="s">
        <v>301</v>
      </c>
      <c r="F11" s="19" t="s">
        <v>29</v>
      </c>
      <c r="G11" s="10" t="s">
        <v>6</v>
      </c>
      <c r="H11" s="11">
        <v>12000</v>
      </c>
    </row>
    <row r="12" spans="1:8" ht="15.75" x14ac:dyDescent="0.25">
      <c r="A12" s="74"/>
      <c r="B12" s="2">
        <v>45701</v>
      </c>
      <c r="C12" s="3">
        <v>3569110488</v>
      </c>
      <c r="D12" s="3">
        <v>1</v>
      </c>
      <c r="E12" s="4" t="s">
        <v>241</v>
      </c>
      <c r="F12" s="19" t="s">
        <v>302</v>
      </c>
      <c r="G12" s="10" t="s">
        <v>7</v>
      </c>
      <c r="H12" s="11">
        <v>1000</v>
      </c>
    </row>
    <row r="13" spans="1:8" ht="15.75" x14ac:dyDescent="0.25">
      <c r="A13" s="74"/>
      <c r="B13" s="2">
        <v>45701</v>
      </c>
      <c r="C13" s="3">
        <v>3569110488</v>
      </c>
      <c r="D13" s="3">
        <v>1</v>
      </c>
      <c r="E13" s="4" t="s">
        <v>241</v>
      </c>
      <c r="F13" s="19" t="s">
        <v>303</v>
      </c>
      <c r="G13" s="10" t="s">
        <v>7</v>
      </c>
      <c r="H13" s="11">
        <v>1000</v>
      </c>
    </row>
    <row r="14" spans="1:8" ht="15.75" x14ac:dyDescent="0.25">
      <c r="A14" s="74"/>
      <c r="B14" s="2">
        <v>45701</v>
      </c>
      <c r="C14" s="3">
        <v>3569110488</v>
      </c>
      <c r="D14" s="3">
        <v>1</v>
      </c>
      <c r="E14" s="4" t="s">
        <v>241</v>
      </c>
      <c r="F14" s="19" t="s">
        <v>304</v>
      </c>
      <c r="G14" s="10" t="s">
        <v>7</v>
      </c>
      <c r="H14" s="11">
        <v>1000</v>
      </c>
    </row>
    <row r="15" spans="1:8" ht="15.75" x14ac:dyDescent="0.25">
      <c r="A15" s="74"/>
      <c r="B15" s="2">
        <v>45701</v>
      </c>
      <c r="C15" s="3">
        <v>3166717576</v>
      </c>
      <c r="D15" s="3">
        <v>3</v>
      </c>
      <c r="E15" s="4" t="s">
        <v>305</v>
      </c>
      <c r="F15" s="19" t="s">
        <v>29</v>
      </c>
      <c r="G15" s="10" t="s">
        <v>6</v>
      </c>
      <c r="H15" s="11">
        <v>3600</v>
      </c>
    </row>
    <row r="16" spans="1:8" ht="15.75" x14ac:dyDescent="0.25">
      <c r="A16" s="74"/>
      <c r="B16" s="2">
        <v>45706</v>
      </c>
      <c r="C16" s="3">
        <v>3552724814</v>
      </c>
      <c r="D16" s="3">
        <v>3</v>
      </c>
      <c r="E16" s="4" t="s">
        <v>215</v>
      </c>
      <c r="F16" s="19" t="s">
        <v>29</v>
      </c>
      <c r="G16" s="10" t="s">
        <v>7</v>
      </c>
      <c r="H16" s="11">
        <v>3600</v>
      </c>
    </row>
    <row r="17" spans="1:8" ht="15.75" x14ac:dyDescent="0.25">
      <c r="A17" s="74"/>
      <c r="B17" s="2">
        <v>45706</v>
      </c>
      <c r="C17" s="3">
        <v>3552724814</v>
      </c>
      <c r="D17" s="3">
        <v>3</v>
      </c>
      <c r="E17" s="4" t="s">
        <v>215</v>
      </c>
      <c r="F17" s="19" t="s">
        <v>304</v>
      </c>
      <c r="G17" s="10" t="s">
        <v>7</v>
      </c>
      <c r="H17" s="11">
        <v>3000</v>
      </c>
    </row>
    <row r="18" spans="1:8" ht="15.75" x14ac:dyDescent="0.25">
      <c r="A18" s="74"/>
      <c r="B18" s="2">
        <v>45719</v>
      </c>
      <c r="C18" s="3">
        <v>2057388271</v>
      </c>
      <c r="D18" s="3">
        <v>3</v>
      </c>
      <c r="E18" s="4" t="s">
        <v>402</v>
      </c>
      <c r="F18" s="19" t="s">
        <v>29</v>
      </c>
      <c r="G18" s="10" t="s">
        <v>19</v>
      </c>
      <c r="H18" s="11">
        <v>3600</v>
      </c>
    </row>
    <row r="19" spans="1:8" ht="15.75" x14ac:dyDescent="0.25">
      <c r="A19" s="74"/>
      <c r="B19" s="2">
        <v>45721</v>
      </c>
      <c r="C19" s="3">
        <v>13386062</v>
      </c>
      <c r="D19" s="3">
        <v>3</v>
      </c>
      <c r="E19" s="4" t="s">
        <v>403</v>
      </c>
      <c r="F19" s="19" t="s">
        <v>29</v>
      </c>
      <c r="G19" s="10" t="s">
        <v>19</v>
      </c>
      <c r="H19" s="11">
        <v>3360</v>
      </c>
    </row>
    <row r="20" spans="1:8" ht="15.75" x14ac:dyDescent="0.25">
      <c r="A20" s="74"/>
      <c r="B20" s="2">
        <v>45721</v>
      </c>
      <c r="C20" s="3">
        <v>2107723253</v>
      </c>
      <c r="D20" s="3">
        <v>3</v>
      </c>
      <c r="E20" s="4" t="s">
        <v>404</v>
      </c>
      <c r="F20" s="19" t="s">
        <v>29</v>
      </c>
      <c r="G20" s="10" t="s">
        <v>19</v>
      </c>
      <c r="H20" s="11">
        <v>3360</v>
      </c>
    </row>
    <row r="21" spans="1:8" ht="15.75" x14ac:dyDescent="0.25">
      <c r="A21" s="74"/>
      <c r="B21" s="2">
        <v>45734</v>
      </c>
      <c r="C21" s="3">
        <v>3094300416</v>
      </c>
      <c r="D21" s="3">
        <v>1</v>
      </c>
      <c r="E21" s="4" t="s">
        <v>388</v>
      </c>
      <c r="F21" s="19" t="s">
        <v>29</v>
      </c>
      <c r="G21" s="10" t="s">
        <v>7</v>
      </c>
      <c r="H21" s="11">
        <v>1200</v>
      </c>
    </row>
    <row r="22" spans="1:8" ht="15.75" x14ac:dyDescent="0.25">
      <c r="A22" s="74"/>
      <c r="B22" s="2">
        <v>45734</v>
      </c>
      <c r="C22" s="3">
        <v>3094300416</v>
      </c>
      <c r="D22" s="3">
        <v>1</v>
      </c>
      <c r="E22" s="4" t="s">
        <v>388</v>
      </c>
      <c r="F22" s="19" t="s">
        <v>302</v>
      </c>
      <c r="G22" s="10" t="s">
        <v>7</v>
      </c>
      <c r="H22" s="11">
        <v>1200</v>
      </c>
    </row>
    <row r="23" spans="1:8" ht="15.75" x14ac:dyDescent="0.25">
      <c r="A23" s="74"/>
      <c r="B23" s="2">
        <v>45734</v>
      </c>
      <c r="C23" s="3">
        <v>623331095</v>
      </c>
      <c r="D23" s="3">
        <v>3</v>
      </c>
      <c r="E23" s="4" t="s">
        <v>405</v>
      </c>
      <c r="F23" s="19" t="s">
        <v>29</v>
      </c>
      <c r="G23" s="10" t="s">
        <v>7</v>
      </c>
      <c r="H23" s="11">
        <v>3360</v>
      </c>
    </row>
    <row r="24" spans="1:8" ht="15.75" x14ac:dyDescent="0.25">
      <c r="A24" s="74"/>
      <c r="B24" s="2">
        <v>45736</v>
      </c>
      <c r="C24" s="3">
        <v>2245345829</v>
      </c>
      <c r="D24" s="3">
        <v>3</v>
      </c>
      <c r="E24" s="4" t="s">
        <v>316</v>
      </c>
      <c r="F24" s="19" t="s">
        <v>29</v>
      </c>
      <c r="G24" s="10" t="s">
        <v>6</v>
      </c>
      <c r="H24" s="11">
        <v>3360</v>
      </c>
    </row>
    <row r="25" spans="1:8" ht="15.75" x14ac:dyDescent="0.25">
      <c r="A25" s="74"/>
      <c r="B25" s="2">
        <v>45742</v>
      </c>
      <c r="C25" s="3">
        <v>980436712</v>
      </c>
      <c r="D25" s="3">
        <v>3</v>
      </c>
      <c r="E25" s="4" t="s">
        <v>406</v>
      </c>
      <c r="F25" s="19" t="s">
        <v>29</v>
      </c>
      <c r="G25" s="10" t="s">
        <v>19</v>
      </c>
      <c r="H25" s="11">
        <v>3300</v>
      </c>
    </row>
    <row r="26" spans="1:8" ht="15.75" x14ac:dyDescent="0.25">
      <c r="A26" s="74"/>
      <c r="B26" s="2">
        <v>45747</v>
      </c>
      <c r="C26" s="3">
        <v>3429321548</v>
      </c>
      <c r="D26" s="3">
        <v>1</v>
      </c>
      <c r="E26" s="4" t="s">
        <v>407</v>
      </c>
      <c r="F26" s="19" t="s">
        <v>106</v>
      </c>
      <c r="G26" s="10" t="s">
        <v>13</v>
      </c>
      <c r="H26" s="11">
        <v>800</v>
      </c>
    </row>
    <row r="27" spans="1:8" ht="15.75" x14ac:dyDescent="0.25">
      <c r="A27" s="74"/>
      <c r="B27" s="2">
        <v>45747</v>
      </c>
      <c r="C27" s="3">
        <v>3429321548</v>
      </c>
      <c r="D27" s="3">
        <v>1</v>
      </c>
      <c r="E27" s="4" t="s">
        <v>407</v>
      </c>
      <c r="F27" s="19" t="s">
        <v>303</v>
      </c>
      <c r="G27" s="10" t="s">
        <v>13</v>
      </c>
      <c r="H27" s="11">
        <v>800</v>
      </c>
    </row>
    <row r="28" spans="1:8" ht="15.75" x14ac:dyDescent="0.25">
      <c r="A28" s="74"/>
      <c r="B28" s="2">
        <v>45749</v>
      </c>
      <c r="C28" s="3">
        <v>1730890860</v>
      </c>
      <c r="D28" s="3">
        <v>3</v>
      </c>
      <c r="E28" s="4" t="s">
        <v>566</v>
      </c>
      <c r="F28" s="19" t="s">
        <v>29</v>
      </c>
      <c r="G28" s="10" t="s">
        <v>11</v>
      </c>
      <c r="H28" s="11">
        <v>3600</v>
      </c>
    </row>
    <row r="29" spans="1:8" ht="15.75" x14ac:dyDescent="0.25">
      <c r="A29" s="74"/>
      <c r="B29" s="2">
        <v>45771</v>
      </c>
      <c r="C29" s="3">
        <v>2966178635</v>
      </c>
      <c r="D29" s="3">
        <v>3</v>
      </c>
      <c r="E29" s="4" t="s">
        <v>433</v>
      </c>
      <c r="F29" s="19" t="s">
        <v>303</v>
      </c>
      <c r="G29" s="10" t="s">
        <v>6</v>
      </c>
      <c r="H29" s="11">
        <v>2550</v>
      </c>
    </row>
    <row r="30" spans="1:8" ht="15.75" x14ac:dyDescent="0.25">
      <c r="A30" s="74"/>
      <c r="B30" s="2">
        <v>45771</v>
      </c>
      <c r="C30" s="3">
        <v>2966178635</v>
      </c>
      <c r="D30" s="3">
        <v>3</v>
      </c>
      <c r="E30" s="4" t="s">
        <v>433</v>
      </c>
      <c r="F30" s="19" t="s">
        <v>567</v>
      </c>
      <c r="G30" s="10" t="s">
        <v>6</v>
      </c>
      <c r="H30" s="11">
        <v>2550</v>
      </c>
    </row>
    <row r="31" spans="1:8" ht="15.75" x14ac:dyDescent="0.25">
      <c r="A31" s="74"/>
      <c r="B31" s="2">
        <v>45771</v>
      </c>
      <c r="C31" s="3">
        <v>2966178635</v>
      </c>
      <c r="D31" s="3">
        <v>3</v>
      </c>
      <c r="E31" s="4" t="s">
        <v>433</v>
      </c>
      <c r="F31" s="19" t="s">
        <v>29</v>
      </c>
      <c r="G31" s="10" t="s">
        <v>6</v>
      </c>
      <c r="H31" s="11">
        <v>3799.9979999999996</v>
      </c>
    </row>
    <row r="32" spans="1:8" ht="15.75" x14ac:dyDescent="0.25">
      <c r="A32" s="74"/>
      <c r="B32" s="2">
        <v>45771</v>
      </c>
      <c r="C32" s="3">
        <v>2966178635</v>
      </c>
      <c r="D32" s="3">
        <v>1</v>
      </c>
      <c r="E32" s="4" t="s">
        <v>522</v>
      </c>
      <c r="F32" s="19" t="s">
        <v>29</v>
      </c>
      <c r="G32" s="10" t="s">
        <v>6</v>
      </c>
      <c r="H32" s="11">
        <v>1200</v>
      </c>
    </row>
    <row r="33" spans="1:8" ht="15.75" x14ac:dyDescent="0.25">
      <c r="A33" s="74"/>
      <c r="B33" s="2">
        <v>45771</v>
      </c>
      <c r="C33" s="3">
        <v>4008070167</v>
      </c>
      <c r="D33" s="3">
        <v>3</v>
      </c>
      <c r="E33" s="4" t="s">
        <v>568</v>
      </c>
      <c r="F33" s="19" t="s">
        <v>29</v>
      </c>
      <c r="G33" s="10" t="s">
        <v>19</v>
      </c>
      <c r="H33" s="11">
        <v>3600</v>
      </c>
    </row>
    <row r="34" spans="1:8" ht="15.75" x14ac:dyDescent="0.25">
      <c r="A34" s="74"/>
      <c r="B34" s="2">
        <v>45775</v>
      </c>
      <c r="C34" s="3">
        <v>4071313104</v>
      </c>
      <c r="D34" s="3">
        <v>1</v>
      </c>
      <c r="E34" s="4" t="s">
        <v>105</v>
      </c>
      <c r="F34" s="19" t="s">
        <v>106</v>
      </c>
      <c r="G34" s="10" t="s">
        <v>13</v>
      </c>
      <c r="H34" s="11">
        <v>800</v>
      </c>
    </row>
    <row r="35" spans="1:8" ht="15.75" x14ac:dyDescent="0.25">
      <c r="A35" s="74"/>
      <c r="B35" s="2">
        <v>45775</v>
      </c>
      <c r="C35" s="3">
        <v>4071313104</v>
      </c>
      <c r="D35" s="3">
        <v>1</v>
      </c>
      <c r="E35" s="4" t="s">
        <v>105</v>
      </c>
      <c r="F35" s="19" t="s">
        <v>303</v>
      </c>
      <c r="G35" s="10" t="s">
        <v>13</v>
      </c>
      <c r="H35" s="11">
        <v>800</v>
      </c>
    </row>
    <row r="36" spans="1:8" ht="15.75" x14ac:dyDescent="0.25">
      <c r="A36" s="74"/>
      <c r="B36" s="2">
        <v>45782</v>
      </c>
      <c r="C36" s="3">
        <v>2760789435</v>
      </c>
      <c r="D36" s="3">
        <v>3</v>
      </c>
      <c r="E36" s="4" t="s">
        <v>659</v>
      </c>
      <c r="F36" s="19" t="s">
        <v>29</v>
      </c>
      <c r="G36" s="10" t="s">
        <v>7</v>
      </c>
      <c r="H36" s="11">
        <v>3600</v>
      </c>
    </row>
    <row r="37" spans="1:8" ht="15.75" x14ac:dyDescent="0.25">
      <c r="A37" s="74"/>
      <c r="B37" s="2">
        <v>45783</v>
      </c>
      <c r="C37" s="3">
        <v>3567143551</v>
      </c>
      <c r="D37" s="3">
        <v>3</v>
      </c>
      <c r="E37" s="4" t="s">
        <v>693</v>
      </c>
      <c r="F37" s="19" t="s">
        <v>29</v>
      </c>
      <c r="G37" s="10" t="s">
        <v>7</v>
      </c>
      <c r="H37" s="11">
        <v>3600</v>
      </c>
    </row>
    <row r="38" spans="1:8" ht="15.75" x14ac:dyDescent="0.25">
      <c r="A38" s="74"/>
      <c r="B38" s="2">
        <v>45784</v>
      </c>
      <c r="C38" s="3">
        <v>3021819872</v>
      </c>
      <c r="D38" s="3">
        <v>2</v>
      </c>
      <c r="E38" s="4" t="s">
        <v>694</v>
      </c>
      <c r="F38" s="19" t="s">
        <v>29</v>
      </c>
      <c r="G38" s="10" t="s">
        <v>6</v>
      </c>
      <c r="H38" s="11">
        <v>2532</v>
      </c>
    </row>
    <row r="39" spans="1:8" ht="15.75" x14ac:dyDescent="0.25">
      <c r="A39" s="74"/>
      <c r="B39" s="2">
        <v>45784</v>
      </c>
      <c r="C39" s="3">
        <v>3021819872</v>
      </c>
      <c r="D39" s="3">
        <v>1</v>
      </c>
      <c r="E39" s="4" t="s">
        <v>694</v>
      </c>
      <c r="F39" s="19" t="s">
        <v>29</v>
      </c>
      <c r="G39" s="10" t="s">
        <v>6</v>
      </c>
      <c r="H39" s="11">
        <v>1268</v>
      </c>
    </row>
    <row r="40" spans="1:8" ht="15.75" x14ac:dyDescent="0.25">
      <c r="A40" s="74"/>
      <c r="B40" s="2">
        <v>45785</v>
      </c>
      <c r="C40" s="3">
        <v>356599773</v>
      </c>
      <c r="D40" s="3">
        <v>1</v>
      </c>
      <c r="E40" s="4" t="s">
        <v>695</v>
      </c>
      <c r="F40" s="19" t="s">
        <v>29</v>
      </c>
      <c r="G40" s="10" t="s">
        <v>6</v>
      </c>
      <c r="H40" s="11">
        <v>1400</v>
      </c>
    </row>
    <row r="41" spans="1:8" ht="15.75" x14ac:dyDescent="0.25">
      <c r="A41" s="74"/>
      <c r="B41" s="2">
        <v>45789</v>
      </c>
      <c r="C41" s="3">
        <v>4044834886</v>
      </c>
      <c r="D41" s="3">
        <v>1</v>
      </c>
      <c r="E41" s="4" t="s">
        <v>388</v>
      </c>
      <c r="F41" s="19" t="s">
        <v>29</v>
      </c>
      <c r="G41" s="10" t="s">
        <v>7</v>
      </c>
      <c r="H41" s="11">
        <v>1200</v>
      </c>
    </row>
    <row r="42" spans="1:8" ht="15.75" x14ac:dyDescent="0.25">
      <c r="A42" s="74"/>
      <c r="B42" s="2">
        <v>45789</v>
      </c>
      <c r="C42" s="3">
        <v>4044834886</v>
      </c>
      <c r="D42" s="3">
        <v>1</v>
      </c>
      <c r="E42" s="4" t="s">
        <v>388</v>
      </c>
      <c r="F42" s="19" t="s">
        <v>302</v>
      </c>
      <c r="G42" s="10" t="s">
        <v>7</v>
      </c>
      <c r="H42" s="11">
        <v>1200</v>
      </c>
    </row>
    <row r="43" spans="1:8" ht="15.75" x14ac:dyDescent="0.25">
      <c r="A43" s="74"/>
      <c r="B43" s="2">
        <v>45790</v>
      </c>
      <c r="C43" s="3">
        <v>213404939</v>
      </c>
      <c r="D43" s="3">
        <v>2</v>
      </c>
      <c r="E43" s="4" t="s">
        <v>696</v>
      </c>
      <c r="F43" s="19" t="s">
        <v>29</v>
      </c>
      <c r="G43" s="10" t="s">
        <v>6</v>
      </c>
      <c r="H43" s="11">
        <v>2532</v>
      </c>
    </row>
    <row r="44" spans="1:8" ht="15.75" x14ac:dyDescent="0.25">
      <c r="A44" s="74"/>
      <c r="B44" s="2">
        <v>45790</v>
      </c>
      <c r="C44" s="3">
        <v>213404939</v>
      </c>
      <c r="D44" s="3">
        <v>1</v>
      </c>
      <c r="E44" s="4" t="s">
        <v>696</v>
      </c>
      <c r="F44" s="19" t="s">
        <v>29</v>
      </c>
      <c r="G44" s="10" t="s">
        <v>6</v>
      </c>
      <c r="H44" s="11">
        <v>1268</v>
      </c>
    </row>
    <row r="45" spans="1:8" ht="15.75" x14ac:dyDescent="0.25">
      <c r="A45" s="74"/>
      <c r="B45" s="2">
        <v>45791</v>
      </c>
      <c r="C45" s="3">
        <v>96485665</v>
      </c>
      <c r="D45" s="3">
        <v>2</v>
      </c>
      <c r="E45" s="4" t="s">
        <v>529</v>
      </c>
      <c r="F45" s="19" t="s">
        <v>29</v>
      </c>
      <c r="G45" s="10" t="s">
        <v>7</v>
      </c>
      <c r="H45" s="11">
        <v>2400</v>
      </c>
    </row>
    <row r="46" spans="1:8" ht="15.75" x14ac:dyDescent="0.25">
      <c r="A46" s="74"/>
      <c r="B46" s="2">
        <v>45792</v>
      </c>
      <c r="C46" s="3">
        <v>2435268973</v>
      </c>
      <c r="D46" s="3">
        <v>2</v>
      </c>
      <c r="E46" s="4" t="s">
        <v>668</v>
      </c>
      <c r="F46" s="19" t="s">
        <v>29</v>
      </c>
      <c r="G46" s="10" t="s">
        <v>7</v>
      </c>
      <c r="H46" s="11">
        <v>2532</v>
      </c>
    </row>
    <row r="47" spans="1:8" ht="15.75" x14ac:dyDescent="0.25">
      <c r="A47" s="74"/>
      <c r="B47" s="2">
        <v>45792</v>
      </c>
      <c r="C47" s="3">
        <v>2435268973</v>
      </c>
      <c r="D47" s="3">
        <v>1</v>
      </c>
      <c r="E47" s="4" t="s">
        <v>668</v>
      </c>
      <c r="F47" s="19" t="s">
        <v>29</v>
      </c>
      <c r="G47" s="10" t="s">
        <v>7</v>
      </c>
      <c r="H47" s="11">
        <v>1268</v>
      </c>
    </row>
    <row r="48" spans="1:8" ht="15.75" x14ac:dyDescent="0.25">
      <c r="A48" s="74"/>
      <c r="B48" s="2">
        <v>45793</v>
      </c>
      <c r="C48" s="3">
        <v>1856851388</v>
      </c>
      <c r="D48" s="3">
        <v>2</v>
      </c>
      <c r="E48" s="4" t="s">
        <v>697</v>
      </c>
      <c r="F48" s="19" t="s">
        <v>29</v>
      </c>
      <c r="G48" s="10" t="s">
        <v>7</v>
      </c>
      <c r="H48" s="11">
        <v>2530</v>
      </c>
    </row>
    <row r="49" spans="1:8" ht="15.75" x14ac:dyDescent="0.25">
      <c r="A49" s="74"/>
      <c r="B49" s="2">
        <v>45793</v>
      </c>
      <c r="C49" s="3">
        <v>1856851388</v>
      </c>
      <c r="D49" s="3">
        <v>1</v>
      </c>
      <c r="E49" s="4" t="s">
        <v>697</v>
      </c>
      <c r="F49" s="19" t="s">
        <v>29</v>
      </c>
      <c r="G49" s="10" t="s">
        <v>7</v>
      </c>
      <c r="H49" s="11">
        <v>1270</v>
      </c>
    </row>
    <row r="50" spans="1:8" ht="15.75" x14ac:dyDescent="0.25">
      <c r="A50" s="74"/>
      <c r="B50" s="2">
        <v>45793</v>
      </c>
      <c r="C50" s="3">
        <v>589515157</v>
      </c>
      <c r="D50" s="3">
        <v>2</v>
      </c>
      <c r="E50" s="4" t="s">
        <v>698</v>
      </c>
      <c r="F50" s="19" t="s">
        <v>29</v>
      </c>
      <c r="G50" s="10" t="s">
        <v>7</v>
      </c>
      <c r="H50" s="11">
        <v>2532</v>
      </c>
    </row>
    <row r="51" spans="1:8" ht="15.75" x14ac:dyDescent="0.25">
      <c r="A51" s="74"/>
      <c r="B51" s="2">
        <v>45793</v>
      </c>
      <c r="C51" s="3">
        <v>589515157</v>
      </c>
      <c r="D51" s="3">
        <v>1</v>
      </c>
      <c r="E51" s="4" t="s">
        <v>698</v>
      </c>
      <c r="F51" s="19" t="s">
        <v>29</v>
      </c>
      <c r="G51" s="10" t="s">
        <v>7</v>
      </c>
      <c r="H51" s="11">
        <v>1268</v>
      </c>
    </row>
    <row r="52" spans="1:8" ht="15.75" x14ac:dyDescent="0.25">
      <c r="A52" s="74"/>
      <c r="B52" s="2">
        <v>45798</v>
      </c>
      <c r="C52" s="3">
        <v>1794066458</v>
      </c>
      <c r="D52" s="3">
        <v>3</v>
      </c>
      <c r="E52" s="4" t="s">
        <v>300</v>
      </c>
      <c r="F52" s="19" t="s">
        <v>29</v>
      </c>
      <c r="G52" s="10" t="s">
        <v>19</v>
      </c>
      <c r="H52" s="11">
        <v>3600</v>
      </c>
    </row>
    <row r="53" spans="1:8" ht="15.75" x14ac:dyDescent="0.25">
      <c r="A53" s="74"/>
      <c r="B53" s="2">
        <v>45806</v>
      </c>
      <c r="C53" s="3">
        <v>4011936327</v>
      </c>
      <c r="D53" s="3">
        <v>1</v>
      </c>
      <c r="E53" s="4" t="s">
        <v>105</v>
      </c>
      <c r="F53" s="19" t="s">
        <v>106</v>
      </c>
      <c r="G53" s="10" t="s">
        <v>13</v>
      </c>
      <c r="H53" s="11">
        <v>800</v>
      </c>
    </row>
    <row r="54" spans="1:8" ht="15.75" x14ac:dyDescent="0.25">
      <c r="A54" s="74"/>
      <c r="B54" s="2">
        <v>45806</v>
      </c>
      <c r="C54" s="3">
        <v>4011936327</v>
      </c>
      <c r="D54" s="3">
        <v>1</v>
      </c>
      <c r="E54" s="4" t="s">
        <v>105</v>
      </c>
      <c r="F54" s="19" t="s">
        <v>303</v>
      </c>
      <c r="G54" s="10" t="s">
        <v>13</v>
      </c>
      <c r="H54" s="11">
        <v>800</v>
      </c>
    </row>
    <row r="55" spans="1:8" ht="15.75" x14ac:dyDescent="0.25">
      <c r="A55" s="74"/>
      <c r="B55" s="2">
        <v>45806</v>
      </c>
      <c r="C55" s="3">
        <v>917783383</v>
      </c>
      <c r="D55" s="3">
        <v>2</v>
      </c>
      <c r="E55" s="4" t="s">
        <v>621</v>
      </c>
      <c r="F55" s="19" t="s">
        <v>29</v>
      </c>
      <c r="G55" s="10" t="s">
        <v>7</v>
      </c>
      <c r="H55" s="11">
        <v>2532</v>
      </c>
    </row>
    <row r="56" spans="1:8" ht="15.75" x14ac:dyDescent="0.25">
      <c r="A56" s="74"/>
      <c r="B56" s="2">
        <v>45806</v>
      </c>
      <c r="C56" s="3">
        <v>917783383</v>
      </c>
      <c r="D56" s="3">
        <v>1</v>
      </c>
      <c r="E56" s="4" t="s">
        <v>621</v>
      </c>
      <c r="F56" s="19" t="s">
        <v>29</v>
      </c>
      <c r="G56" s="10" t="s">
        <v>7</v>
      </c>
      <c r="H56" s="11">
        <v>1268</v>
      </c>
    </row>
    <row r="57" spans="1:8" ht="15.75" x14ac:dyDescent="0.25">
      <c r="A57" s="74"/>
      <c r="B57" s="2">
        <v>45807</v>
      </c>
      <c r="C57" s="3">
        <v>1849510375</v>
      </c>
      <c r="D57" s="3">
        <v>1</v>
      </c>
      <c r="E57" s="4" t="s">
        <v>241</v>
      </c>
      <c r="F57" s="19" t="s">
        <v>29</v>
      </c>
      <c r="G57" s="10" t="s">
        <v>7</v>
      </c>
      <c r="H57" s="11">
        <v>1200</v>
      </c>
    </row>
    <row r="58" spans="1:8" ht="15.75" x14ac:dyDescent="0.25">
      <c r="A58" s="74"/>
      <c r="B58" s="2">
        <v>45807</v>
      </c>
      <c r="C58" s="3">
        <v>1849510375</v>
      </c>
      <c r="D58" s="3">
        <v>1</v>
      </c>
      <c r="E58" s="4" t="s">
        <v>241</v>
      </c>
      <c r="F58" s="19" t="s">
        <v>567</v>
      </c>
      <c r="G58" s="10" t="s">
        <v>7</v>
      </c>
      <c r="H58" s="11">
        <v>1200</v>
      </c>
    </row>
    <row r="59" spans="1:8" ht="15.75" x14ac:dyDescent="0.25">
      <c r="A59" s="74"/>
      <c r="B59" s="2">
        <v>45807</v>
      </c>
      <c r="C59" s="3">
        <v>1849510375</v>
      </c>
      <c r="D59" s="3">
        <v>1</v>
      </c>
      <c r="E59" s="4" t="s">
        <v>241</v>
      </c>
      <c r="F59" s="19" t="s">
        <v>699</v>
      </c>
      <c r="G59" s="10" t="s">
        <v>7</v>
      </c>
      <c r="H59" s="11">
        <v>1200</v>
      </c>
    </row>
    <row r="60" spans="1:8" ht="15.75" x14ac:dyDescent="0.25">
      <c r="A60" s="74"/>
      <c r="B60" s="2">
        <v>45807</v>
      </c>
      <c r="C60" s="3">
        <v>1849510375</v>
      </c>
      <c r="D60" s="3">
        <v>1</v>
      </c>
      <c r="E60" s="4" t="s">
        <v>241</v>
      </c>
      <c r="F60" s="19" t="s">
        <v>304</v>
      </c>
      <c r="G60" s="10" t="s">
        <v>7</v>
      </c>
      <c r="H60" s="11">
        <v>1200</v>
      </c>
    </row>
    <row r="61" spans="1:8" ht="15.75" x14ac:dyDescent="0.25">
      <c r="A61" s="74"/>
      <c r="B61" s="2">
        <v>45811</v>
      </c>
      <c r="C61" s="3">
        <v>2852014633</v>
      </c>
      <c r="D61" s="3">
        <v>3</v>
      </c>
      <c r="E61" s="4" t="s">
        <v>700</v>
      </c>
      <c r="F61" s="19" t="s">
        <v>29</v>
      </c>
      <c r="G61" s="10" t="s">
        <v>19</v>
      </c>
      <c r="H61" s="11">
        <v>3600</v>
      </c>
    </row>
    <row r="62" spans="1:8" ht="15.75" x14ac:dyDescent="0.25">
      <c r="A62" s="74"/>
      <c r="B62" s="2">
        <v>45812</v>
      </c>
      <c r="C62" s="3">
        <v>888358634</v>
      </c>
      <c r="D62" s="3">
        <v>1</v>
      </c>
      <c r="E62" s="4" t="s">
        <v>637</v>
      </c>
      <c r="F62" s="19" t="s">
        <v>567</v>
      </c>
      <c r="G62" s="10" t="s">
        <v>6</v>
      </c>
      <c r="H62" s="11">
        <v>1200</v>
      </c>
    </row>
    <row r="63" spans="1:8" ht="15.75" x14ac:dyDescent="0.25">
      <c r="A63" s="74"/>
      <c r="B63" s="2">
        <v>45833</v>
      </c>
      <c r="C63" s="3">
        <v>1163479015</v>
      </c>
      <c r="D63" s="3">
        <v>2</v>
      </c>
      <c r="E63" s="4" t="s">
        <v>688</v>
      </c>
      <c r="F63" s="19" t="s">
        <v>29</v>
      </c>
      <c r="G63" s="10" t="s">
        <v>13</v>
      </c>
      <c r="H63" s="11">
        <v>2532</v>
      </c>
    </row>
    <row r="64" spans="1:8" ht="15.75" x14ac:dyDescent="0.25">
      <c r="A64" s="74"/>
      <c r="B64" s="2">
        <v>45833</v>
      </c>
      <c r="C64" s="3">
        <v>1163479015</v>
      </c>
      <c r="D64" s="3">
        <v>1</v>
      </c>
      <c r="E64" s="4" t="s">
        <v>688</v>
      </c>
      <c r="F64" s="19" t="s">
        <v>29</v>
      </c>
      <c r="G64" s="10" t="s">
        <v>13</v>
      </c>
      <c r="H64" s="11">
        <v>1268</v>
      </c>
    </row>
    <row r="65" spans="1:8" ht="15.75" x14ac:dyDescent="0.25">
      <c r="A65" s="74"/>
      <c r="B65" s="2">
        <v>45845</v>
      </c>
      <c r="C65" s="3">
        <v>3569830638</v>
      </c>
      <c r="D65" s="3">
        <v>3</v>
      </c>
      <c r="E65" s="4" t="s">
        <v>801</v>
      </c>
      <c r="F65" s="19" t="s">
        <v>802</v>
      </c>
      <c r="G65" s="10" t="s">
        <v>19</v>
      </c>
      <c r="H65" s="11">
        <v>5400</v>
      </c>
    </row>
    <row r="66" spans="1:8" ht="15.75" x14ac:dyDescent="0.25">
      <c r="A66" s="74"/>
      <c r="B66" s="2">
        <v>45846</v>
      </c>
      <c r="C66" s="3">
        <v>1549616907</v>
      </c>
      <c r="D66" s="3">
        <v>1</v>
      </c>
      <c r="E66" s="4" t="s">
        <v>122</v>
      </c>
      <c r="F66" s="19" t="s">
        <v>567</v>
      </c>
      <c r="G66" s="10" t="s">
        <v>11</v>
      </c>
      <c r="H66" s="11">
        <v>1200</v>
      </c>
    </row>
    <row r="67" spans="1:8" ht="15.75" x14ac:dyDescent="0.25">
      <c r="A67" s="74"/>
      <c r="B67" s="2">
        <v>45846</v>
      </c>
      <c r="C67" s="3">
        <v>1549616907</v>
      </c>
      <c r="D67" s="3">
        <v>1</v>
      </c>
      <c r="E67" s="4" t="s">
        <v>122</v>
      </c>
      <c r="F67" s="19" t="s">
        <v>303</v>
      </c>
      <c r="G67" s="10" t="s">
        <v>11</v>
      </c>
      <c r="H67" s="11">
        <v>1200</v>
      </c>
    </row>
    <row r="68" spans="1:8" ht="15.75" x14ac:dyDescent="0.25">
      <c r="A68" s="74"/>
      <c r="B68" s="2">
        <v>45849</v>
      </c>
      <c r="C68" s="3">
        <v>482166228</v>
      </c>
      <c r="D68" s="3">
        <v>3</v>
      </c>
      <c r="E68" s="4" t="s">
        <v>798</v>
      </c>
      <c r="F68" s="19" t="s">
        <v>29</v>
      </c>
      <c r="G68" s="10" t="s">
        <v>7</v>
      </c>
      <c r="H68" s="11">
        <v>3600</v>
      </c>
    </row>
    <row r="69" spans="1:8" ht="15.75" x14ac:dyDescent="0.25">
      <c r="A69" s="74"/>
      <c r="B69" s="2">
        <v>45852</v>
      </c>
      <c r="C69" s="3">
        <v>2002862329</v>
      </c>
      <c r="D69" s="3">
        <v>1</v>
      </c>
      <c r="E69" s="4" t="s">
        <v>105</v>
      </c>
      <c r="F69" s="19" t="s">
        <v>106</v>
      </c>
      <c r="G69" s="10" t="s">
        <v>13</v>
      </c>
      <c r="H69" s="11">
        <v>800</v>
      </c>
    </row>
    <row r="70" spans="1:8" ht="15.75" x14ac:dyDescent="0.25">
      <c r="A70" s="74"/>
      <c r="B70" s="2">
        <v>45852</v>
      </c>
      <c r="C70" s="3">
        <v>2002862329</v>
      </c>
      <c r="D70" s="3">
        <v>1</v>
      </c>
      <c r="E70" s="4" t="s">
        <v>105</v>
      </c>
      <c r="F70" s="19" t="s">
        <v>303</v>
      </c>
      <c r="G70" s="10" t="s">
        <v>13</v>
      </c>
      <c r="H70" s="11">
        <v>800</v>
      </c>
    </row>
    <row r="71" spans="1:8" ht="15.75" x14ac:dyDescent="0.25">
      <c r="A71" s="74"/>
      <c r="B71" s="2">
        <v>45867</v>
      </c>
      <c r="C71" s="3">
        <v>1515799229</v>
      </c>
      <c r="D71" s="3">
        <v>1</v>
      </c>
      <c r="E71" s="4" t="s">
        <v>437</v>
      </c>
      <c r="F71" s="19" t="s">
        <v>29</v>
      </c>
      <c r="G71" s="10" t="s">
        <v>6</v>
      </c>
      <c r="H71" s="11">
        <v>1600</v>
      </c>
    </row>
    <row r="72" spans="1:8" ht="15.75" x14ac:dyDescent="0.25">
      <c r="A72" s="74"/>
      <c r="B72" s="2">
        <v>45868</v>
      </c>
      <c r="C72" s="3">
        <v>268453494</v>
      </c>
      <c r="D72" s="3">
        <v>3</v>
      </c>
      <c r="E72" s="4" t="s">
        <v>803</v>
      </c>
      <c r="F72" s="19" t="s">
        <v>29</v>
      </c>
      <c r="G72" s="10" t="s">
        <v>19</v>
      </c>
      <c r="H72" s="11">
        <v>3600</v>
      </c>
    </row>
    <row r="73" spans="1:8" ht="15.75" x14ac:dyDescent="0.25">
      <c r="A73" s="74"/>
      <c r="B73" s="2">
        <v>45868</v>
      </c>
      <c r="C73" s="3">
        <v>1624131116</v>
      </c>
      <c r="D73" s="3">
        <v>3</v>
      </c>
      <c r="E73" s="4" t="s">
        <v>766</v>
      </c>
      <c r="F73" s="19" t="s">
        <v>29</v>
      </c>
      <c r="G73" s="10" t="s">
        <v>11</v>
      </c>
      <c r="H73" s="11">
        <v>3600</v>
      </c>
    </row>
    <row r="74" spans="1:8" ht="15.75" x14ac:dyDescent="0.25">
      <c r="A74" s="74"/>
      <c r="B74" s="2">
        <v>45876</v>
      </c>
      <c r="C74" s="3">
        <v>2803123761</v>
      </c>
      <c r="D74" s="3">
        <v>3</v>
      </c>
      <c r="E74" s="4" t="s">
        <v>918</v>
      </c>
      <c r="F74" s="4" t="s">
        <v>29</v>
      </c>
      <c r="G74" s="5" t="s">
        <v>7</v>
      </c>
      <c r="H74" s="6">
        <v>3600</v>
      </c>
    </row>
    <row r="75" spans="1:8" ht="15.75" x14ac:dyDescent="0.25">
      <c r="A75" s="74"/>
      <c r="B75" s="2">
        <v>45876</v>
      </c>
      <c r="C75" s="3">
        <v>1661225929</v>
      </c>
      <c r="D75" s="3">
        <v>3</v>
      </c>
      <c r="E75" s="4" t="s">
        <v>447</v>
      </c>
      <c r="F75" s="4" t="s">
        <v>29</v>
      </c>
      <c r="G75" s="5" t="s">
        <v>7</v>
      </c>
      <c r="H75" s="6">
        <v>3600</v>
      </c>
    </row>
    <row r="76" spans="1:8" ht="15.75" x14ac:dyDescent="0.25">
      <c r="A76" s="74"/>
      <c r="B76" s="2">
        <v>45877</v>
      </c>
      <c r="C76" s="3">
        <v>3718138161</v>
      </c>
      <c r="D76" s="3">
        <v>1</v>
      </c>
      <c r="E76" s="4" t="s">
        <v>921</v>
      </c>
      <c r="F76" s="4" t="s">
        <v>29</v>
      </c>
      <c r="G76" s="5" t="s">
        <v>6</v>
      </c>
      <c r="H76" s="6">
        <v>1200</v>
      </c>
    </row>
    <row r="77" spans="1:8" ht="15.75" x14ac:dyDescent="0.25">
      <c r="A77" s="74"/>
      <c r="B77" s="2">
        <v>45887</v>
      </c>
      <c r="C77" s="3">
        <v>3347991609</v>
      </c>
      <c r="D77" s="3">
        <v>1</v>
      </c>
      <c r="E77" s="4" t="s">
        <v>407</v>
      </c>
      <c r="F77" s="4" t="s">
        <v>106</v>
      </c>
      <c r="G77" s="5" t="s">
        <v>13</v>
      </c>
      <c r="H77" s="6">
        <v>800</v>
      </c>
    </row>
    <row r="78" spans="1:8" ht="15.75" x14ac:dyDescent="0.25">
      <c r="A78" s="74"/>
      <c r="B78" s="2">
        <v>45887</v>
      </c>
      <c r="C78" s="3">
        <v>3347991609</v>
      </c>
      <c r="D78" s="3">
        <v>1</v>
      </c>
      <c r="E78" s="4" t="s">
        <v>407</v>
      </c>
      <c r="F78" s="4" t="s">
        <v>303</v>
      </c>
      <c r="G78" s="5" t="s">
        <v>13</v>
      </c>
      <c r="H78" s="6">
        <v>800</v>
      </c>
    </row>
    <row r="79" spans="1:8" ht="15.75" x14ac:dyDescent="0.25">
      <c r="A79" s="74"/>
      <c r="B79" s="2">
        <v>45888</v>
      </c>
      <c r="C79" s="3">
        <v>3635234758</v>
      </c>
      <c r="D79" s="3">
        <v>1</v>
      </c>
      <c r="E79" s="4" t="s">
        <v>922</v>
      </c>
      <c r="F79" s="4" t="s">
        <v>29</v>
      </c>
      <c r="G79" s="5" t="s">
        <v>6</v>
      </c>
      <c r="H79" s="6">
        <v>850</v>
      </c>
    </row>
    <row r="80" spans="1:8" ht="15.75" x14ac:dyDescent="0.25">
      <c r="A80" s="74"/>
      <c r="B80" s="2">
        <v>45889</v>
      </c>
      <c r="C80" s="3">
        <v>386613430</v>
      </c>
      <c r="D80" s="3">
        <v>3</v>
      </c>
      <c r="E80" s="4" t="s">
        <v>313</v>
      </c>
      <c r="F80" s="4" t="s">
        <v>29</v>
      </c>
      <c r="G80" s="5" t="s">
        <v>6</v>
      </c>
      <c r="H80" s="6">
        <v>3600</v>
      </c>
    </row>
    <row r="81" spans="1:8" ht="15.75" x14ac:dyDescent="0.25">
      <c r="A81" s="74"/>
      <c r="B81" s="2">
        <v>45889</v>
      </c>
      <c r="C81" s="3">
        <v>843403112</v>
      </c>
      <c r="D81" s="3">
        <v>1</v>
      </c>
      <c r="E81" s="4" t="s">
        <v>923</v>
      </c>
      <c r="F81" s="4" t="s">
        <v>29</v>
      </c>
      <c r="G81" s="5" t="s">
        <v>6</v>
      </c>
      <c r="H81" s="6">
        <v>1400</v>
      </c>
    </row>
    <row r="82" spans="1:8" ht="15.75" x14ac:dyDescent="0.25">
      <c r="A82" s="74"/>
      <c r="B82" s="2">
        <v>45904</v>
      </c>
      <c r="C82" s="3">
        <v>4191764700</v>
      </c>
      <c r="D82" s="3">
        <v>1</v>
      </c>
      <c r="E82" s="4" t="s">
        <v>619</v>
      </c>
      <c r="F82" s="4" t="s">
        <v>29</v>
      </c>
      <c r="G82" s="5" t="s">
        <v>6</v>
      </c>
      <c r="H82" s="6">
        <v>1600</v>
      </c>
    </row>
    <row r="83" spans="1:8" ht="15.75" x14ac:dyDescent="0.25">
      <c r="A83" s="74"/>
      <c r="B83" s="2">
        <v>45912</v>
      </c>
      <c r="C83" s="3">
        <v>2037335700</v>
      </c>
      <c r="D83" s="3">
        <v>3</v>
      </c>
      <c r="E83" s="4" t="s">
        <v>953</v>
      </c>
      <c r="F83" s="4" t="s">
        <v>29</v>
      </c>
      <c r="G83" s="5" t="s">
        <v>7</v>
      </c>
      <c r="H83" s="6">
        <v>3600</v>
      </c>
    </row>
    <row r="84" spans="1:8" ht="15.75" x14ac:dyDescent="0.25">
      <c r="A84" s="74"/>
      <c r="B84" s="2">
        <v>45917</v>
      </c>
      <c r="C84" s="3">
        <v>3845671556</v>
      </c>
      <c r="D84" s="3">
        <v>2</v>
      </c>
      <c r="E84" s="4" t="s">
        <v>112</v>
      </c>
      <c r="F84" s="4" t="s">
        <v>29</v>
      </c>
      <c r="G84" s="5" t="s">
        <v>19</v>
      </c>
      <c r="H84" s="6">
        <v>2532</v>
      </c>
    </row>
    <row r="85" spans="1:8" ht="15.75" x14ac:dyDescent="0.25">
      <c r="A85" s="74"/>
      <c r="B85" s="2">
        <v>45917</v>
      </c>
      <c r="C85" s="3">
        <v>3845671556</v>
      </c>
      <c r="D85" s="3">
        <v>1</v>
      </c>
      <c r="E85" s="4" t="s">
        <v>112</v>
      </c>
      <c r="F85" s="4" t="s">
        <v>29</v>
      </c>
      <c r="G85" s="5" t="s">
        <v>19</v>
      </c>
      <c r="H85" s="6">
        <v>1268</v>
      </c>
    </row>
    <row r="86" spans="1:8" ht="15.75" x14ac:dyDescent="0.25">
      <c r="A86" s="74"/>
      <c r="B86" s="2">
        <v>45918</v>
      </c>
      <c r="C86" s="3">
        <v>2908045371</v>
      </c>
      <c r="D86" s="3">
        <v>3</v>
      </c>
      <c r="E86" s="4" t="s">
        <v>991</v>
      </c>
      <c r="F86" s="4" t="s">
        <v>29</v>
      </c>
      <c r="G86" s="5" t="s">
        <v>19</v>
      </c>
      <c r="H86" s="6">
        <v>3600</v>
      </c>
    </row>
    <row r="87" spans="1:8" ht="15.75" x14ac:dyDescent="0.25">
      <c r="A87" s="74"/>
      <c r="B87" s="2">
        <v>45918</v>
      </c>
      <c r="C87" s="3">
        <v>3357821551</v>
      </c>
      <c r="D87" s="3">
        <v>3</v>
      </c>
      <c r="E87" s="4" t="s">
        <v>993</v>
      </c>
      <c r="F87" s="4" t="s">
        <v>994</v>
      </c>
      <c r="G87" s="5" t="s">
        <v>6</v>
      </c>
      <c r="H87" s="6">
        <v>3699.9990000000003</v>
      </c>
    </row>
    <row r="88" spans="1:8" ht="15.75" x14ac:dyDescent="0.25">
      <c r="A88" s="74"/>
      <c r="B88" s="2">
        <v>45918</v>
      </c>
      <c r="C88" s="3">
        <v>3357821551</v>
      </c>
      <c r="D88" s="3">
        <v>2</v>
      </c>
      <c r="E88" s="4" t="s">
        <v>993</v>
      </c>
      <c r="F88" s="4" t="s">
        <v>29</v>
      </c>
      <c r="G88" s="5" t="s">
        <v>7</v>
      </c>
      <c r="H88" s="6">
        <v>2466</v>
      </c>
    </row>
    <row r="89" spans="1:8" ht="15.75" x14ac:dyDescent="0.25">
      <c r="A89" s="74"/>
      <c r="B89" s="2">
        <v>45918</v>
      </c>
      <c r="C89" s="3">
        <v>3357821551</v>
      </c>
      <c r="D89" s="3">
        <v>1</v>
      </c>
      <c r="E89" s="4" t="s">
        <v>993</v>
      </c>
      <c r="F89" s="4" t="s">
        <v>29</v>
      </c>
      <c r="G89" s="5" t="s">
        <v>7</v>
      </c>
      <c r="H89" s="6">
        <v>1234</v>
      </c>
    </row>
    <row r="90" spans="1:8" ht="15.75" x14ac:dyDescent="0.25">
      <c r="A90" s="74"/>
      <c r="B90" s="2">
        <v>45923</v>
      </c>
      <c r="C90" s="3">
        <v>2298563414</v>
      </c>
      <c r="D90" s="3">
        <v>2</v>
      </c>
      <c r="E90" s="4" t="s">
        <v>995</v>
      </c>
      <c r="F90" s="4" t="s">
        <v>29</v>
      </c>
      <c r="G90" s="5" t="s">
        <v>6</v>
      </c>
      <c r="H90" s="6">
        <v>2532</v>
      </c>
    </row>
    <row r="91" spans="1:8" ht="15.75" x14ac:dyDescent="0.25">
      <c r="A91" s="74"/>
      <c r="B91" s="2">
        <v>45923</v>
      </c>
      <c r="C91" s="3">
        <v>2298563414</v>
      </c>
      <c r="D91" s="3">
        <v>1</v>
      </c>
      <c r="E91" s="4" t="s">
        <v>995</v>
      </c>
      <c r="F91" s="4" t="s">
        <v>29</v>
      </c>
      <c r="G91" s="5" t="s">
        <v>6</v>
      </c>
      <c r="H91" s="6">
        <v>1268</v>
      </c>
    </row>
    <row r="92" spans="1:8" ht="15.75" x14ac:dyDescent="0.25">
      <c r="A92" s="74"/>
      <c r="B92" s="2">
        <v>45929</v>
      </c>
      <c r="C92" s="3">
        <v>3715976598</v>
      </c>
      <c r="D92" s="3">
        <v>1</v>
      </c>
      <c r="E92" s="4" t="s">
        <v>105</v>
      </c>
      <c r="F92" s="4" t="s">
        <v>106</v>
      </c>
      <c r="G92" s="5" t="s">
        <v>13</v>
      </c>
      <c r="H92" s="6">
        <v>800</v>
      </c>
    </row>
    <row r="93" spans="1:8" ht="15.75" x14ac:dyDescent="0.25">
      <c r="A93" s="74"/>
      <c r="B93" s="47">
        <v>45932</v>
      </c>
      <c r="C93" s="48">
        <v>1431454785</v>
      </c>
      <c r="D93" s="3">
        <v>2</v>
      </c>
      <c r="E93" s="28" t="s">
        <v>797</v>
      </c>
      <c r="F93" s="28" t="s">
        <v>29</v>
      </c>
      <c r="G93" s="49" t="s">
        <v>13</v>
      </c>
      <c r="H93" s="6">
        <v>2800</v>
      </c>
    </row>
    <row r="94" spans="1:8" ht="15.75" x14ac:dyDescent="0.25">
      <c r="A94" s="74"/>
      <c r="B94" s="47">
        <v>45932</v>
      </c>
      <c r="C94" s="48">
        <v>1431454785</v>
      </c>
      <c r="D94" s="3">
        <v>1</v>
      </c>
      <c r="E94" s="28" t="s">
        <v>797</v>
      </c>
      <c r="F94" s="28" t="s">
        <v>29</v>
      </c>
      <c r="G94" s="49" t="s">
        <v>7</v>
      </c>
      <c r="H94" s="6">
        <v>1000</v>
      </c>
    </row>
    <row r="95" spans="1:8" ht="15.75" x14ac:dyDescent="0.25">
      <c r="A95" s="74"/>
      <c r="B95" s="47">
        <v>45932</v>
      </c>
      <c r="C95" s="48">
        <v>3727901272</v>
      </c>
      <c r="D95" s="3">
        <v>1</v>
      </c>
      <c r="E95" s="28" t="s">
        <v>860</v>
      </c>
      <c r="F95" s="28" t="s">
        <v>29</v>
      </c>
      <c r="G95" s="49" t="s">
        <v>19</v>
      </c>
      <c r="H95" s="6">
        <v>1200</v>
      </c>
    </row>
    <row r="96" spans="1:8" ht="15.75" x14ac:dyDescent="0.25">
      <c r="A96" s="74"/>
      <c r="B96" s="47">
        <v>45938</v>
      </c>
      <c r="C96" s="48">
        <v>2529512201</v>
      </c>
      <c r="D96" s="3">
        <v>1</v>
      </c>
      <c r="E96" s="28" t="s">
        <v>241</v>
      </c>
      <c r="F96" s="28" t="s">
        <v>29</v>
      </c>
      <c r="G96" s="49" t="s">
        <v>7</v>
      </c>
      <c r="H96" s="6">
        <v>1200</v>
      </c>
    </row>
    <row r="97" spans="1:8" ht="15.75" x14ac:dyDescent="0.25">
      <c r="A97" s="74"/>
      <c r="B97" s="47">
        <v>45938</v>
      </c>
      <c r="C97" s="48">
        <v>2529512201</v>
      </c>
      <c r="D97" s="3">
        <v>1</v>
      </c>
      <c r="E97" s="28" t="s">
        <v>241</v>
      </c>
      <c r="F97" s="28" t="s">
        <v>303</v>
      </c>
      <c r="G97" s="49" t="s">
        <v>7</v>
      </c>
      <c r="H97" s="6">
        <v>1200</v>
      </c>
    </row>
    <row r="98" spans="1:8" ht="15.75" x14ac:dyDescent="0.25">
      <c r="A98" s="74"/>
      <c r="B98" s="47">
        <v>45938</v>
      </c>
      <c r="C98" s="48">
        <v>2529512201</v>
      </c>
      <c r="D98" s="3">
        <v>1</v>
      </c>
      <c r="E98" s="28" t="s">
        <v>241</v>
      </c>
      <c r="F98" s="28" t="s">
        <v>304</v>
      </c>
      <c r="G98" s="49" t="s">
        <v>7</v>
      </c>
      <c r="H98" s="6">
        <v>1200</v>
      </c>
    </row>
    <row r="99" spans="1:8" ht="15.75" x14ac:dyDescent="0.25">
      <c r="A99" s="74"/>
      <c r="B99" s="47">
        <v>45938</v>
      </c>
      <c r="C99" s="48">
        <v>2529512201</v>
      </c>
      <c r="D99" s="3">
        <v>1</v>
      </c>
      <c r="E99" s="28" t="s">
        <v>241</v>
      </c>
      <c r="F99" s="28" t="s">
        <v>699</v>
      </c>
      <c r="G99" s="49" t="s">
        <v>7</v>
      </c>
      <c r="H99" s="6">
        <v>1200</v>
      </c>
    </row>
    <row r="100" spans="1:8" ht="15.75" x14ac:dyDescent="0.25">
      <c r="A100" s="74"/>
      <c r="B100" s="47">
        <v>45938</v>
      </c>
      <c r="C100" s="48">
        <v>2529512201</v>
      </c>
      <c r="D100" s="3">
        <v>1</v>
      </c>
      <c r="E100" s="28" t="s">
        <v>241</v>
      </c>
      <c r="F100" s="28" t="s">
        <v>567</v>
      </c>
      <c r="G100" s="49" t="s">
        <v>7</v>
      </c>
      <c r="H100" s="6">
        <v>1200</v>
      </c>
    </row>
    <row r="101" spans="1:8" ht="15.75" x14ac:dyDescent="0.25">
      <c r="A101" s="74"/>
      <c r="B101" s="47">
        <v>45939</v>
      </c>
      <c r="C101" s="48">
        <v>2570735132</v>
      </c>
      <c r="D101" s="3">
        <v>3</v>
      </c>
      <c r="E101" s="28" t="s">
        <v>235</v>
      </c>
      <c r="F101" s="28" t="s">
        <v>29</v>
      </c>
      <c r="G101" s="49" t="s">
        <v>7</v>
      </c>
      <c r="H101" s="6">
        <v>3600</v>
      </c>
    </row>
    <row r="102" spans="1:8" ht="15.75" x14ac:dyDescent="0.25">
      <c r="A102" s="74"/>
      <c r="B102" s="47">
        <v>45939</v>
      </c>
      <c r="C102" s="48">
        <v>4207821952</v>
      </c>
      <c r="D102" s="3">
        <v>3</v>
      </c>
      <c r="E102" s="28" t="s">
        <v>1059</v>
      </c>
      <c r="F102" s="28" t="s">
        <v>29</v>
      </c>
      <c r="G102" s="49" t="s">
        <v>7</v>
      </c>
      <c r="H102" s="6">
        <v>3799.9979999999996</v>
      </c>
    </row>
    <row r="103" spans="1:8" ht="30" x14ac:dyDescent="0.25">
      <c r="A103" s="74"/>
      <c r="B103" s="47">
        <v>45940</v>
      </c>
      <c r="C103" s="48">
        <v>2428846892</v>
      </c>
      <c r="D103" s="3">
        <v>2</v>
      </c>
      <c r="E103" s="28" t="s">
        <v>1060</v>
      </c>
      <c r="F103" s="28" t="s">
        <v>29</v>
      </c>
      <c r="G103" s="49" t="s">
        <v>19</v>
      </c>
      <c r="H103" s="6">
        <v>2400</v>
      </c>
    </row>
    <row r="104" spans="1:8" ht="15.75" x14ac:dyDescent="0.25">
      <c r="A104" s="74"/>
      <c r="B104" s="47">
        <v>45943</v>
      </c>
      <c r="C104" s="48">
        <v>3760930978</v>
      </c>
      <c r="D104" s="3">
        <v>1</v>
      </c>
      <c r="E104" s="28" t="s">
        <v>1061</v>
      </c>
      <c r="F104" s="28" t="s">
        <v>567</v>
      </c>
      <c r="G104" s="49" t="s">
        <v>6</v>
      </c>
      <c r="H104" s="6">
        <v>1200</v>
      </c>
    </row>
    <row r="105" spans="1:8" ht="15.75" x14ac:dyDescent="0.25">
      <c r="A105" s="74"/>
      <c r="B105" s="47">
        <v>45945</v>
      </c>
      <c r="C105" s="48">
        <v>3749855943</v>
      </c>
      <c r="D105" s="3">
        <v>3</v>
      </c>
      <c r="E105" s="28" t="s">
        <v>1033</v>
      </c>
      <c r="F105" s="28" t="s">
        <v>29</v>
      </c>
      <c r="G105" s="49" t="s">
        <v>11</v>
      </c>
      <c r="H105" s="6">
        <v>4999.9979999999996</v>
      </c>
    </row>
    <row r="106" spans="1:8" ht="15.75" x14ac:dyDescent="0.25">
      <c r="A106" s="74"/>
      <c r="B106" s="47">
        <v>45951</v>
      </c>
      <c r="C106" s="48">
        <v>2607564255</v>
      </c>
      <c r="D106" s="3">
        <v>1</v>
      </c>
      <c r="E106" s="28" t="s">
        <v>922</v>
      </c>
      <c r="F106" s="28" t="s">
        <v>29</v>
      </c>
      <c r="G106" s="49" t="s">
        <v>6</v>
      </c>
      <c r="H106" s="6">
        <v>850</v>
      </c>
    </row>
    <row r="107" spans="1:8" ht="15.75" x14ac:dyDescent="0.25">
      <c r="A107" s="74"/>
      <c r="B107" s="47">
        <v>45954</v>
      </c>
      <c r="C107" s="48">
        <v>3160951866</v>
      </c>
      <c r="D107" s="3">
        <v>3</v>
      </c>
      <c r="E107" s="28" t="s">
        <v>1062</v>
      </c>
      <c r="F107" s="28" t="s">
        <v>29</v>
      </c>
      <c r="G107" s="49" t="s">
        <v>7</v>
      </c>
      <c r="H107" s="6">
        <v>3600</v>
      </c>
    </row>
    <row r="108" spans="1:8" ht="15.75" x14ac:dyDescent="0.25">
      <c r="A108" s="74"/>
      <c r="B108" s="47">
        <v>45954</v>
      </c>
      <c r="C108" s="48">
        <v>1512785077</v>
      </c>
      <c r="D108" s="3">
        <v>6</v>
      </c>
      <c r="E108" s="28" t="s">
        <v>1063</v>
      </c>
      <c r="F108" s="28" t="s">
        <v>29</v>
      </c>
      <c r="G108" s="49" t="s">
        <v>19</v>
      </c>
      <c r="H108" s="6">
        <v>7200</v>
      </c>
    </row>
    <row r="109" spans="1:8" ht="15.75" x14ac:dyDescent="0.25">
      <c r="A109" s="74"/>
      <c r="B109" s="47">
        <v>45958</v>
      </c>
      <c r="C109" s="48">
        <v>2883145469</v>
      </c>
      <c r="D109" s="3">
        <v>3</v>
      </c>
      <c r="E109" s="28" t="s">
        <v>1064</v>
      </c>
      <c r="F109" s="28" t="s">
        <v>29</v>
      </c>
      <c r="G109" s="49" t="s">
        <v>7</v>
      </c>
      <c r="H109" s="6">
        <v>3600</v>
      </c>
    </row>
    <row r="110" spans="1:8" ht="15.75" x14ac:dyDescent="0.25">
      <c r="A110" s="74"/>
      <c r="B110" s="47">
        <v>45964</v>
      </c>
      <c r="C110" s="48">
        <v>1311719497</v>
      </c>
      <c r="D110" s="3">
        <v>1</v>
      </c>
      <c r="E110" s="28" t="s">
        <v>407</v>
      </c>
      <c r="F110" s="28" t="s">
        <v>106</v>
      </c>
      <c r="G110" s="49" t="s">
        <v>13</v>
      </c>
      <c r="H110" s="6">
        <v>800</v>
      </c>
    </row>
    <row r="111" spans="1:8" ht="15.75" x14ac:dyDescent="0.25">
      <c r="A111" s="74"/>
      <c r="B111" s="47">
        <v>45967</v>
      </c>
      <c r="C111" s="48">
        <v>1556038341</v>
      </c>
      <c r="D111" s="3">
        <v>1</v>
      </c>
      <c r="E111" s="28" t="s">
        <v>797</v>
      </c>
      <c r="F111" s="28" t="s">
        <v>303</v>
      </c>
      <c r="G111" s="49" t="s">
        <v>6</v>
      </c>
      <c r="H111" s="6">
        <v>1565</v>
      </c>
    </row>
    <row r="112" spans="1:8" ht="15.75" x14ac:dyDescent="0.25">
      <c r="A112" s="74"/>
      <c r="B112" s="47">
        <v>45973</v>
      </c>
      <c r="C112" s="48">
        <v>2705279388</v>
      </c>
      <c r="D112" s="3">
        <v>3</v>
      </c>
      <c r="E112" s="28" t="s">
        <v>1142</v>
      </c>
      <c r="F112" s="28" t="s">
        <v>29</v>
      </c>
      <c r="G112" s="49" t="s">
        <v>19</v>
      </c>
      <c r="H112" s="6">
        <v>4695</v>
      </c>
    </row>
    <row r="113" spans="1:8" ht="30" x14ac:dyDescent="0.25">
      <c r="A113" s="74"/>
      <c r="B113" s="47">
        <v>45975</v>
      </c>
      <c r="C113" s="48">
        <v>416104778</v>
      </c>
      <c r="D113" s="3">
        <v>3</v>
      </c>
      <c r="E113" s="28" t="s">
        <v>1143</v>
      </c>
      <c r="F113" s="28" t="s">
        <v>1144</v>
      </c>
      <c r="G113" s="49" t="s">
        <v>19</v>
      </c>
      <c r="H113" s="6">
        <v>3600</v>
      </c>
    </row>
    <row r="114" spans="1:8" ht="30" x14ac:dyDescent="0.25">
      <c r="A114" s="74"/>
      <c r="B114" s="47">
        <v>45975</v>
      </c>
      <c r="C114" s="48">
        <v>3861859736</v>
      </c>
      <c r="D114" s="3">
        <v>3</v>
      </c>
      <c r="E114" s="28" t="s">
        <v>433</v>
      </c>
      <c r="F114" s="28" t="s">
        <v>1145</v>
      </c>
      <c r="G114" s="49" t="s">
        <v>19</v>
      </c>
      <c r="H114" s="6">
        <v>4695</v>
      </c>
    </row>
    <row r="115" spans="1:8" ht="30" x14ac:dyDescent="0.25">
      <c r="A115" s="74"/>
      <c r="B115" s="47">
        <v>45975</v>
      </c>
      <c r="C115" s="48">
        <v>1173767825</v>
      </c>
      <c r="D115" s="3">
        <v>3</v>
      </c>
      <c r="E115" s="28" t="s">
        <v>1146</v>
      </c>
      <c r="F115" s="28" t="s">
        <v>1145</v>
      </c>
      <c r="G115" s="49" t="s">
        <v>19</v>
      </c>
      <c r="H115" s="6">
        <v>4695</v>
      </c>
    </row>
    <row r="116" spans="1:8" ht="15.75" x14ac:dyDescent="0.25">
      <c r="A116" s="74"/>
      <c r="B116" s="47">
        <v>45985</v>
      </c>
      <c r="C116" s="48">
        <v>3610591816</v>
      </c>
      <c r="D116" s="3">
        <v>3</v>
      </c>
      <c r="E116" s="28" t="s">
        <v>1147</v>
      </c>
      <c r="F116" s="28" t="s">
        <v>29</v>
      </c>
      <c r="G116" s="49" t="s">
        <v>7</v>
      </c>
      <c r="H116" s="6">
        <v>4695</v>
      </c>
    </row>
    <row r="117" spans="1:8" ht="15.75" x14ac:dyDescent="0.25">
      <c r="A117" s="74"/>
      <c r="B117" s="47">
        <v>45986</v>
      </c>
      <c r="C117" s="48">
        <v>2540980188</v>
      </c>
      <c r="D117" s="3">
        <v>3</v>
      </c>
      <c r="E117" s="28" t="s">
        <v>1061</v>
      </c>
      <c r="F117" s="28" t="s">
        <v>29</v>
      </c>
      <c r="G117" s="49" t="s">
        <v>7</v>
      </c>
      <c r="H117" s="6">
        <v>4695</v>
      </c>
    </row>
    <row r="118" spans="1:8" ht="15.75" x14ac:dyDescent="0.25">
      <c r="A118" s="74"/>
      <c r="B118" s="47">
        <v>45986</v>
      </c>
      <c r="C118" s="48">
        <v>2540980188</v>
      </c>
      <c r="D118" s="3">
        <v>3</v>
      </c>
      <c r="E118" s="28" t="s">
        <v>1061</v>
      </c>
      <c r="F118" s="28" t="s">
        <v>567</v>
      </c>
      <c r="G118" s="49" t="s">
        <v>7</v>
      </c>
      <c r="H118" s="6">
        <v>4695</v>
      </c>
    </row>
    <row r="119" spans="1:8" ht="15.75" x14ac:dyDescent="0.25">
      <c r="A119" s="74"/>
      <c r="B119" s="47">
        <v>45987</v>
      </c>
      <c r="C119" s="48">
        <v>3912385423</v>
      </c>
      <c r="D119" s="3">
        <v>1</v>
      </c>
      <c r="E119" s="28" t="s">
        <v>122</v>
      </c>
      <c r="F119" s="28" t="s">
        <v>567</v>
      </c>
      <c r="G119" s="49" t="s">
        <v>11</v>
      </c>
      <c r="H119" s="6">
        <v>1565</v>
      </c>
    </row>
    <row r="120" spans="1:8" ht="15.75" x14ac:dyDescent="0.25">
      <c r="A120" s="74"/>
      <c r="B120" s="47">
        <v>45987</v>
      </c>
      <c r="C120" s="48">
        <v>1958038841</v>
      </c>
      <c r="D120" s="3">
        <v>1</v>
      </c>
      <c r="E120" s="28" t="s">
        <v>1148</v>
      </c>
      <c r="F120" s="28" t="s">
        <v>1149</v>
      </c>
      <c r="G120" s="49" t="s">
        <v>6</v>
      </c>
      <c r="H120" s="6">
        <v>1565</v>
      </c>
    </row>
    <row r="121" spans="1:8" ht="15.75" x14ac:dyDescent="0.25">
      <c r="A121" s="74"/>
      <c r="B121" s="47">
        <v>45993</v>
      </c>
      <c r="C121" s="48">
        <v>740574739</v>
      </c>
      <c r="D121" s="3">
        <v>1</v>
      </c>
      <c r="E121" s="28" t="s">
        <v>241</v>
      </c>
      <c r="F121" s="28" t="s">
        <v>29</v>
      </c>
      <c r="G121" s="49" t="s">
        <v>7</v>
      </c>
      <c r="H121" s="6">
        <v>1565</v>
      </c>
    </row>
    <row r="122" spans="1:8" ht="15.75" x14ac:dyDescent="0.25">
      <c r="A122" s="74"/>
      <c r="B122" s="47">
        <v>45993</v>
      </c>
      <c r="C122" s="48">
        <v>740574739</v>
      </c>
      <c r="D122" s="3">
        <v>1</v>
      </c>
      <c r="E122" s="28" t="s">
        <v>241</v>
      </c>
      <c r="F122" s="28" t="s">
        <v>567</v>
      </c>
      <c r="G122" s="49" t="s">
        <v>7</v>
      </c>
      <c r="H122" s="6">
        <v>1565</v>
      </c>
    </row>
    <row r="123" spans="1:8" ht="15.75" x14ac:dyDescent="0.25">
      <c r="A123" s="74"/>
      <c r="B123" s="47">
        <v>45993</v>
      </c>
      <c r="C123" s="48">
        <v>740574739</v>
      </c>
      <c r="D123" s="3">
        <v>1</v>
      </c>
      <c r="E123" s="28" t="s">
        <v>241</v>
      </c>
      <c r="F123" s="28" t="s">
        <v>304</v>
      </c>
      <c r="G123" s="49" t="s">
        <v>7</v>
      </c>
      <c r="H123" s="6">
        <v>1565</v>
      </c>
    </row>
    <row r="124" spans="1:8" ht="15.75" x14ac:dyDescent="0.25">
      <c r="A124" s="74"/>
      <c r="B124" s="47">
        <v>45993</v>
      </c>
      <c r="C124" s="48">
        <v>740574739</v>
      </c>
      <c r="D124" s="3">
        <v>1</v>
      </c>
      <c r="E124" s="28" t="s">
        <v>241</v>
      </c>
      <c r="F124" s="28" t="s">
        <v>699</v>
      </c>
      <c r="G124" s="49" t="s">
        <v>7</v>
      </c>
      <c r="H124" s="6">
        <v>1565</v>
      </c>
    </row>
    <row r="125" spans="1:8" ht="15.75" x14ac:dyDescent="0.25">
      <c r="A125" s="75"/>
      <c r="B125" s="13"/>
      <c r="C125" s="14"/>
      <c r="D125" s="14"/>
      <c r="E125" s="14" t="s">
        <v>5</v>
      </c>
      <c r="F125" s="15"/>
      <c r="G125" s="16"/>
      <c r="H125" s="23">
        <f>SUM(H3:H124)</f>
        <v>289752.99300000002</v>
      </c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8"/>
  <dimension ref="A1:H48"/>
  <sheetViews>
    <sheetView workbookViewId="0">
      <pane ySplit="2" topLeftCell="A32" activePane="bottomLeft" state="frozen"/>
      <selection pane="bottomLeft" activeCell="A48" sqref="A48:XFD49"/>
    </sheetView>
  </sheetViews>
  <sheetFormatPr baseColWidth="10" defaultColWidth="9.140625" defaultRowHeight="15" x14ac:dyDescent="0.25"/>
  <cols>
    <col min="1" max="1" width="19.28515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98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6" t="s">
        <v>31</v>
      </c>
      <c r="B1" s="86" t="s">
        <v>0</v>
      </c>
      <c r="C1" s="93" t="s">
        <v>1</v>
      </c>
      <c r="D1" s="93" t="s">
        <v>2</v>
      </c>
      <c r="E1" s="93" t="s">
        <v>3</v>
      </c>
      <c r="F1" s="93" t="s">
        <v>8</v>
      </c>
      <c r="G1" s="90" t="s">
        <v>4</v>
      </c>
      <c r="H1" s="91" t="s">
        <v>5</v>
      </c>
    </row>
    <row r="2" spans="1:8" ht="15" customHeight="1" x14ac:dyDescent="0.25">
      <c r="A2" s="57"/>
      <c r="B2" s="87"/>
      <c r="C2" s="88"/>
      <c r="D2" s="88"/>
      <c r="E2" s="88"/>
      <c r="F2" s="88"/>
      <c r="G2" s="82"/>
      <c r="H2" s="84"/>
    </row>
    <row r="3" spans="1:8" ht="20.100000000000001" customHeight="1" x14ac:dyDescent="0.25">
      <c r="A3" s="57"/>
      <c r="B3" s="2">
        <v>45671</v>
      </c>
      <c r="C3" s="3">
        <v>507790994</v>
      </c>
      <c r="D3" s="3">
        <v>6</v>
      </c>
      <c r="E3" s="4" t="s">
        <v>100</v>
      </c>
      <c r="F3" s="19" t="s">
        <v>178</v>
      </c>
      <c r="G3" s="10" t="s">
        <v>7</v>
      </c>
      <c r="H3" s="11">
        <v>3000</v>
      </c>
    </row>
    <row r="4" spans="1:8" ht="20.100000000000001" customHeight="1" x14ac:dyDescent="0.25">
      <c r="A4" s="57"/>
      <c r="B4" s="2">
        <v>45677</v>
      </c>
      <c r="C4" s="3">
        <v>3576581540</v>
      </c>
      <c r="D4" s="3">
        <v>6</v>
      </c>
      <c r="E4" s="4" t="s">
        <v>130</v>
      </c>
      <c r="F4" s="19" t="s">
        <v>178</v>
      </c>
      <c r="G4" s="10" t="s">
        <v>7</v>
      </c>
      <c r="H4" s="11">
        <v>3204</v>
      </c>
    </row>
    <row r="5" spans="1:8" ht="20.100000000000001" customHeight="1" x14ac:dyDescent="0.25">
      <c r="A5" s="57"/>
      <c r="B5" s="2">
        <v>45693</v>
      </c>
      <c r="C5" s="3">
        <v>964837510</v>
      </c>
      <c r="D5" s="3">
        <v>5</v>
      </c>
      <c r="E5" s="4" t="s">
        <v>254</v>
      </c>
      <c r="F5" s="19" t="s">
        <v>306</v>
      </c>
      <c r="G5" s="10" t="s">
        <v>7</v>
      </c>
      <c r="H5" s="11">
        <v>2915</v>
      </c>
    </row>
    <row r="6" spans="1:8" ht="20.100000000000001" customHeight="1" x14ac:dyDescent="0.25">
      <c r="A6" s="57"/>
      <c r="B6" s="2">
        <v>45693</v>
      </c>
      <c r="C6" s="3">
        <v>964837510</v>
      </c>
      <c r="D6" s="3">
        <v>1</v>
      </c>
      <c r="E6" s="4" t="s">
        <v>254</v>
      </c>
      <c r="F6" s="19" t="s">
        <v>306</v>
      </c>
      <c r="G6" s="10" t="s">
        <v>7</v>
      </c>
      <c r="H6" s="11">
        <v>585</v>
      </c>
    </row>
    <row r="7" spans="1:8" ht="20.100000000000001" customHeight="1" x14ac:dyDescent="0.25">
      <c r="A7" s="57"/>
      <c r="B7" s="2">
        <v>45694</v>
      </c>
      <c r="C7" s="3">
        <v>1757168799</v>
      </c>
      <c r="D7" s="3">
        <v>6</v>
      </c>
      <c r="E7" s="4" t="s">
        <v>298</v>
      </c>
      <c r="F7" s="19" t="s">
        <v>307</v>
      </c>
      <c r="G7" s="10" t="s">
        <v>7</v>
      </c>
      <c r="H7" s="11">
        <v>2670</v>
      </c>
    </row>
    <row r="8" spans="1:8" ht="20.100000000000001" customHeight="1" x14ac:dyDescent="0.25">
      <c r="A8" s="57"/>
      <c r="B8" s="2">
        <v>45705</v>
      </c>
      <c r="C8" s="3">
        <v>2406892366</v>
      </c>
      <c r="D8" s="3">
        <v>5</v>
      </c>
      <c r="E8" s="4" t="s">
        <v>308</v>
      </c>
      <c r="F8" s="19" t="s">
        <v>307</v>
      </c>
      <c r="G8" s="10" t="s">
        <v>6</v>
      </c>
      <c r="H8" s="11">
        <v>2915</v>
      </c>
    </row>
    <row r="9" spans="1:8" ht="15.75" x14ac:dyDescent="0.25">
      <c r="A9" s="57"/>
      <c r="B9" s="2">
        <v>45705</v>
      </c>
      <c r="C9" s="3">
        <v>2406892366</v>
      </c>
      <c r="D9" s="3">
        <v>1</v>
      </c>
      <c r="E9" s="4" t="s">
        <v>308</v>
      </c>
      <c r="F9" s="19" t="s">
        <v>307</v>
      </c>
      <c r="G9" s="10" t="s">
        <v>6</v>
      </c>
      <c r="H9" s="11">
        <v>585</v>
      </c>
    </row>
    <row r="10" spans="1:8" ht="20.100000000000001" customHeight="1" x14ac:dyDescent="0.25">
      <c r="A10" s="57"/>
      <c r="B10" s="2">
        <v>45716</v>
      </c>
      <c r="C10" s="3">
        <v>3580642323</v>
      </c>
      <c r="D10" s="3">
        <v>6</v>
      </c>
      <c r="E10" s="4" t="s">
        <v>269</v>
      </c>
      <c r="F10" s="19" t="s">
        <v>309</v>
      </c>
      <c r="G10" s="10" t="s">
        <v>7</v>
      </c>
      <c r="H10" s="11">
        <v>5358</v>
      </c>
    </row>
    <row r="11" spans="1:8" ht="20.100000000000001" customHeight="1" x14ac:dyDescent="0.25">
      <c r="A11" s="57"/>
      <c r="B11" s="2">
        <v>45719</v>
      </c>
      <c r="C11" s="3">
        <v>2057388271</v>
      </c>
      <c r="D11" s="3">
        <v>2</v>
      </c>
      <c r="E11" s="4" t="s">
        <v>402</v>
      </c>
      <c r="F11" s="19" t="s">
        <v>307</v>
      </c>
      <c r="G11" s="10" t="s">
        <v>19</v>
      </c>
      <c r="H11" s="11">
        <v>700</v>
      </c>
    </row>
    <row r="12" spans="1:8" ht="20.100000000000001" customHeight="1" x14ac:dyDescent="0.25">
      <c r="A12" s="57"/>
      <c r="B12" s="2">
        <v>45721</v>
      </c>
      <c r="C12" s="3">
        <v>3065268884</v>
      </c>
      <c r="D12" s="3">
        <v>6</v>
      </c>
      <c r="E12" s="4" t="s">
        <v>330</v>
      </c>
      <c r="F12" s="19" t="s">
        <v>307</v>
      </c>
      <c r="G12" s="10" t="s">
        <v>19</v>
      </c>
      <c r="H12" s="11">
        <v>3000</v>
      </c>
    </row>
    <row r="13" spans="1:8" ht="20.100000000000001" customHeight="1" x14ac:dyDescent="0.25">
      <c r="A13" s="57"/>
      <c r="B13" s="2">
        <v>45727</v>
      </c>
      <c r="C13" s="3">
        <v>3540928000</v>
      </c>
      <c r="D13" s="3">
        <v>3</v>
      </c>
      <c r="E13" s="4" t="s">
        <v>408</v>
      </c>
      <c r="F13" s="19" t="s">
        <v>409</v>
      </c>
      <c r="G13" s="10" t="s">
        <v>19</v>
      </c>
      <c r="H13" s="11">
        <v>1500</v>
      </c>
    </row>
    <row r="14" spans="1:8" ht="20.100000000000001" customHeight="1" x14ac:dyDescent="0.25">
      <c r="A14" s="57"/>
      <c r="B14" s="2">
        <v>45750</v>
      </c>
      <c r="C14" s="3">
        <v>1125401592</v>
      </c>
      <c r="D14" s="3">
        <v>6</v>
      </c>
      <c r="E14" s="4" t="s">
        <v>536</v>
      </c>
      <c r="F14" s="19" t="s">
        <v>569</v>
      </c>
      <c r="G14" s="10" t="s">
        <v>19</v>
      </c>
      <c r="H14" s="11">
        <v>3000</v>
      </c>
    </row>
    <row r="15" spans="1:8" ht="20.100000000000001" customHeight="1" x14ac:dyDescent="0.25">
      <c r="A15" s="57"/>
      <c r="B15" s="2">
        <v>45783</v>
      </c>
      <c r="C15" s="3">
        <v>3567143551</v>
      </c>
      <c r="D15" s="3">
        <v>6</v>
      </c>
      <c r="E15" s="4" t="s">
        <v>693</v>
      </c>
      <c r="F15" s="19" t="s">
        <v>307</v>
      </c>
      <c r="G15" s="10" t="s">
        <v>7</v>
      </c>
      <c r="H15" s="11">
        <v>2670</v>
      </c>
    </row>
    <row r="16" spans="1:8" ht="20.100000000000001" customHeight="1" x14ac:dyDescent="0.25">
      <c r="A16" s="57"/>
      <c r="B16" s="2">
        <v>45785</v>
      </c>
      <c r="C16" s="3">
        <v>68504657</v>
      </c>
      <c r="D16" s="3">
        <v>6</v>
      </c>
      <c r="E16" s="4" t="s">
        <v>701</v>
      </c>
      <c r="F16" s="19" t="s">
        <v>307</v>
      </c>
      <c r="G16" s="10" t="s">
        <v>6</v>
      </c>
      <c r="H16" s="11">
        <v>3000</v>
      </c>
    </row>
    <row r="17" spans="1:8" ht="20.100000000000001" customHeight="1" x14ac:dyDescent="0.25">
      <c r="A17" s="57"/>
      <c r="B17" s="2">
        <v>45792</v>
      </c>
      <c r="C17" s="3">
        <v>2435268973</v>
      </c>
      <c r="D17" s="3">
        <v>6</v>
      </c>
      <c r="E17" s="4" t="s">
        <v>668</v>
      </c>
      <c r="F17" s="19" t="s">
        <v>307</v>
      </c>
      <c r="G17" s="10" t="s">
        <v>7</v>
      </c>
      <c r="H17" s="11">
        <v>2670</v>
      </c>
    </row>
    <row r="18" spans="1:8" ht="15.75" x14ac:dyDescent="0.25">
      <c r="A18" s="57"/>
      <c r="B18" s="2">
        <v>45793</v>
      </c>
      <c r="C18" s="3">
        <v>589515157</v>
      </c>
      <c r="D18" s="3">
        <v>6</v>
      </c>
      <c r="E18" s="4" t="s">
        <v>698</v>
      </c>
      <c r="F18" s="19" t="s">
        <v>307</v>
      </c>
      <c r="G18" s="10" t="s">
        <v>7</v>
      </c>
      <c r="H18" s="11">
        <v>2670</v>
      </c>
    </row>
    <row r="19" spans="1:8" ht="15.75" x14ac:dyDescent="0.25">
      <c r="A19" s="57"/>
      <c r="B19" s="2">
        <v>45797</v>
      </c>
      <c r="C19" s="3">
        <v>1182352491</v>
      </c>
      <c r="D19" s="3">
        <v>5</v>
      </c>
      <c r="E19" s="4" t="s">
        <v>702</v>
      </c>
      <c r="F19" s="19" t="s">
        <v>703</v>
      </c>
      <c r="G19" s="10" t="s">
        <v>10</v>
      </c>
      <c r="H19" s="11">
        <v>4365</v>
      </c>
    </row>
    <row r="20" spans="1:8" ht="20.100000000000001" customHeight="1" x14ac:dyDescent="0.25">
      <c r="A20" s="57"/>
      <c r="B20" s="2">
        <v>45797</v>
      </c>
      <c r="C20" s="3">
        <v>1182352491</v>
      </c>
      <c r="D20" s="3">
        <v>1</v>
      </c>
      <c r="E20" s="4" t="s">
        <v>702</v>
      </c>
      <c r="F20" s="19" t="s">
        <v>703</v>
      </c>
      <c r="G20" s="10" t="s">
        <v>10</v>
      </c>
      <c r="H20" s="11">
        <v>875</v>
      </c>
    </row>
    <row r="21" spans="1:8" ht="20.100000000000001" customHeight="1" x14ac:dyDescent="0.25">
      <c r="A21" s="57"/>
      <c r="B21" s="2">
        <v>45832</v>
      </c>
      <c r="C21" s="3">
        <v>1953186340</v>
      </c>
      <c r="D21" s="3">
        <v>8</v>
      </c>
      <c r="E21" s="4" t="s">
        <v>679</v>
      </c>
      <c r="F21" s="19" t="s">
        <v>704</v>
      </c>
      <c r="G21" s="10" t="s">
        <v>7</v>
      </c>
      <c r="H21" s="11">
        <v>3560</v>
      </c>
    </row>
    <row r="22" spans="1:8" ht="20.100000000000001" customHeight="1" x14ac:dyDescent="0.25">
      <c r="A22" s="57"/>
      <c r="B22" s="2">
        <v>45840</v>
      </c>
      <c r="C22" s="3">
        <v>2800567417</v>
      </c>
      <c r="D22" s="3">
        <v>6</v>
      </c>
      <c r="E22" s="4" t="s">
        <v>804</v>
      </c>
      <c r="F22" s="19" t="s">
        <v>805</v>
      </c>
      <c r="G22" s="10" t="s">
        <v>7</v>
      </c>
      <c r="H22" s="11">
        <v>5700</v>
      </c>
    </row>
    <row r="23" spans="1:8" ht="30" x14ac:dyDescent="0.25">
      <c r="A23" s="57"/>
      <c r="B23" s="2">
        <v>45840</v>
      </c>
      <c r="C23" s="3">
        <v>2800567417</v>
      </c>
      <c r="D23" s="3">
        <v>2</v>
      </c>
      <c r="E23" s="4" t="s">
        <v>804</v>
      </c>
      <c r="F23" s="19" t="s">
        <v>806</v>
      </c>
      <c r="G23" s="10" t="s">
        <v>11</v>
      </c>
      <c r="H23" s="11">
        <v>1800</v>
      </c>
    </row>
    <row r="24" spans="1:8" ht="20.100000000000001" customHeight="1" x14ac:dyDescent="0.25">
      <c r="A24" s="57"/>
      <c r="B24" s="2">
        <v>45849</v>
      </c>
      <c r="C24" s="3">
        <v>2605271739</v>
      </c>
      <c r="D24" s="3">
        <v>6</v>
      </c>
      <c r="E24" s="4" t="s">
        <v>679</v>
      </c>
      <c r="F24" s="19" t="s">
        <v>807</v>
      </c>
      <c r="G24" s="10" t="s">
        <v>7</v>
      </c>
      <c r="H24" s="11">
        <v>3000</v>
      </c>
    </row>
    <row r="25" spans="1:8" ht="20.100000000000001" customHeight="1" x14ac:dyDescent="0.25">
      <c r="A25" s="57"/>
      <c r="B25" s="2">
        <v>45853</v>
      </c>
      <c r="C25" s="3">
        <v>3386917913</v>
      </c>
      <c r="D25" s="3">
        <v>3</v>
      </c>
      <c r="E25" s="4" t="s">
        <v>754</v>
      </c>
      <c r="F25" s="19" t="s">
        <v>808</v>
      </c>
      <c r="G25" s="10" t="s">
        <v>7</v>
      </c>
      <c r="H25" s="11">
        <v>900</v>
      </c>
    </row>
    <row r="26" spans="1:8" ht="15.75" x14ac:dyDescent="0.25">
      <c r="A26" s="57"/>
      <c r="B26" s="2">
        <v>45860</v>
      </c>
      <c r="C26" s="3">
        <v>768887352</v>
      </c>
      <c r="D26" s="3">
        <v>5</v>
      </c>
      <c r="E26" s="4" t="s">
        <v>809</v>
      </c>
      <c r="F26" s="19" t="s">
        <v>307</v>
      </c>
      <c r="G26" s="10" t="s">
        <v>6</v>
      </c>
      <c r="H26" s="11">
        <v>2665</v>
      </c>
    </row>
    <row r="27" spans="1:8" ht="15.75" x14ac:dyDescent="0.25">
      <c r="A27" s="57"/>
      <c r="B27" s="2">
        <v>45860</v>
      </c>
      <c r="C27" s="3">
        <v>768887352</v>
      </c>
      <c r="D27" s="3">
        <v>1</v>
      </c>
      <c r="E27" s="4" t="s">
        <v>809</v>
      </c>
      <c r="F27" s="19" t="s">
        <v>307</v>
      </c>
      <c r="G27" s="10" t="s">
        <v>6</v>
      </c>
      <c r="H27" s="11">
        <v>535</v>
      </c>
    </row>
    <row r="28" spans="1:8" ht="20.100000000000001" customHeight="1" x14ac:dyDescent="0.25">
      <c r="A28" s="57"/>
      <c r="B28" s="2">
        <v>45875</v>
      </c>
      <c r="C28" s="3">
        <v>2324776126</v>
      </c>
      <c r="D28" s="3">
        <v>2</v>
      </c>
      <c r="E28" s="4" t="s">
        <v>911</v>
      </c>
      <c r="F28" s="4" t="s">
        <v>307</v>
      </c>
      <c r="G28" s="5" t="s">
        <v>19</v>
      </c>
      <c r="H28" s="6">
        <v>960</v>
      </c>
    </row>
    <row r="29" spans="1:8" ht="20.100000000000001" customHeight="1" x14ac:dyDescent="0.25">
      <c r="A29" s="57"/>
      <c r="B29" s="2">
        <v>45898</v>
      </c>
      <c r="C29" s="3">
        <v>3408282075</v>
      </c>
      <c r="D29" s="3">
        <v>6</v>
      </c>
      <c r="E29" s="4" t="s">
        <v>686</v>
      </c>
      <c r="F29" s="4" t="s">
        <v>807</v>
      </c>
      <c r="G29" s="5" t="s">
        <v>19</v>
      </c>
      <c r="H29" s="6">
        <v>6300</v>
      </c>
    </row>
    <row r="30" spans="1:8" ht="20.100000000000001" customHeight="1" x14ac:dyDescent="0.25">
      <c r="A30" s="57"/>
      <c r="B30" s="2">
        <v>45902</v>
      </c>
      <c r="C30" s="3">
        <v>2152352608</v>
      </c>
      <c r="D30" s="3">
        <v>8</v>
      </c>
      <c r="E30" s="4" t="s">
        <v>996</v>
      </c>
      <c r="F30" s="4" t="s">
        <v>807</v>
      </c>
      <c r="G30" s="5" t="s">
        <v>7</v>
      </c>
      <c r="H30" s="6">
        <v>5895</v>
      </c>
    </row>
    <row r="31" spans="1:8" ht="20.100000000000001" customHeight="1" x14ac:dyDescent="0.25">
      <c r="A31" s="57"/>
      <c r="B31" s="2">
        <v>45912</v>
      </c>
      <c r="C31" s="3">
        <v>2037335700</v>
      </c>
      <c r="D31" s="3">
        <v>6</v>
      </c>
      <c r="E31" s="4" t="s">
        <v>953</v>
      </c>
      <c r="F31" s="4" t="s">
        <v>307</v>
      </c>
      <c r="G31" s="5" t="s">
        <v>7</v>
      </c>
      <c r="H31" s="6">
        <v>2670</v>
      </c>
    </row>
    <row r="32" spans="1:8" ht="20.100000000000001" customHeight="1" x14ac:dyDescent="0.25">
      <c r="A32" s="57"/>
      <c r="B32" s="2">
        <v>45917</v>
      </c>
      <c r="C32" s="3">
        <v>707020684</v>
      </c>
      <c r="D32" s="3">
        <v>3</v>
      </c>
      <c r="E32" s="4" t="s">
        <v>500</v>
      </c>
      <c r="F32" s="4" t="s">
        <v>808</v>
      </c>
      <c r="G32" s="5" t="s">
        <v>7</v>
      </c>
      <c r="H32" s="6">
        <v>810</v>
      </c>
    </row>
    <row r="33" spans="1:8" ht="20.100000000000001" customHeight="1" x14ac:dyDescent="0.25">
      <c r="A33" s="57"/>
      <c r="B33" s="47">
        <v>45932</v>
      </c>
      <c r="C33" s="48">
        <v>3727901272</v>
      </c>
      <c r="D33" s="3">
        <v>1</v>
      </c>
      <c r="E33" s="28" t="s">
        <v>860</v>
      </c>
      <c r="F33" s="28" t="s">
        <v>307</v>
      </c>
      <c r="G33" s="49" t="s">
        <v>19</v>
      </c>
      <c r="H33" s="6">
        <v>400</v>
      </c>
    </row>
    <row r="34" spans="1:8" ht="20.100000000000001" customHeight="1" x14ac:dyDescent="0.25">
      <c r="A34" s="57"/>
      <c r="B34" s="47">
        <v>45939</v>
      </c>
      <c r="C34" s="48">
        <v>2570735132</v>
      </c>
      <c r="D34" s="3">
        <v>6</v>
      </c>
      <c r="E34" s="28" t="s">
        <v>235</v>
      </c>
      <c r="F34" s="28" t="s">
        <v>307</v>
      </c>
      <c r="G34" s="49" t="s">
        <v>7</v>
      </c>
      <c r="H34" s="6">
        <v>2670</v>
      </c>
    </row>
    <row r="35" spans="1:8" ht="20.100000000000001" customHeight="1" x14ac:dyDescent="0.25">
      <c r="A35" s="57"/>
      <c r="B35" s="47">
        <v>45944</v>
      </c>
      <c r="C35" s="48">
        <v>3583067783</v>
      </c>
      <c r="D35" s="3">
        <v>6</v>
      </c>
      <c r="E35" s="28" t="s">
        <v>246</v>
      </c>
      <c r="F35" s="28" t="s">
        <v>1065</v>
      </c>
      <c r="G35" s="49" t="s">
        <v>19</v>
      </c>
      <c r="H35" s="6">
        <v>7119.9959999999992</v>
      </c>
    </row>
    <row r="36" spans="1:8" ht="20.100000000000001" customHeight="1" x14ac:dyDescent="0.25">
      <c r="A36" s="57"/>
      <c r="B36" s="47">
        <v>45961</v>
      </c>
      <c r="C36" s="48">
        <v>2852275046</v>
      </c>
      <c r="D36" s="3">
        <v>6</v>
      </c>
      <c r="E36" s="28" t="s">
        <v>99</v>
      </c>
      <c r="F36" s="28" t="s">
        <v>569</v>
      </c>
      <c r="G36" s="49" t="s">
        <v>19</v>
      </c>
      <c r="H36" s="6">
        <v>3000</v>
      </c>
    </row>
    <row r="37" spans="1:8" ht="15.75" x14ac:dyDescent="0.25">
      <c r="A37" s="57"/>
      <c r="B37" s="47">
        <v>45966</v>
      </c>
      <c r="C37" s="48">
        <v>2855552957</v>
      </c>
      <c r="D37" s="3">
        <v>6</v>
      </c>
      <c r="E37" s="28" t="s">
        <v>1114</v>
      </c>
      <c r="F37" s="28" t="s">
        <v>1150</v>
      </c>
      <c r="G37" s="49" t="s">
        <v>7</v>
      </c>
      <c r="H37" s="6">
        <v>3000</v>
      </c>
    </row>
    <row r="38" spans="1:8" ht="20.100000000000001" customHeight="1" x14ac:dyDescent="0.25">
      <c r="A38" s="57"/>
      <c r="B38" s="47">
        <v>45966</v>
      </c>
      <c r="C38" s="48">
        <v>2855552957</v>
      </c>
      <c r="D38" s="3">
        <v>6</v>
      </c>
      <c r="E38" s="28" t="s">
        <v>1114</v>
      </c>
      <c r="F38" s="28" t="s">
        <v>807</v>
      </c>
      <c r="G38" s="49" t="s">
        <v>7</v>
      </c>
      <c r="H38" s="6">
        <v>3000</v>
      </c>
    </row>
    <row r="39" spans="1:8" ht="20.100000000000001" customHeight="1" x14ac:dyDescent="0.25">
      <c r="A39" s="57"/>
      <c r="B39" s="47">
        <v>45967</v>
      </c>
      <c r="C39" s="48">
        <v>262562731</v>
      </c>
      <c r="D39" s="3">
        <v>5</v>
      </c>
      <c r="E39" s="28" t="s">
        <v>1151</v>
      </c>
      <c r="F39" s="28" t="s">
        <v>807</v>
      </c>
      <c r="G39" s="49" t="s">
        <v>7</v>
      </c>
      <c r="H39" s="6">
        <v>3330</v>
      </c>
    </row>
    <row r="40" spans="1:8" ht="20.100000000000001" customHeight="1" x14ac:dyDescent="0.25">
      <c r="A40" s="57"/>
      <c r="B40" s="47">
        <v>45967</v>
      </c>
      <c r="C40" s="48">
        <v>262562731</v>
      </c>
      <c r="D40" s="3">
        <v>1</v>
      </c>
      <c r="E40" s="28" t="s">
        <v>1151</v>
      </c>
      <c r="F40" s="28" t="s">
        <v>807</v>
      </c>
      <c r="G40" s="49" t="s">
        <v>7</v>
      </c>
      <c r="H40" s="6">
        <v>670</v>
      </c>
    </row>
    <row r="41" spans="1:8" ht="20.100000000000001" customHeight="1" x14ac:dyDescent="0.25">
      <c r="A41" s="57"/>
      <c r="B41" s="47">
        <v>45971</v>
      </c>
      <c r="C41" s="48">
        <v>401229999</v>
      </c>
      <c r="D41" s="3">
        <v>6</v>
      </c>
      <c r="E41" s="28" t="s">
        <v>812</v>
      </c>
      <c r="F41" s="28" t="s">
        <v>1150</v>
      </c>
      <c r="G41" s="49" t="s">
        <v>7</v>
      </c>
      <c r="H41" s="6">
        <v>3000</v>
      </c>
    </row>
    <row r="42" spans="1:8" ht="20.100000000000001" customHeight="1" x14ac:dyDescent="0.25">
      <c r="A42" s="57"/>
      <c r="B42" s="47">
        <v>45982</v>
      </c>
      <c r="C42" s="48">
        <v>2760134018</v>
      </c>
      <c r="D42" s="3">
        <v>6</v>
      </c>
      <c r="E42" s="28" t="s">
        <v>1119</v>
      </c>
      <c r="F42" s="28" t="s">
        <v>807</v>
      </c>
      <c r="G42" s="49" t="s">
        <v>6</v>
      </c>
      <c r="H42" s="6">
        <v>3000</v>
      </c>
    </row>
    <row r="43" spans="1:8" ht="20.100000000000001" customHeight="1" x14ac:dyDescent="0.25">
      <c r="A43" s="57"/>
      <c r="B43" s="47">
        <v>45989</v>
      </c>
      <c r="C43" s="48">
        <v>4084286386</v>
      </c>
      <c r="D43" s="3">
        <v>6</v>
      </c>
      <c r="E43" s="28" t="s">
        <v>129</v>
      </c>
      <c r="F43" s="28" t="s">
        <v>307</v>
      </c>
      <c r="G43" s="49" t="s">
        <v>6</v>
      </c>
      <c r="H43" s="6">
        <v>3000</v>
      </c>
    </row>
    <row r="44" spans="1:8" ht="20.100000000000001" customHeight="1" x14ac:dyDescent="0.25">
      <c r="A44" s="57"/>
      <c r="B44" s="47">
        <v>45989</v>
      </c>
      <c r="C44" s="48">
        <v>4084286386</v>
      </c>
      <c r="D44" s="3">
        <v>6</v>
      </c>
      <c r="E44" s="28" t="s">
        <v>169</v>
      </c>
      <c r="F44" s="28" t="s">
        <v>307</v>
      </c>
      <c r="G44" s="49" t="s">
        <v>6</v>
      </c>
      <c r="H44" s="6">
        <v>3000</v>
      </c>
    </row>
    <row r="45" spans="1:8" ht="20.100000000000001" customHeight="1" x14ac:dyDescent="0.25">
      <c r="A45" s="57"/>
      <c r="B45" s="47">
        <v>45989</v>
      </c>
      <c r="C45" s="48">
        <v>1100563259</v>
      </c>
      <c r="D45" s="3">
        <v>6</v>
      </c>
      <c r="E45" s="28" t="s">
        <v>1135</v>
      </c>
      <c r="F45" s="28" t="s">
        <v>307</v>
      </c>
      <c r="G45" s="49" t="s">
        <v>6</v>
      </c>
      <c r="H45" s="6">
        <v>3900</v>
      </c>
    </row>
    <row r="46" spans="1:8" ht="20.100000000000001" customHeight="1" x14ac:dyDescent="0.25">
      <c r="A46" s="57"/>
      <c r="B46" s="47">
        <v>46000</v>
      </c>
      <c r="C46" s="48">
        <v>4018225937</v>
      </c>
      <c r="D46" s="3">
        <v>6</v>
      </c>
      <c r="E46" s="28" t="s">
        <v>1261</v>
      </c>
      <c r="F46" s="28" t="s">
        <v>307</v>
      </c>
      <c r="G46" s="49" t="s">
        <v>7</v>
      </c>
      <c r="H46" s="6">
        <v>3000</v>
      </c>
    </row>
    <row r="47" spans="1:8" ht="20.100000000000001" customHeight="1" x14ac:dyDescent="0.25">
      <c r="A47" s="57"/>
      <c r="B47" s="47">
        <v>46010</v>
      </c>
      <c r="C47" s="48">
        <v>2560379794</v>
      </c>
      <c r="D47" s="3">
        <v>6</v>
      </c>
      <c r="E47" s="28" t="s">
        <v>1247</v>
      </c>
      <c r="F47" s="28" t="s">
        <v>307</v>
      </c>
      <c r="G47" s="49" t="s">
        <v>6</v>
      </c>
      <c r="H47" s="6">
        <v>3471</v>
      </c>
    </row>
    <row r="48" spans="1:8" ht="15.75" x14ac:dyDescent="0.25">
      <c r="A48" s="58"/>
      <c r="B48" s="13"/>
      <c r="C48" s="14"/>
      <c r="D48" s="14"/>
      <c r="E48" s="14" t="s">
        <v>5</v>
      </c>
      <c r="F48" s="15"/>
      <c r="G48" s="16"/>
      <c r="H48" s="23">
        <f>SUM(H3:H47)</f>
        <v>126037.996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9"/>
  <dimension ref="A1:H23"/>
  <sheetViews>
    <sheetView workbookViewId="0">
      <pane ySplit="2" topLeftCell="A8" activePane="bottomLeft" state="frozen"/>
      <selection pane="bottomLeft" activeCell="E28" sqref="E28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8.855468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94" t="s">
        <v>32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95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57"/>
      <c r="B3" s="2">
        <v>45677</v>
      </c>
      <c r="C3" s="3">
        <v>1116554040</v>
      </c>
      <c r="D3" s="3">
        <v>5</v>
      </c>
      <c r="E3" s="4" t="s">
        <v>136</v>
      </c>
      <c r="F3" s="19" t="s">
        <v>32</v>
      </c>
      <c r="G3" s="10" t="s">
        <v>7</v>
      </c>
      <c r="H3" s="11">
        <v>900</v>
      </c>
    </row>
    <row r="4" spans="1:8" ht="20.100000000000001" customHeight="1" x14ac:dyDescent="0.25">
      <c r="A4" s="57"/>
      <c r="B4" s="2">
        <v>45701</v>
      </c>
      <c r="C4" s="3">
        <v>2066762206</v>
      </c>
      <c r="D4" s="3">
        <v>2</v>
      </c>
      <c r="E4" s="4" t="s">
        <v>136</v>
      </c>
      <c r="F4" s="19" t="s">
        <v>32</v>
      </c>
      <c r="G4" s="10" t="s">
        <v>19</v>
      </c>
      <c r="H4" s="11">
        <v>360</v>
      </c>
    </row>
    <row r="5" spans="1:8" ht="20.100000000000001" customHeight="1" x14ac:dyDescent="0.25">
      <c r="A5" s="57"/>
      <c r="B5" s="2">
        <v>45712</v>
      </c>
      <c r="C5" s="3">
        <v>855392754</v>
      </c>
      <c r="D5" s="3">
        <v>1</v>
      </c>
      <c r="E5" s="4" t="s">
        <v>310</v>
      </c>
      <c r="F5" s="19" t="s">
        <v>32</v>
      </c>
      <c r="G5" s="10" t="s">
        <v>11</v>
      </c>
      <c r="H5" s="11">
        <v>200</v>
      </c>
    </row>
    <row r="6" spans="1:8" ht="20.100000000000001" customHeight="1" x14ac:dyDescent="0.25">
      <c r="A6" s="57"/>
      <c r="B6" s="2">
        <v>45713</v>
      </c>
      <c r="C6" s="3">
        <v>3055635653</v>
      </c>
      <c r="D6" s="3">
        <v>1</v>
      </c>
      <c r="E6" s="4" t="s">
        <v>310</v>
      </c>
      <c r="F6" s="19" t="s">
        <v>32</v>
      </c>
      <c r="G6" s="10" t="s">
        <v>11</v>
      </c>
      <c r="H6" s="11">
        <v>200</v>
      </c>
    </row>
    <row r="7" spans="1:8" ht="20.100000000000001" customHeight="1" x14ac:dyDescent="0.25">
      <c r="A7" s="57"/>
      <c r="B7" s="2">
        <v>45714</v>
      </c>
      <c r="C7" s="3">
        <v>3716304336</v>
      </c>
      <c r="D7" s="3">
        <v>1</v>
      </c>
      <c r="E7" s="4" t="s">
        <v>310</v>
      </c>
      <c r="F7" s="19" t="s">
        <v>32</v>
      </c>
      <c r="G7" s="10" t="s">
        <v>11</v>
      </c>
      <c r="H7" s="11">
        <v>200</v>
      </c>
    </row>
    <row r="8" spans="1:8" ht="20.100000000000001" customHeight="1" x14ac:dyDescent="0.25">
      <c r="A8" s="57"/>
      <c r="B8" s="2">
        <v>45755</v>
      </c>
      <c r="C8" s="3">
        <v>312623192</v>
      </c>
      <c r="D8" s="3">
        <v>4</v>
      </c>
      <c r="E8" s="4" t="s">
        <v>549</v>
      </c>
      <c r="F8" s="19" t="s">
        <v>32</v>
      </c>
      <c r="G8" s="10" t="s">
        <v>6</v>
      </c>
      <c r="H8" s="11">
        <v>800</v>
      </c>
    </row>
    <row r="9" spans="1:8" ht="20.100000000000001" customHeight="1" x14ac:dyDescent="0.25">
      <c r="A9" s="57"/>
      <c r="B9" s="2">
        <v>45756</v>
      </c>
      <c r="C9" s="3">
        <v>3717811064</v>
      </c>
      <c r="D9" s="3">
        <v>6</v>
      </c>
      <c r="E9" s="4" t="s">
        <v>570</v>
      </c>
      <c r="F9" s="19" t="s">
        <v>32</v>
      </c>
      <c r="G9" s="10" t="s">
        <v>19</v>
      </c>
      <c r="H9" s="11">
        <v>1200</v>
      </c>
    </row>
    <row r="10" spans="1:8" ht="20.100000000000001" customHeight="1" x14ac:dyDescent="0.25">
      <c r="A10" s="57"/>
      <c r="B10" s="2">
        <v>45826</v>
      </c>
      <c r="C10" s="3">
        <v>4149824284</v>
      </c>
      <c r="D10" s="3">
        <v>5</v>
      </c>
      <c r="E10" s="4" t="s">
        <v>705</v>
      </c>
      <c r="F10" s="19" t="s">
        <v>32</v>
      </c>
      <c r="G10" s="10" t="s">
        <v>7</v>
      </c>
      <c r="H10" s="11">
        <v>1000</v>
      </c>
    </row>
    <row r="11" spans="1:8" ht="20.100000000000001" customHeight="1" x14ac:dyDescent="0.25">
      <c r="A11" s="57"/>
      <c r="B11" s="2">
        <v>45852</v>
      </c>
      <c r="C11" s="3">
        <v>1532973000</v>
      </c>
      <c r="D11" s="3">
        <v>6</v>
      </c>
      <c r="E11" s="4" t="s">
        <v>810</v>
      </c>
      <c r="F11" s="4" t="s">
        <v>32</v>
      </c>
      <c r="G11" s="5" t="s">
        <v>6</v>
      </c>
      <c r="H11" s="6">
        <v>1080</v>
      </c>
    </row>
    <row r="12" spans="1:8" ht="15.75" x14ac:dyDescent="0.25">
      <c r="A12" s="57"/>
      <c r="B12" s="2">
        <v>45852</v>
      </c>
      <c r="C12" s="3">
        <v>542786875</v>
      </c>
      <c r="D12" s="3">
        <v>5</v>
      </c>
      <c r="E12" s="4" t="s">
        <v>811</v>
      </c>
      <c r="F12" s="4" t="s">
        <v>32</v>
      </c>
      <c r="G12" s="5" t="s">
        <v>7</v>
      </c>
      <c r="H12" s="6">
        <v>1000</v>
      </c>
    </row>
    <row r="13" spans="1:8" ht="20.100000000000001" customHeight="1" x14ac:dyDescent="0.25">
      <c r="A13" s="57"/>
      <c r="B13" s="2">
        <v>45881</v>
      </c>
      <c r="C13" s="3">
        <v>1834369444</v>
      </c>
      <c r="D13" s="3">
        <v>10</v>
      </c>
      <c r="E13" s="4" t="s">
        <v>924</v>
      </c>
      <c r="F13" s="4" t="s">
        <v>32</v>
      </c>
      <c r="G13" s="5" t="s">
        <v>6</v>
      </c>
      <c r="H13" s="6">
        <v>2000</v>
      </c>
    </row>
    <row r="14" spans="1:8" ht="20.100000000000001" customHeight="1" x14ac:dyDescent="0.25">
      <c r="A14" s="57"/>
      <c r="B14" s="2">
        <v>45881</v>
      </c>
      <c r="C14" s="3">
        <v>1149518204</v>
      </c>
      <c r="D14" s="3">
        <v>5</v>
      </c>
      <c r="E14" s="4" t="s">
        <v>925</v>
      </c>
      <c r="F14" s="4" t="s">
        <v>32</v>
      </c>
      <c r="G14" s="5" t="s">
        <v>7</v>
      </c>
      <c r="H14" s="6">
        <v>1000</v>
      </c>
    </row>
    <row r="15" spans="1:8" ht="15.75" x14ac:dyDescent="0.25">
      <c r="A15" s="57"/>
      <c r="B15" s="2">
        <v>45882</v>
      </c>
      <c r="C15" s="3">
        <v>3348841229</v>
      </c>
      <c r="D15" s="3">
        <v>10</v>
      </c>
      <c r="E15" s="4" t="s">
        <v>926</v>
      </c>
      <c r="F15" s="4" t="s">
        <v>32</v>
      </c>
      <c r="G15" s="5" t="s">
        <v>7</v>
      </c>
      <c r="H15" s="6">
        <v>2000</v>
      </c>
    </row>
    <row r="16" spans="1:8" ht="15.75" x14ac:dyDescent="0.25">
      <c r="A16" s="57"/>
      <c r="B16" s="2">
        <v>45902</v>
      </c>
      <c r="C16" s="3">
        <v>602030791</v>
      </c>
      <c r="D16" s="3">
        <v>6</v>
      </c>
      <c r="E16" s="4" t="s">
        <v>997</v>
      </c>
      <c r="F16" s="4" t="s">
        <v>998</v>
      </c>
      <c r="G16" s="5" t="s">
        <v>6</v>
      </c>
      <c r="H16" s="6">
        <v>1200</v>
      </c>
    </row>
    <row r="17" spans="1:8" ht="15.75" x14ac:dyDescent="0.25">
      <c r="A17" s="57"/>
      <c r="B17" s="2">
        <v>45902</v>
      </c>
      <c r="C17" s="3">
        <v>602030791</v>
      </c>
      <c r="D17" s="3">
        <v>6</v>
      </c>
      <c r="E17" s="4" t="s">
        <v>999</v>
      </c>
      <c r="F17" s="4" t="s">
        <v>998</v>
      </c>
      <c r="G17" s="5" t="s">
        <v>6</v>
      </c>
      <c r="H17" s="6">
        <v>960</v>
      </c>
    </row>
    <row r="18" spans="1:8" ht="15.75" x14ac:dyDescent="0.25">
      <c r="A18" s="57"/>
      <c r="B18" s="2">
        <v>45918</v>
      </c>
      <c r="C18" s="3">
        <v>3309323074</v>
      </c>
      <c r="D18" s="3">
        <v>6</v>
      </c>
      <c r="E18" s="4" t="s">
        <v>1000</v>
      </c>
      <c r="F18" s="4" t="s">
        <v>32</v>
      </c>
      <c r="G18" s="5" t="s">
        <v>6</v>
      </c>
      <c r="H18" s="6">
        <v>900</v>
      </c>
    </row>
    <row r="19" spans="1:8" ht="15.75" x14ac:dyDescent="0.25">
      <c r="A19" s="57"/>
      <c r="B19" s="47">
        <v>45960</v>
      </c>
      <c r="C19" s="48">
        <v>417809970</v>
      </c>
      <c r="D19" s="3">
        <v>5</v>
      </c>
      <c r="E19" s="28" t="s">
        <v>1066</v>
      </c>
      <c r="F19" s="28" t="s">
        <v>32</v>
      </c>
      <c r="G19" s="49" t="s">
        <v>7</v>
      </c>
      <c r="H19" s="6">
        <v>1000</v>
      </c>
    </row>
    <row r="20" spans="1:8" ht="15.75" x14ac:dyDescent="0.25">
      <c r="A20" s="57"/>
      <c r="B20" s="47">
        <v>45975</v>
      </c>
      <c r="C20" s="48">
        <v>1773816485</v>
      </c>
      <c r="D20" s="3">
        <v>10</v>
      </c>
      <c r="E20" s="28" t="s">
        <v>1136</v>
      </c>
      <c r="F20" s="28" t="s">
        <v>32</v>
      </c>
      <c r="G20" s="49" t="s">
        <v>7</v>
      </c>
      <c r="H20" s="6">
        <v>2000</v>
      </c>
    </row>
    <row r="21" spans="1:8" ht="15.75" x14ac:dyDescent="0.25">
      <c r="A21" s="57"/>
      <c r="B21" s="47">
        <v>45994</v>
      </c>
      <c r="C21" s="48">
        <v>1847479170</v>
      </c>
      <c r="D21" s="3">
        <v>5</v>
      </c>
      <c r="E21" s="28" t="s">
        <v>1136</v>
      </c>
      <c r="F21" s="28" t="s">
        <v>32</v>
      </c>
      <c r="G21" s="49" t="s">
        <v>6</v>
      </c>
      <c r="H21" s="6">
        <v>1000</v>
      </c>
    </row>
    <row r="22" spans="1:8" ht="15.75" x14ac:dyDescent="0.25">
      <c r="A22" s="57"/>
      <c r="B22" s="47">
        <v>46010</v>
      </c>
      <c r="C22" s="48">
        <v>4063840383</v>
      </c>
      <c r="D22" s="3">
        <v>4</v>
      </c>
      <c r="E22" s="28" t="s">
        <v>1262</v>
      </c>
      <c r="F22" s="28" t="s">
        <v>32</v>
      </c>
      <c r="G22" s="49" t="s">
        <v>6</v>
      </c>
      <c r="H22" s="6">
        <v>800</v>
      </c>
    </row>
    <row r="23" spans="1:8" ht="15.75" x14ac:dyDescent="0.25">
      <c r="A23" s="58"/>
      <c r="B23" s="13"/>
      <c r="C23" s="14"/>
      <c r="D23" s="14"/>
      <c r="E23" s="14" t="s">
        <v>5</v>
      </c>
      <c r="F23" s="15"/>
      <c r="G23" s="16"/>
      <c r="H23" s="23">
        <f>SUM(H3:H22)</f>
        <v>19800</v>
      </c>
    </row>
  </sheetData>
  <mergeCells count="8">
    <mergeCell ref="A1:A2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0"/>
  <dimension ref="A1:H4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16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6" t="s">
        <v>33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7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57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11">
        <v>0</v>
      </c>
    </row>
    <row r="4" spans="1:8" ht="15.75" x14ac:dyDescent="0.25">
      <c r="A4" s="58"/>
      <c r="B4" s="13"/>
      <c r="C4" s="14"/>
      <c r="D4" s="14"/>
      <c r="E4" s="14" t="s">
        <v>5</v>
      </c>
      <c r="F4" s="15"/>
      <c r="G4" s="16"/>
      <c r="H4" s="23">
        <f>SUM(H3:H3)</f>
        <v>0</v>
      </c>
    </row>
  </sheetData>
  <mergeCells count="7"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/>
  <dimension ref="A1:H22"/>
  <sheetViews>
    <sheetView workbookViewId="0">
      <selection activeCell="A4" sqref="A4:XFD9"/>
    </sheetView>
  </sheetViews>
  <sheetFormatPr baseColWidth="10" defaultColWidth="9.140625" defaultRowHeight="15" x14ac:dyDescent="0.25"/>
  <cols>
    <col min="1" max="1" width="7.42578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6.28515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6" t="s">
        <v>34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7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57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11">
        <v>0</v>
      </c>
    </row>
    <row r="4" spans="1:8" ht="15.75" x14ac:dyDescent="0.25">
      <c r="A4" s="58"/>
      <c r="B4" s="13"/>
      <c r="C4" s="14"/>
      <c r="D4" s="14"/>
      <c r="E4" s="14" t="s">
        <v>5</v>
      </c>
      <c r="F4" s="15"/>
      <c r="G4" s="16"/>
      <c r="H4" s="23">
        <f>SUM(H3:H3)</f>
        <v>0</v>
      </c>
    </row>
    <row r="22" spans="4:4" x14ac:dyDescent="0.25">
      <c r="D22" s="32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/>
  <dimension ref="A1:H139"/>
  <sheetViews>
    <sheetView workbookViewId="0">
      <pane ySplit="2" topLeftCell="A121" activePane="bottomLeft" state="frozen"/>
      <selection pane="bottomLeft" activeCell="E125" sqref="E125"/>
    </sheetView>
  </sheetViews>
  <sheetFormatPr baseColWidth="10" defaultColWidth="9.140625" defaultRowHeight="15" x14ac:dyDescent="0.25"/>
  <cols>
    <col min="1" max="1" width="14.140625" style="1" bestFit="1" customWidth="1"/>
    <col min="2" max="2" width="14" bestFit="1" customWidth="1"/>
    <col min="3" max="3" width="17.42578125" customWidth="1"/>
    <col min="4" max="4" width="11" customWidth="1"/>
    <col min="5" max="5" width="34.42578125" bestFit="1" customWidth="1"/>
    <col min="6" max="6" width="51.7109375" style="1" bestFit="1" customWidth="1"/>
    <col min="7" max="7" width="16.140625" customWidth="1"/>
    <col min="8" max="8" width="14.28515625" bestFit="1" customWidth="1"/>
  </cols>
  <sheetData>
    <row r="1" spans="1:8" ht="33.75" customHeight="1" x14ac:dyDescent="0.25">
      <c r="A1" s="73" t="s">
        <v>35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4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74"/>
      <c r="B3" s="2">
        <v>45663</v>
      </c>
      <c r="C3" s="3">
        <v>3837808205</v>
      </c>
      <c r="D3" s="3">
        <v>1</v>
      </c>
      <c r="E3" s="4" t="s">
        <v>179</v>
      </c>
      <c r="F3" s="19" t="s">
        <v>73</v>
      </c>
      <c r="G3" s="10" t="s">
        <v>19</v>
      </c>
      <c r="H3" s="11">
        <v>500</v>
      </c>
    </row>
    <row r="4" spans="1:8" ht="20.100000000000001" customHeight="1" x14ac:dyDescent="0.25">
      <c r="A4" s="74"/>
      <c r="B4" s="2">
        <v>45663</v>
      </c>
      <c r="C4" s="3">
        <v>823017476</v>
      </c>
      <c r="D4" s="3">
        <v>3</v>
      </c>
      <c r="E4" s="4" t="s">
        <v>180</v>
      </c>
      <c r="F4" s="19" t="s">
        <v>73</v>
      </c>
      <c r="G4" s="10" t="s">
        <v>19</v>
      </c>
      <c r="H4" s="11">
        <v>1605</v>
      </c>
    </row>
    <row r="5" spans="1:8" ht="20.100000000000001" customHeight="1" x14ac:dyDescent="0.25">
      <c r="A5" s="74"/>
      <c r="B5" s="2">
        <v>45673</v>
      </c>
      <c r="C5" s="3">
        <v>1633439171</v>
      </c>
      <c r="D5" s="3">
        <v>1</v>
      </c>
      <c r="E5" s="4" t="s">
        <v>133</v>
      </c>
      <c r="F5" s="19" t="s">
        <v>73</v>
      </c>
      <c r="G5" s="10" t="s">
        <v>6</v>
      </c>
      <c r="H5" s="11">
        <v>535</v>
      </c>
    </row>
    <row r="6" spans="1:8" ht="20.100000000000001" customHeight="1" x14ac:dyDescent="0.25">
      <c r="A6" s="74"/>
      <c r="B6" s="2">
        <v>45673</v>
      </c>
      <c r="C6" s="3">
        <v>3707455606</v>
      </c>
      <c r="D6" s="3">
        <v>3</v>
      </c>
      <c r="E6" s="4" t="s">
        <v>148</v>
      </c>
      <c r="F6" s="19" t="s">
        <v>73</v>
      </c>
      <c r="G6" s="10" t="s">
        <v>11</v>
      </c>
      <c r="H6" s="11">
        <v>1605</v>
      </c>
    </row>
    <row r="7" spans="1:8" ht="20.100000000000001" customHeight="1" x14ac:dyDescent="0.25">
      <c r="A7" s="74"/>
      <c r="B7" s="2">
        <v>45673</v>
      </c>
      <c r="C7" s="3">
        <v>3707455606</v>
      </c>
      <c r="D7" s="3">
        <v>1</v>
      </c>
      <c r="E7" s="4" t="s">
        <v>148</v>
      </c>
      <c r="F7" s="19" t="s">
        <v>181</v>
      </c>
      <c r="G7" s="10" t="s">
        <v>11</v>
      </c>
      <c r="H7" s="11">
        <v>370</v>
      </c>
    </row>
    <row r="8" spans="1:8" ht="20.100000000000001" customHeight="1" x14ac:dyDescent="0.25">
      <c r="A8" s="74"/>
      <c r="B8" s="2">
        <v>45678</v>
      </c>
      <c r="C8" s="3">
        <v>3438365580</v>
      </c>
      <c r="D8" s="3">
        <v>1</v>
      </c>
      <c r="E8" s="4" t="s">
        <v>168</v>
      </c>
      <c r="F8" s="19" t="s">
        <v>73</v>
      </c>
      <c r="G8" s="10" t="s">
        <v>6</v>
      </c>
      <c r="H8" s="11">
        <v>535</v>
      </c>
    </row>
    <row r="9" spans="1:8" ht="20.100000000000001" customHeight="1" x14ac:dyDescent="0.25">
      <c r="A9" s="74"/>
      <c r="B9" s="2">
        <v>45679</v>
      </c>
      <c r="C9" s="3">
        <v>1126647214</v>
      </c>
      <c r="D9" s="3">
        <v>1</v>
      </c>
      <c r="E9" s="4" t="s">
        <v>182</v>
      </c>
      <c r="F9" s="19" t="s">
        <v>73</v>
      </c>
      <c r="G9" s="10" t="s">
        <v>6</v>
      </c>
      <c r="H9" s="11">
        <v>535</v>
      </c>
    </row>
    <row r="10" spans="1:8" ht="20.100000000000001" customHeight="1" x14ac:dyDescent="0.25">
      <c r="A10" s="74"/>
      <c r="B10" s="2">
        <v>45679</v>
      </c>
      <c r="C10" s="3">
        <v>1377846786</v>
      </c>
      <c r="D10" s="3">
        <v>1</v>
      </c>
      <c r="E10" s="4" t="s">
        <v>183</v>
      </c>
      <c r="F10" s="19" t="s">
        <v>73</v>
      </c>
      <c r="G10" s="10" t="s">
        <v>11</v>
      </c>
      <c r="H10" s="11">
        <v>535</v>
      </c>
    </row>
    <row r="11" spans="1:8" ht="20.100000000000001" customHeight="1" x14ac:dyDescent="0.25">
      <c r="A11" s="74"/>
      <c r="B11" s="2">
        <v>45684</v>
      </c>
      <c r="C11" s="3">
        <v>1398754801</v>
      </c>
      <c r="D11" s="3">
        <v>1</v>
      </c>
      <c r="E11" s="4" t="s">
        <v>105</v>
      </c>
      <c r="F11" s="19" t="s">
        <v>73</v>
      </c>
      <c r="G11" s="10" t="s">
        <v>13</v>
      </c>
      <c r="H11" s="11">
        <v>376</v>
      </c>
    </row>
    <row r="12" spans="1:8" ht="20.100000000000001" customHeight="1" x14ac:dyDescent="0.25">
      <c r="A12" s="74"/>
      <c r="B12" s="2">
        <v>45687</v>
      </c>
      <c r="C12" s="3">
        <v>2001814206</v>
      </c>
      <c r="D12" s="3">
        <v>1</v>
      </c>
      <c r="E12" s="4" t="s">
        <v>122</v>
      </c>
      <c r="F12" s="19" t="s">
        <v>73</v>
      </c>
      <c r="G12" s="10" t="s">
        <v>6</v>
      </c>
      <c r="H12" s="11">
        <v>535</v>
      </c>
    </row>
    <row r="13" spans="1:8" ht="20.100000000000001" customHeight="1" x14ac:dyDescent="0.25">
      <c r="A13" s="74"/>
      <c r="B13" s="2">
        <v>45693</v>
      </c>
      <c r="C13" s="3">
        <v>477317611</v>
      </c>
      <c r="D13" s="3">
        <v>1</v>
      </c>
      <c r="E13" s="4" t="s">
        <v>311</v>
      </c>
      <c r="F13" s="19" t="s">
        <v>73</v>
      </c>
      <c r="G13" s="10" t="s">
        <v>6</v>
      </c>
      <c r="H13" s="11">
        <v>535</v>
      </c>
    </row>
    <row r="14" spans="1:8" ht="20.100000000000001" customHeight="1" x14ac:dyDescent="0.25">
      <c r="A14" s="74"/>
      <c r="B14" s="2">
        <v>45693</v>
      </c>
      <c r="C14" s="3">
        <v>2090221636</v>
      </c>
      <c r="D14" s="3">
        <v>1</v>
      </c>
      <c r="E14" s="4" t="s">
        <v>312</v>
      </c>
      <c r="F14" s="19" t="s">
        <v>73</v>
      </c>
      <c r="G14" s="10" t="s">
        <v>6</v>
      </c>
      <c r="H14" s="11">
        <v>535</v>
      </c>
    </row>
    <row r="15" spans="1:8" ht="20.100000000000001" customHeight="1" x14ac:dyDescent="0.25">
      <c r="A15" s="74"/>
      <c r="B15" s="2">
        <v>45701</v>
      </c>
      <c r="C15" s="3">
        <v>3569110488</v>
      </c>
      <c r="D15" s="3">
        <v>1</v>
      </c>
      <c r="E15" s="4" t="s">
        <v>241</v>
      </c>
      <c r="F15" s="19" t="s">
        <v>73</v>
      </c>
      <c r="G15" s="10" t="s">
        <v>7</v>
      </c>
      <c r="H15" s="11">
        <v>535</v>
      </c>
    </row>
    <row r="16" spans="1:8" ht="20.100000000000001" customHeight="1" x14ac:dyDescent="0.25">
      <c r="A16" s="74"/>
      <c r="B16" s="2">
        <v>45701</v>
      </c>
      <c r="C16" s="3">
        <v>3166717576</v>
      </c>
      <c r="D16" s="3">
        <v>3</v>
      </c>
      <c r="E16" s="4" t="s">
        <v>305</v>
      </c>
      <c r="F16" s="19" t="s">
        <v>73</v>
      </c>
      <c r="G16" s="10" t="s">
        <v>6</v>
      </c>
      <c r="H16" s="11">
        <v>1605</v>
      </c>
    </row>
    <row r="17" spans="1:8" ht="20.100000000000001" customHeight="1" x14ac:dyDescent="0.25">
      <c r="A17" s="74"/>
      <c r="B17" s="2">
        <v>45702</v>
      </c>
      <c r="C17" s="3">
        <v>2609791939</v>
      </c>
      <c r="D17" s="3">
        <v>1</v>
      </c>
      <c r="E17" s="4" t="s">
        <v>313</v>
      </c>
      <c r="F17" s="19" t="s">
        <v>73</v>
      </c>
      <c r="G17" s="10" t="s">
        <v>6</v>
      </c>
      <c r="H17" s="11">
        <v>535</v>
      </c>
    </row>
    <row r="18" spans="1:8" ht="20.100000000000001" customHeight="1" x14ac:dyDescent="0.25">
      <c r="A18" s="74"/>
      <c r="B18" s="2">
        <v>45706</v>
      </c>
      <c r="C18" s="3">
        <v>3552724814</v>
      </c>
      <c r="D18" s="3">
        <v>3</v>
      </c>
      <c r="E18" s="4" t="s">
        <v>215</v>
      </c>
      <c r="F18" s="19" t="s">
        <v>73</v>
      </c>
      <c r="G18" s="10" t="s">
        <v>7</v>
      </c>
      <c r="H18" s="11">
        <v>1605</v>
      </c>
    </row>
    <row r="19" spans="1:8" ht="20.100000000000001" customHeight="1" x14ac:dyDescent="0.25">
      <c r="A19" s="74"/>
      <c r="B19" s="2">
        <v>45707</v>
      </c>
      <c r="C19" s="3">
        <v>1478705960</v>
      </c>
      <c r="D19" s="3">
        <v>1</v>
      </c>
      <c r="E19" s="4" t="s">
        <v>83</v>
      </c>
      <c r="F19" s="19" t="s">
        <v>73</v>
      </c>
      <c r="G19" s="10" t="s">
        <v>19</v>
      </c>
      <c r="H19" s="11">
        <v>535</v>
      </c>
    </row>
    <row r="20" spans="1:8" ht="15.75" x14ac:dyDescent="0.25">
      <c r="A20" s="74"/>
      <c r="B20" s="2">
        <v>45708</v>
      </c>
      <c r="C20" s="3">
        <v>2987544069</v>
      </c>
      <c r="D20" s="3">
        <v>1</v>
      </c>
      <c r="E20" s="4" t="s">
        <v>314</v>
      </c>
      <c r="F20" s="19" t="s">
        <v>73</v>
      </c>
      <c r="G20" s="10" t="s">
        <v>6</v>
      </c>
      <c r="H20" s="11">
        <v>535</v>
      </c>
    </row>
    <row r="21" spans="1:8" ht="15.75" x14ac:dyDescent="0.25">
      <c r="A21" s="74"/>
      <c r="B21" s="2">
        <v>45708</v>
      </c>
      <c r="C21" s="3">
        <v>2987544069</v>
      </c>
      <c r="D21" s="3">
        <v>1</v>
      </c>
      <c r="E21" s="4" t="s">
        <v>315</v>
      </c>
      <c r="F21" s="19" t="s">
        <v>73</v>
      </c>
      <c r="G21" s="10" t="s">
        <v>6</v>
      </c>
      <c r="H21" s="11">
        <v>535</v>
      </c>
    </row>
    <row r="22" spans="1:8" ht="15.75" x14ac:dyDescent="0.25">
      <c r="A22" s="74"/>
      <c r="B22" s="2">
        <v>45709</v>
      </c>
      <c r="C22" s="3">
        <v>1327448982</v>
      </c>
      <c r="D22" s="3">
        <v>2</v>
      </c>
      <c r="E22" s="4" t="s">
        <v>170</v>
      </c>
      <c r="F22" s="19" t="s">
        <v>73</v>
      </c>
      <c r="G22" s="10" t="s">
        <v>6</v>
      </c>
      <c r="H22" s="11">
        <v>1070</v>
      </c>
    </row>
    <row r="23" spans="1:8" ht="20.100000000000001" customHeight="1" x14ac:dyDescent="0.25">
      <c r="A23" s="74"/>
      <c r="B23" s="2">
        <v>45712</v>
      </c>
      <c r="C23" s="3">
        <v>3299885312</v>
      </c>
      <c r="D23" s="3">
        <v>1</v>
      </c>
      <c r="E23" s="4" t="s">
        <v>316</v>
      </c>
      <c r="F23" s="19" t="s">
        <v>73</v>
      </c>
      <c r="G23" s="10" t="s">
        <v>6</v>
      </c>
      <c r="H23" s="11">
        <v>535</v>
      </c>
    </row>
    <row r="24" spans="1:8" ht="20.100000000000001" customHeight="1" x14ac:dyDescent="0.25">
      <c r="A24" s="74"/>
      <c r="B24" s="2">
        <v>45713</v>
      </c>
      <c r="C24" s="3">
        <v>2889762376</v>
      </c>
      <c r="D24" s="3">
        <v>3</v>
      </c>
      <c r="E24" s="4" t="s">
        <v>317</v>
      </c>
      <c r="F24" s="19" t="s">
        <v>73</v>
      </c>
      <c r="G24" s="10" t="s">
        <v>7</v>
      </c>
      <c r="H24" s="11">
        <v>1605</v>
      </c>
    </row>
    <row r="25" spans="1:8" ht="20.100000000000001" customHeight="1" x14ac:dyDescent="0.25">
      <c r="A25" s="74"/>
      <c r="B25" s="2">
        <v>45714</v>
      </c>
      <c r="C25" s="3">
        <v>680083710</v>
      </c>
      <c r="D25" s="3">
        <v>1</v>
      </c>
      <c r="E25" s="4" t="s">
        <v>312</v>
      </c>
      <c r="F25" s="19" t="s">
        <v>73</v>
      </c>
      <c r="G25" s="10" t="s">
        <v>7</v>
      </c>
      <c r="H25" s="11">
        <v>535</v>
      </c>
    </row>
    <row r="26" spans="1:8" ht="20.100000000000001" customHeight="1" x14ac:dyDescent="0.25">
      <c r="A26" s="74"/>
      <c r="B26" s="2">
        <v>45716</v>
      </c>
      <c r="C26" s="3">
        <v>3580642323</v>
      </c>
      <c r="D26" s="3">
        <v>3</v>
      </c>
      <c r="E26" s="4" t="s">
        <v>269</v>
      </c>
      <c r="F26" s="19" t="s">
        <v>73</v>
      </c>
      <c r="G26" s="10" t="s">
        <v>7</v>
      </c>
      <c r="H26" s="11">
        <v>1605</v>
      </c>
    </row>
    <row r="27" spans="1:8" ht="20.100000000000001" customHeight="1" x14ac:dyDescent="0.25">
      <c r="A27" s="74"/>
      <c r="B27" s="2">
        <v>45721</v>
      </c>
      <c r="C27" s="3">
        <v>2107723253</v>
      </c>
      <c r="D27" s="3">
        <v>3</v>
      </c>
      <c r="E27" s="4" t="s">
        <v>404</v>
      </c>
      <c r="F27" s="19" t="s">
        <v>73</v>
      </c>
      <c r="G27" s="10" t="s">
        <v>19</v>
      </c>
      <c r="H27" s="11">
        <v>1605</v>
      </c>
    </row>
    <row r="28" spans="1:8" ht="20.100000000000001" customHeight="1" x14ac:dyDescent="0.25">
      <c r="A28" s="74"/>
      <c r="B28" s="2">
        <v>45733</v>
      </c>
      <c r="C28" s="3">
        <v>1272267010</v>
      </c>
      <c r="D28" s="3">
        <v>3</v>
      </c>
      <c r="E28" s="4" t="s">
        <v>410</v>
      </c>
      <c r="F28" s="19" t="s">
        <v>73</v>
      </c>
      <c r="G28" s="10" t="s">
        <v>6</v>
      </c>
      <c r="H28" s="11">
        <v>1605</v>
      </c>
    </row>
    <row r="29" spans="1:8" ht="20.100000000000001" customHeight="1" x14ac:dyDescent="0.25">
      <c r="A29" s="74"/>
      <c r="B29" s="2">
        <v>45734</v>
      </c>
      <c r="C29" s="3">
        <v>1078938385</v>
      </c>
      <c r="D29" s="3">
        <v>3</v>
      </c>
      <c r="E29" s="4" t="s">
        <v>390</v>
      </c>
      <c r="F29" s="19" t="s">
        <v>73</v>
      </c>
      <c r="G29" s="10" t="s">
        <v>19</v>
      </c>
      <c r="H29" s="11">
        <v>1605</v>
      </c>
    </row>
    <row r="30" spans="1:8" ht="20.100000000000001" customHeight="1" x14ac:dyDescent="0.25">
      <c r="A30" s="74"/>
      <c r="B30" s="2">
        <v>45736</v>
      </c>
      <c r="C30" s="3">
        <v>3255258489</v>
      </c>
      <c r="D30" s="3">
        <v>1</v>
      </c>
      <c r="E30" s="4" t="s">
        <v>345</v>
      </c>
      <c r="F30" s="19" t="s">
        <v>73</v>
      </c>
      <c r="G30" s="10" t="s">
        <v>6</v>
      </c>
      <c r="H30" s="11">
        <v>535</v>
      </c>
    </row>
    <row r="31" spans="1:8" ht="20.100000000000001" customHeight="1" x14ac:dyDescent="0.25">
      <c r="A31" s="74"/>
      <c r="B31" s="2">
        <v>45736</v>
      </c>
      <c r="C31" s="3">
        <v>2245345829</v>
      </c>
      <c r="D31" s="3">
        <v>2</v>
      </c>
      <c r="E31" s="4" t="s">
        <v>316</v>
      </c>
      <c r="F31" s="19" t="s">
        <v>73</v>
      </c>
      <c r="G31" s="10" t="s">
        <v>6</v>
      </c>
      <c r="H31" s="11">
        <v>1070</v>
      </c>
    </row>
    <row r="32" spans="1:8" ht="20.100000000000001" customHeight="1" x14ac:dyDescent="0.25">
      <c r="A32" s="74"/>
      <c r="B32" s="2">
        <v>45742</v>
      </c>
      <c r="C32" s="3">
        <v>2660977486</v>
      </c>
      <c r="D32" s="3">
        <v>3</v>
      </c>
      <c r="E32" s="4" t="s">
        <v>296</v>
      </c>
      <c r="F32" s="19" t="s">
        <v>73</v>
      </c>
      <c r="G32" s="10" t="s">
        <v>7</v>
      </c>
      <c r="H32" s="11">
        <v>1605</v>
      </c>
    </row>
    <row r="33" spans="1:8" ht="20.100000000000001" customHeight="1" x14ac:dyDescent="0.25">
      <c r="A33" s="74"/>
      <c r="B33" s="2">
        <v>45744</v>
      </c>
      <c r="C33" s="3">
        <v>3471067542</v>
      </c>
      <c r="D33" s="3">
        <v>3</v>
      </c>
      <c r="E33" s="4" t="s">
        <v>393</v>
      </c>
      <c r="F33" s="19" t="s">
        <v>73</v>
      </c>
      <c r="G33" s="10" t="s">
        <v>10</v>
      </c>
      <c r="H33" s="11">
        <v>1605</v>
      </c>
    </row>
    <row r="34" spans="1:8" ht="20.100000000000001" customHeight="1" x14ac:dyDescent="0.25">
      <c r="A34" s="74"/>
      <c r="B34" s="2">
        <v>45747</v>
      </c>
      <c r="C34" s="3">
        <v>3429321548</v>
      </c>
      <c r="D34" s="3">
        <v>1</v>
      </c>
      <c r="E34" s="4" t="s">
        <v>407</v>
      </c>
      <c r="F34" s="19" t="s">
        <v>73</v>
      </c>
      <c r="G34" s="10" t="s">
        <v>13</v>
      </c>
      <c r="H34" s="11">
        <v>376</v>
      </c>
    </row>
    <row r="35" spans="1:8" ht="20.100000000000001" customHeight="1" x14ac:dyDescent="0.25">
      <c r="A35" s="74"/>
      <c r="B35" s="2">
        <v>45754</v>
      </c>
      <c r="C35" s="3">
        <v>1796558173</v>
      </c>
      <c r="D35" s="3">
        <v>1</v>
      </c>
      <c r="E35" s="4" t="s">
        <v>202</v>
      </c>
      <c r="F35" s="19" t="s">
        <v>73</v>
      </c>
      <c r="G35" s="10" t="s">
        <v>6</v>
      </c>
      <c r="H35" s="11">
        <v>535</v>
      </c>
    </row>
    <row r="36" spans="1:8" ht="20.100000000000001" customHeight="1" x14ac:dyDescent="0.25">
      <c r="A36" s="74"/>
      <c r="B36" s="2">
        <v>45768</v>
      </c>
      <c r="C36" s="3">
        <v>1362185803</v>
      </c>
      <c r="D36" s="3">
        <v>1</v>
      </c>
      <c r="E36" s="4" t="s">
        <v>112</v>
      </c>
      <c r="F36" s="19" t="s">
        <v>73</v>
      </c>
      <c r="G36" s="10" t="s">
        <v>6</v>
      </c>
      <c r="H36" s="11">
        <v>535</v>
      </c>
    </row>
    <row r="37" spans="1:8" ht="20.100000000000001" customHeight="1" x14ac:dyDescent="0.25">
      <c r="A37" s="74"/>
      <c r="B37" s="2">
        <v>45770</v>
      </c>
      <c r="C37" s="3">
        <v>2923380854</v>
      </c>
      <c r="D37" s="3">
        <v>1</v>
      </c>
      <c r="E37" s="4" t="s">
        <v>571</v>
      </c>
      <c r="F37" s="19" t="s">
        <v>73</v>
      </c>
      <c r="G37" s="10" t="s">
        <v>7</v>
      </c>
      <c r="H37" s="11">
        <v>535</v>
      </c>
    </row>
    <row r="38" spans="1:8" ht="20.100000000000001" customHeight="1" x14ac:dyDescent="0.25">
      <c r="A38" s="74"/>
      <c r="B38" s="2">
        <v>45770</v>
      </c>
      <c r="C38" s="3">
        <v>513360193</v>
      </c>
      <c r="D38" s="3">
        <v>3</v>
      </c>
      <c r="E38" s="4" t="s">
        <v>559</v>
      </c>
      <c r="F38" s="19" t="s">
        <v>73</v>
      </c>
      <c r="G38" s="10" t="s">
        <v>19</v>
      </c>
      <c r="H38" s="11">
        <v>1605</v>
      </c>
    </row>
    <row r="39" spans="1:8" ht="20.100000000000001" customHeight="1" x14ac:dyDescent="0.25">
      <c r="A39" s="74"/>
      <c r="B39" s="2">
        <v>45771</v>
      </c>
      <c r="C39" s="3">
        <v>2966178635</v>
      </c>
      <c r="D39" s="3">
        <v>3</v>
      </c>
      <c r="E39" s="4" t="s">
        <v>433</v>
      </c>
      <c r="F39" s="19" t="s">
        <v>73</v>
      </c>
      <c r="G39" s="10" t="s">
        <v>6</v>
      </c>
      <c r="H39" s="11">
        <v>1605</v>
      </c>
    </row>
    <row r="40" spans="1:8" ht="20.100000000000001" customHeight="1" x14ac:dyDescent="0.25">
      <c r="A40" s="74"/>
      <c r="B40" s="2">
        <v>45775</v>
      </c>
      <c r="C40" s="3">
        <v>4071313104</v>
      </c>
      <c r="D40" s="3">
        <v>1</v>
      </c>
      <c r="E40" s="4" t="s">
        <v>105</v>
      </c>
      <c r="F40" s="19" t="s">
        <v>73</v>
      </c>
      <c r="G40" s="10" t="s">
        <v>13</v>
      </c>
      <c r="H40" s="11">
        <v>376</v>
      </c>
    </row>
    <row r="41" spans="1:8" ht="20.100000000000001" customHeight="1" x14ac:dyDescent="0.25">
      <c r="A41" s="74"/>
      <c r="B41" s="2">
        <v>45775</v>
      </c>
      <c r="C41" s="3">
        <v>4149628199</v>
      </c>
      <c r="D41" s="3">
        <v>1</v>
      </c>
      <c r="E41" s="4" t="s">
        <v>572</v>
      </c>
      <c r="F41" s="19" t="s">
        <v>73</v>
      </c>
      <c r="G41" s="10" t="s">
        <v>6</v>
      </c>
      <c r="H41" s="11">
        <v>535</v>
      </c>
    </row>
    <row r="42" spans="1:8" ht="20.100000000000001" customHeight="1" x14ac:dyDescent="0.25">
      <c r="A42" s="74"/>
      <c r="B42" s="2">
        <v>45776</v>
      </c>
      <c r="C42" s="3">
        <v>548094901</v>
      </c>
      <c r="D42" s="3">
        <v>1</v>
      </c>
      <c r="E42" s="4" t="s">
        <v>521</v>
      </c>
      <c r="F42" s="19" t="s">
        <v>73</v>
      </c>
      <c r="G42" s="10" t="s">
        <v>7</v>
      </c>
      <c r="H42" s="11">
        <v>535</v>
      </c>
    </row>
    <row r="43" spans="1:8" ht="20.100000000000001" customHeight="1" x14ac:dyDescent="0.25">
      <c r="A43" s="74"/>
      <c r="B43" s="2">
        <v>45777</v>
      </c>
      <c r="C43" s="3">
        <v>2560573581</v>
      </c>
      <c r="D43" s="3">
        <v>3</v>
      </c>
      <c r="E43" s="4" t="s">
        <v>397</v>
      </c>
      <c r="F43" s="19" t="s">
        <v>73</v>
      </c>
      <c r="G43" s="10" t="s">
        <v>11</v>
      </c>
      <c r="H43" s="11">
        <v>1605</v>
      </c>
    </row>
    <row r="44" spans="1:8" ht="20.100000000000001" customHeight="1" x14ac:dyDescent="0.25">
      <c r="A44" s="74"/>
      <c r="B44" s="2">
        <v>45782</v>
      </c>
      <c r="C44" s="3">
        <v>2496020857</v>
      </c>
      <c r="D44" s="3">
        <v>1</v>
      </c>
      <c r="E44" s="4" t="s">
        <v>406</v>
      </c>
      <c r="F44" s="19" t="s">
        <v>73</v>
      </c>
      <c r="G44" s="10" t="s">
        <v>6</v>
      </c>
      <c r="H44" s="11">
        <v>535</v>
      </c>
    </row>
    <row r="45" spans="1:8" ht="20.100000000000001" customHeight="1" x14ac:dyDescent="0.25">
      <c r="A45" s="74"/>
      <c r="B45" s="2">
        <v>45789</v>
      </c>
      <c r="C45" s="3">
        <v>4044834886</v>
      </c>
      <c r="D45" s="3">
        <v>1</v>
      </c>
      <c r="E45" s="4" t="s">
        <v>388</v>
      </c>
      <c r="F45" s="19" t="s">
        <v>73</v>
      </c>
      <c r="G45" s="10" t="s">
        <v>7</v>
      </c>
      <c r="H45" s="11">
        <v>535</v>
      </c>
    </row>
    <row r="46" spans="1:8" ht="20.100000000000001" customHeight="1" x14ac:dyDescent="0.25">
      <c r="A46" s="74"/>
      <c r="B46" s="2">
        <v>45791</v>
      </c>
      <c r="C46" s="3">
        <v>96485665</v>
      </c>
      <c r="D46" s="3">
        <v>1</v>
      </c>
      <c r="E46" s="4" t="s">
        <v>529</v>
      </c>
      <c r="F46" s="19" t="s">
        <v>707</v>
      </c>
      <c r="G46" s="10" t="s">
        <v>7</v>
      </c>
      <c r="H46" s="11">
        <v>500</v>
      </c>
    </row>
    <row r="47" spans="1:8" ht="20.100000000000001" customHeight="1" x14ac:dyDescent="0.25">
      <c r="A47" s="74"/>
      <c r="B47" s="2">
        <v>45791</v>
      </c>
      <c r="C47" s="3">
        <v>96485665</v>
      </c>
      <c r="D47" s="3">
        <v>1</v>
      </c>
      <c r="E47" s="4" t="s">
        <v>529</v>
      </c>
      <c r="F47" s="19" t="s">
        <v>707</v>
      </c>
      <c r="G47" s="10" t="s">
        <v>10</v>
      </c>
      <c r="H47" s="11">
        <v>570</v>
      </c>
    </row>
    <row r="48" spans="1:8" ht="20.100000000000001" customHeight="1" x14ac:dyDescent="0.25">
      <c r="A48" s="74"/>
      <c r="B48" s="2">
        <v>45791</v>
      </c>
      <c r="C48" s="3">
        <v>4087040978</v>
      </c>
      <c r="D48" s="3">
        <v>1</v>
      </c>
      <c r="E48" s="4" t="s">
        <v>706</v>
      </c>
      <c r="F48" s="19" t="s">
        <v>707</v>
      </c>
      <c r="G48" s="10" t="s">
        <v>6</v>
      </c>
      <c r="H48" s="11">
        <v>535</v>
      </c>
    </row>
    <row r="49" spans="1:8" ht="20.100000000000001" customHeight="1" x14ac:dyDescent="0.25">
      <c r="A49" s="74"/>
      <c r="B49" s="2">
        <v>45792</v>
      </c>
      <c r="C49" s="3">
        <v>2435268973</v>
      </c>
      <c r="D49" s="3">
        <v>3</v>
      </c>
      <c r="E49" s="4" t="s">
        <v>668</v>
      </c>
      <c r="F49" s="19" t="s">
        <v>73</v>
      </c>
      <c r="G49" s="10" t="s">
        <v>7</v>
      </c>
      <c r="H49" s="11">
        <v>1605</v>
      </c>
    </row>
    <row r="50" spans="1:8" ht="20.100000000000001" customHeight="1" x14ac:dyDescent="0.25">
      <c r="A50" s="74"/>
      <c r="B50" s="2">
        <v>45793</v>
      </c>
      <c r="C50" s="3">
        <v>589515157</v>
      </c>
      <c r="D50" s="3">
        <v>3</v>
      </c>
      <c r="E50" s="4" t="s">
        <v>698</v>
      </c>
      <c r="F50" s="19" t="s">
        <v>73</v>
      </c>
      <c r="G50" s="10" t="s">
        <v>7</v>
      </c>
      <c r="H50" s="11">
        <v>1605</v>
      </c>
    </row>
    <row r="51" spans="1:8" ht="20.100000000000001" customHeight="1" x14ac:dyDescent="0.25">
      <c r="A51" s="74"/>
      <c r="B51" s="2">
        <v>45793</v>
      </c>
      <c r="C51" s="3">
        <v>1148404407</v>
      </c>
      <c r="D51" s="3">
        <v>3</v>
      </c>
      <c r="E51" s="4" t="s">
        <v>300</v>
      </c>
      <c r="F51" s="19" t="s">
        <v>73</v>
      </c>
      <c r="G51" s="10" t="s">
        <v>7</v>
      </c>
      <c r="H51" s="11">
        <v>1605</v>
      </c>
    </row>
    <row r="52" spans="1:8" ht="20.100000000000001" customHeight="1" x14ac:dyDescent="0.25">
      <c r="A52" s="74"/>
      <c r="B52" s="2">
        <v>45796</v>
      </c>
      <c r="C52" s="3">
        <v>1554661869</v>
      </c>
      <c r="D52" s="3">
        <v>3</v>
      </c>
      <c r="E52" s="4" t="s">
        <v>506</v>
      </c>
      <c r="F52" s="19" t="s">
        <v>73</v>
      </c>
      <c r="G52" s="10" t="s">
        <v>6</v>
      </c>
      <c r="H52" s="11">
        <v>1605</v>
      </c>
    </row>
    <row r="53" spans="1:8" ht="20.100000000000001" customHeight="1" x14ac:dyDescent="0.25">
      <c r="A53" s="74"/>
      <c r="B53" s="2">
        <v>45796</v>
      </c>
      <c r="C53" s="3">
        <v>2483439357</v>
      </c>
      <c r="D53" s="3">
        <v>3</v>
      </c>
      <c r="E53" s="4" t="s">
        <v>669</v>
      </c>
      <c r="F53" s="19" t="s">
        <v>73</v>
      </c>
      <c r="G53" s="10" t="s">
        <v>7</v>
      </c>
      <c r="H53" s="11">
        <v>1605</v>
      </c>
    </row>
    <row r="54" spans="1:8" ht="20.100000000000001" customHeight="1" x14ac:dyDescent="0.25">
      <c r="A54" s="74"/>
      <c r="B54" s="2">
        <v>45800</v>
      </c>
      <c r="C54" s="3">
        <v>343689690</v>
      </c>
      <c r="D54" s="3">
        <v>6</v>
      </c>
      <c r="E54" s="4" t="s">
        <v>133</v>
      </c>
      <c r="F54" s="19" t="s">
        <v>73</v>
      </c>
      <c r="G54" s="10" t="s">
        <v>19</v>
      </c>
      <c r="H54" s="11">
        <v>3210</v>
      </c>
    </row>
    <row r="55" spans="1:8" ht="20.100000000000001" customHeight="1" x14ac:dyDescent="0.25">
      <c r="A55" s="74"/>
      <c r="B55" s="2">
        <v>45800</v>
      </c>
      <c r="C55" s="3">
        <v>3320860538</v>
      </c>
      <c r="D55" s="3">
        <v>3</v>
      </c>
      <c r="E55" s="4" t="s">
        <v>682</v>
      </c>
      <c r="F55" s="19" t="s">
        <v>73</v>
      </c>
      <c r="G55" s="10" t="s">
        <v>7</v>
      </c>
      <c r="H55" s="11">
        <v>1605</v>
      </c>
    </row>
    <row r="56" spans="1:8" ht="20.100000000000001" customHeight="1" x14ac:dyDescent="0.25">
      <c r="A56" s="74"/>
      <c r="B56" s="2">
        <v>45800</v>
      </c>
      <c r="C56" s="3">
        <v>4190783515</v>
      </c>
      <c r="D56" s="3">
        <v>6</v>
      </c>
      <c r="E56" s="4" t="s">
        <v>415</v>
      </c>
      <c r="F56" s="19" t="s">
        <v>73</v>
      </c>
      <c r="G56" s="10" t="s">
        <v>7</v>
      </c>
      <c r="H56" s="11">
        <v>3210</v>
      </c>
    </row>
    <row r="57" spans="1:8" ht="20.100000000000001" customHeight="1" x14ac:dyDescent="0.25">
      <c r="A57" s="74"/>
      <c r="B57" s="2">
        <v>45803</v>
      </c>
      <c r="C57" s="3">
        <v>202850957</v>
      </c>
      <c r="D57" s="3">
        <v>1</v>
      </c>
      <c r="E57" s="4" t="s">
        <v>572</v>
      </c>
      <c r="F57" s="19" t="s">
        <v>73</v>
      </c>
      <c r="G57" s="10" t="s">
        <v>6</v>
      </c>
      <c r="H57" s="11">
        <v>535</v>
      </c>
    </row>
    <row r="58" spans="1:8" ht="20.100000000000001" customHeight="1" x14ac:dyDescent="0.25">
      <c r="A58" s="74"/>
      <c r="B58" s="2">
        <v>45804</v>
      </c>
      <c r="C58" s="3">
        <v>3467463622</v>
      </c>
      <c r="D58" s="3">
        <v>2</v>
      </c>
      <c r="E58" s="4" t="s">
        <v>691</v>
      </c>
      <c r="F58" s="19" t="s">
        <v>73</v>
      </c>
      <c r="G58" s="10" t="s">
        <v>10</v>
      </c>
      <c r="H58" s="11">
        <v>1092</v>
      </c>
    </row>
    <row r="59" spans="1:8" ht="20.100000000000001" customHeight="1" x14ac:dyDescent="0.25">
      <c r="A59" s="74"/>
      <c r="B59" s="2">
        <v>45804</v>
      </c>
      <c r="C59" s="3">
        <v>3467463622</v>
      </c>
      <c r="D59" s="3">
        <v>1</v>
      </c>
      <c r="E59" s="4" t="s">
        <v>691</v>
      </c>
      <c r="F59" s="19" t="s">
        <v>73</v>
      </c>
      <c r="G59" s="10" t="s">
        <v>10</v>
      </c>
      <c r="H59" s="11">
        <v>548.48</v>
      </c>
    </row>
    <row r="60" spans="1:8" ht="20.100000000000001" customHeight="1" x14ac:dyDescent="0.25">
      <c r="A60" s="74"/>
      <c r="B60" s="2">
        <v>45804</v>
      </c>
      <c r="C60" s="3">
        <v>3091482481</v>
      </c>
      <c r="D60" s="3">
        <v>2</v>
      </c>
      <c r="E60" s="4" t="s">
        <v>78</v>
      </c>
      <c r="F60" s="19" t="s">
        <v>73</v>
      </c>
      <c r="G60" s="10" t="s">
        <v>11</v>
      </c>
      <c r="H60" s="11">
        <v>1000</v>
      </c>
    </row>
    <row r="61" spans="1:8" ht="20.100000000000001" customHeight="1" x14ac:dyDescent="0.25">
      <c r="A61" s="74"/>
      <c r="B61" s="2">
        <v>45804</v>
      </c>
      <c r="C61" s="3">
        <v>3091482481</v>
      </c>
      <c r="D61" s="3">
        <v>4</v>
      </c>
      <c r="E61" s="4" t="s">
        <v>78</v>
      </c>
      <c r="F61" s="19" t="s">
        <v>73</v>
      </c>
      <c r="G61" s="10" t="s">
        <v>6</v>
      </c>
      <c r="H61" s="11">
        <v>2210</v>
      </c>
    </row>
    <row r="62" spans="1:8" ht="20.100000000000001" customHeight="1" x14ac:dyDescent="0.25">
      <c r="A62" s="74"/>
      <c r="B62" s="2">
        <v>45805</v>
      </c>
      <c r="C62" s="3">
        <v>1356940640</v>
      </c>
      <c r="D62" s="3">
        <v>3</v>
      </c>
      <c r="E62" s="4" t="s">
        <v>685</v>
      </c>
      <c r="F62" s="19" t="s">
        <v>73</v>
      </c>
      <c r="G62" s="10" t="s">
        <v>19</v>
      </c>
      <c r="H62" s="11">
        <v>1605</v>
      </c>
    </row>
    <row r="63" spans="1:8" ht="20.100000000000001" customHeight="1" x14ac:dyDescent="0.25">
      <c r="A63" s="74"/>
      <c r="B63" s="2">
        <v>45806</v>
      </c>
      <c r="C63" s="3">
        <v>4011936327</v>
      </c>
      <c r="D63" s="3">
        <v>1</v>
      </c>
      <c r="E63" s="4" t="s">
        <v>105</v>
      </c>
      <c r="F63" s="19" t="s">
        <v>73</v>
      </c>
      <c r="G63" s="10" t="s">
        <v>13</v>
      </c>
      <c r="H63" s="11">
        <v>376</v>
      </c>
    </row>
    <row r="64" spans="1:8" ht="20.100000000000001" customHeight="1" x14ac:dyDescent="0.25">
      <c r="A64" s="74"/>
      <c r="B64" s="2">
        <v>45806</v>
      </c>
      <c r="C64" s="3">
        <v>2822459068</v>
      </c>
      <c r="D64" s="3">
        <v>1</v>
      </c>
      <c r="E64" s="4" t="s">
        <v>708</v>
      </c>
      <c r="F64" s="19" t="s">
        <v>73</v>
      </c>
      <c r="G64" s="10" t="s">
        <v>7</v>
      </c>
      <c r="H64" s="11">
        <v>535</v>
      </c>
    </row>
    <row r="65" spans="1:8" ht="20.100000000000001" customHeight="1" x14ac:dyDescent="0.25">
      <c r="A65" s="74"/>
      <c r="B65" s="2">
        <v>45806</v>
      </c>
      <c r="C65" s="3">
        <v>917783383</v>
      </c>
      <c r="D65" s="3">
        <v>3</v>
      </c>
      <c r="E65" s="4" t="s">
        <v>621</v>
      </c>
      <c r="F65" s="19" t="s">
        <v>73</v>
      </c>
      <c r="G65" s="10" t="s">
        <v>7</v>
      </c>
      <c r="H65" s="11">
        <v>1605</v>
      </c>
    </row>
    <row r="66" spans="1:8" ht="20.100000000000001" customHeight="1" x14ac:dyDescent="0.25">
      <c r="A66" s="74"/>
      <c r="B66" s="2">
        <v>45807</v>
      </c>
      <c r="C66" s="3">
        <v>1849510375</v>
      </c>
      <c r="D66" s="3">
        <v>1</v>
      </c>
      <c r="E66" s="4" t="s">
        <v>241</v>
      </c>
      <c r="F66" s="19" t="s">
        <v>73</v>
      </c>
      <c r="G66" s="10" t="s">
        <v>7</v>
      </c>
      <c r="H66" s="11">
        <v>535</v>
      </c>
    </row>
    <row r="67" spans="1:8" ht="20.100000000000001" customHeight="1" x14ac:dyDescent="0.25">
      <c r="A67" s="74"/>
      <c r="B67" s="2">
        <v>45812</v>
      </c>
      <c r="C67" s="3">
        <v>888358634</v>
      </c>
      <c r="D67" s="3">
        <v>1</v>
      </c>
      <c r="E67" s="4" t="s">
        <v>637</v>
      </c>
      <c r="F67" s="19" t="s">
        <v>73</v>
      </c>
      <c r="G67" s="10" t="s">
        <v>6</v>
      </c>
      <c r="H67" s="11">
        <v>535</v>
      </c>
    </row>
    <row r="68" spans="1:8" ht="20.100000000000001" customHeight="1" x14ac:dyDescent="0.25">
      <c r="A68" s="74"/>
      <c r="B68" s="2">
        <v>45814</v>
      </c>
      <c r="C68" s="3">
        <v>3381151129</v>
      </c>
      <c r="D68" s="3">
        <v>1</v>
      </c>
      <c r="E68" s="4" t="s">
        <v>700</v>
      </c>
      <c r="F68" s="19" t="s">
        <v>73</v>
      </c>
      <c r="G68" s="10" t="s">
        <v>7</v>
      </c>
      <c r="H68" s="11">
        <v>535</v>
      </c>
    </row>
    <row r="69" spans="1:8" ht="20.100000000000001" customHeight="1" x14ac:dyDescent="0.25">
      <c r="A69" s="74"/>
      <c r="B69" s="2">
        <v>45820</v>
      </c>
      <c r="C69" s="3">
        <v>130567609</v>
      </c>
      <c r="D69" s="3">
        <v>1</v>
      </c>
      <c r="E69" s="4" t="s">
        <v>463</v>
      </c>
      <c r="F69" s="19" t="s">
        <v>73</v>
      </c>
      <c r="G69" s="10" t="s">
        <v>6</v>
      </c>
      <c r="H69" s="11">
        <v>535</v>
      </c>
    </row>
    <row r="70" spans="1:8" ht="20.100000000000001" customHeight="1" x14ac:dyDescent="0.25">
      <c r="A70" s="74"/>
      <c r="B70" s="2">
        <v>45820</v>
      </c>
      <c r="C70" s="3">
        <v>2583184228</v>
      </c>
      <c r="D70" s="3">
        <v>3</v>
      </c>
      <c r="E70" s="4" t="s">
        <v>622</v>
      </c>
      <c r="F70" s="19" t="s">
        <v>73</v>
      </c>
      <c r="G70" s="10" t="s">
        <v>10</v>
      </c>
      <c r="H70" s="11">
        <v>1605</v>
      </c>
    </row>
    <row r="71" spans="1:8" ht="20.100000000000001" customHeight="1" x14ac:dyDescent="0.25">
      <c r="A71" s="74"/>
      <c r="B71" s="2">
        <v>45821</v>
      </c>
      <c r="C71" s="3">
        <v>2293384205</v>
      </c>
      <c r="D71" s="3">
        <v>1</v>
      </c>
      <c r="E71" s="4" t="s">
        <v>709</v>
      </c>
      <c r="F71" s="19" t="s">
        <v>73</v>
      </c>
      <c r="G71" s="10" t="s">
        <v>7</v>
      </c>
      <c r="H71" s="11">
        <v>535</v>
      </c>
    </row>
    <row r="72" spans="1:8" ht="20.100000000000001" customHeight="1" x14ac:dyDescent="0.25">
      <c r="A72" s="74"/>
      <c r="B72" s="2">
        <v>45821</v>
      </c>
      <c r="C72" s="3">
        <v>800802186</v>
      </c>
      <c r="D72" s="3">
        <v>3</v>
      </c>
      <c r="E72" s="4" t="s">
        <v>687</v>
      </c>
      <c r="F72" s="19" t="s">
        <v>73</v>
      </c>
      <c r="G72" s="10" t="s">
        <v>7</v>
      </c>
      <c r="H72" s="11">
        <v>1605</v>
      </c>
    </row>
    <row r="73" spans="1:8" ht="20.100000000000001" customHeight="1" x14ac:dyDescent="0.25">
      <c r="A73" s="74"/>
      <c r="B73" s="2">
        <v>45824</v>
      </c>
      <c r="C73" s="3">
        <v>237325930</v>
      </c>
      <c r="D73" s="3">
        <v>1</v>
      </c>
      <c r="E73" s="4" t="s">
        <v>202</v>
      </c>
      <c r="F73" s="19" t="s">
        <v>73</v>
      </c>
      <c r="G73" s="10" t="s">
        <v>6</v>
      </c>
      <c r="H73" s="11">
        <v>535</v>
      </c>
    </row>
    <row r="74" spans="1:8" ht="20.100000000000001" customHeight="1" x14ac:dyDescent="0.25">
      <c r="A74" s="74"/>
      <c r="B74" s="2">
        <v>45824</v>
      </c>
      <c r="C74" s="3">
        <v>3012841066</v>
      </c>
      <c r="D74" s="3">
        <v>1</v>
      </c>
      <c r="E74" s="4" t="s">
        <v>609</v>
      </c>
      <c r="F74" s="19" t="s">
        <v>73</v>
      </c>
      <c r="G74" s="10" t="s">
        <v>6</v>
      </c>
      <c r="H74" s="11">
        <v>535</v>
      </c>
    </row>
    <row r="75" spans="1:8" ht="20.100000000000001" customHeight="1" x14ac:dyDescent="0.25">
      <c r="A75" s="74"/>
      <c r="B75" s="2">
        <v>45826</v>
      </c>
      <c r="C75" s="3">
        <v>1693859939</v>
      </c>
      <c r="D75" s="3">
        <v>3</v>
      </c>
      <c r="E75" s="4" t="s">
        <v>626</v>
      </c>
      <c r="F75" s="19" t="s">
        <v>73</v>
      </c>
      <c r="G75" s="10" t="s">
        <v>11</v>
      </c>
      <c r="H75" s="11">
        <v>1605</v>
      </c>
    </row>
    <row r="76" spans="1:8" ht="20.100000000000001" customHeight="1" x14ac:dyDescent="0.25">
      <c r="A76" s="74"/>
      <c r="B76" s="2">
        <v>45826</v>
      </c>
      <c r="C76" s="3">
        <v>2135641464</v>
      </c>
      <c r="D76" s="3">
        <v>1</v>
      </c>
      <c r="E76" s="4" t="s">
        <v>710</v>
      </c>
      <c r="F76" s="19" t="s">
        <v>73</v>
      </c>
      <c r="G76" s="10" t="s">
        <v>10</v>
      </c>
      <c r="H76" s="11">
        <v>535</v>
      </c>
    </row>
    <row r="77" spans="1:8" ht="20.100000000000001" customHeight="1" x14ac:dyDescent="0.25">
      <c r="A77" s="74"/>
      <c r="B77" s="2">
        <v>45827</v>
      </c>
      <c r="C77" s="3">
        <v>742933433</v>
      </c>
      <c r="D77" s="3">
        <v>6</v>
      </c>
      <c r="E77" s="4" t="s">
        <v>711</v>
      </c>
      <c r="F77" s="19" t="s">
        <v>73</v>
      </c>
      <c r="G77" s="10" t="s">
        <v>7</v>
      </c>
      <c r="H77" s="11">
        <v>3210</v>
      </c>
    </row>
    <row r="78" spans="1:8" ht="20.100000000000001" customHeight="1" x14ac:dyDescent="0.25">
      <c r="A78" s="74"/>
      <c r="B78" s="2">
        <v>45835</v>
      </c>
      <c r="C78" s="3">
        <v>3581757804</v>
      </c>
      <c r="D78" s="3">
        <v>3</v>
      </c>
      <c r="E78" s="4" t="s">
        <v>689</v>
      </c>
      <c r="F78" s="19" t="s">
        <v>73</v>
      </c>
      <c r="G78" s="10" t="s">
        <v>19</v>
      </c>
      <c r="H78" s="11">
        <v>1605</v>
      </c>
    </row>
    <row r="79" spans="1:8" ht="20.100000000000001" customHeight="1" x14ac:dyDescent="0.25">
      <c r="A79" s="74"/>
      <c r="B79" s="2">
        <v>45839</v>
      </c>
      <c r="C79" s="3">
        <v>308887955</v>
      </c>
      <c r="D79" s="3">
        <v>2</v>
      </c>
      <c r="E79" s="4" t="s">
        <v>734</v>
      </c>
      <c r="F79" s="19" t="s">
        <v>73</v>
      </c>
      <c r="G79" s="10" t="s">
        <v>7</v>
      </c>
      <c r="H79" s="11">
        <v>1070</v>
      </c>
    </row>
    <row r="80" spans="1:8" ht="20.100000000000001" customHeight="1" x14ac:dyDescent="0.25">
      <c r="A80" s="74"/>
      <c r="B80" s="2">
        <v>45845</v>
      </c>
      <c r="C80" s="3">
        <v>4149300732</v>
      </c>
      <c r="D80" s="3">
        <v>6</v>
      </c>
      <c r="E80" s="4" t="s">
        <v>812</v>
      </c>
      <c r="F80" s="19" t="s">
        <v>73</v>
      </c>
      <c r="G80" s="10" t="s">
        <v>7</v>
      </c>
      <c r="H80" s="11">
        <v>3210</v>
      </c>
    </row>
    <row r="81" spans="1:8" ht="20.100000000000001" customHeight="1" x14ac:dyDescent="0.25">
      <c r="A81" s="74"/>
      <c r="B81" s="2">
        <v>45845</v>
      </c>
      <c r="C81" s="3">
        <v>3569830638</v>
      </c>
      <c r="D81" s="3">
        <v>3</v>
      </c>
      <c r="E81" s="4" t="s">
        <v>801</v>
      </c>
      <c r="F81" s="19" t="s">
        <v>73</v>
      </c>
      <c r="G81" s="10" t="s">
        <v>19</v>
      </c>
      <c r="H81" s="11">
        <v>1605</v>
      </c>
    </row>
    <row r="82" spans="1:8" ht="20.100000000000001" customHeight="1" x14ac:dyDescent="0.25">
      <c r="A82" s="74"/>
      <c r="B82" s="2">
        <v>45846</v>
      </c>
      <c r="C82" s="3">
        <v>2690008500</v>
      </c>
      <c r="D82" s="3">
        <v>1</v>
      </c>
      <c r="E82" s="4" t="s">
        <v>477</v>
      </c>
      <c r="F82" s="19" t="s">
        <v>73</v>
      </c>
      <c r="G82" s="10" t="s">
        <v>6</v>
      </c>
      <c r="H82" s="11">
        <v>535</v>
      </c>
    </row>
    <row r="83" spans="1:8" ht="20.100000000000001" customHeight="1" x14ac:dyDescent="0.25">
      <c r="A83" s="74"/>
      <c r="B83" s="2">
        <v>45847</v>
      </c>
      <c r="C83" s="3">
        <v>1183141224</v>
      </c>
      <c r="D83" s="3">
        <v>3</v>
      </c>
      <c r="E83" s="4" t="s">
        <v>188</v>
      </c>
      <c r="F83" s="19" t="s">
        <v>73</v>
      </c>
      <c r="G83" s="10" t="s">
        <v>19</v>
      </c>
      <c r="H83" s="11">
        <v>1465.9998000000001</v>
      </c>
    </row>
    <row r="84" spans="1:8" ht="20.100000000000001" customHeight="1" x14ac:dyDescent="0.25">
      <c r="A84" s="74"/>
      <c r="B84" s="2">
        <v>45852</v>
      </c>
      <c r="C84" s="3">
        <v>2002862329</v>
      </c>
      <c r="D84" s="3">
        <v>1</v>
      </c>
      <c r="E84" s="4" t="s">
        <v>105</v>
      </c>
      <c r="F84" s="19" t="s">
        <v>73</v>
      </c>
      <c r="G84" s="10" t="s">
        <v>13</v>
      </c>
      <c r="H84" s="11">
        <v>376</v>
      </c>
    </row>
    <row r="85" spans="1:8" ht="20.100000000000001" customHeight="1" x14ac:dyDescent="0.25">
      <c r="A85" s="74"/>
      <c r="B85" s="2">
        <v>45876</v>
      </c>
      <c r="C85" s="3">
        <v>903499531</v>
      </c>
      <c r="D85" s="3">
        <v>1</v>
      </c>
      <c r="E85" s="4" t="s">
        <v>881</v>
      </c>
      <c r="F85" s="4" t="s">
        <v>73</v>
      </c>
      <c r="G85" s="5" t="s">
        <v>6</v>
      </c>
      <c r="H85" s="6">
        <v>535</v>
      </c>
    </row>
    <row r="86" spans="1:8" ht="20.100000000000001" customHeight="1" x14ac:dyDescent="0.25">
      <c r="A86" s="74"/>
      <c r="B86" s="2">
        <v>45876</v>
      </c>
      <c r="C86" s="3">
        <v>3580182941</v>
      </c>
      <c r="D86" s="3">
        <v>3</v>
      </c>
      <c r="E86" s="4" t="s">
        <v>915</v>
      </c>
      <c r="F86" s="4" t="s">
        <v>73</v>
      </c>
      <c r="G86" s="5" t="s">
        <v>10</v>
      </c>
      <c r="H86" s="6">
        <v>1605</v>
      </c>
    </row>
    <row r="87" spans="1:8" ht="20.100000000000001" customHeight="1" x14ac:dyDescent="0.25">
      <c r="A87" s="74"/>
      <c r="B87" s="2">
        <v>45877</v>
      </c>
      <c r="C87" s="3">
        <v>945244934</v>
      </c>
      <c r="D87" s="3">
        <v>1</v>
      </c>
      <c r="E87" s="4" t="s">
        <v>739</v>
      </c>
      <c r="F87" s="4" t="s">
        <v>73</v>
      </c>
      <c r="G87" s="5" t="s">
        <v>6</v>
      </c>
      <c r="H87" s="6">
        <v>535</v>
      </c>
    </row>
    <row r="88" spans="1:8" ht="20.100000000000001" customHeight="1" x14ac:dyDescent="0.25">
      <c r="A88" s="74"/>
      <c r="B88" s="2">
        <v>45877</v>
      </c>
      <c r="C88" s="3">
        <v>3718138161</v>
      </c>
      <c r="D88" s="3">
        <v>1</v>
      </c>
      <c r="E88" s="4" t="s">
        <v>921</v>
      </c>
      <c r="F88" s="4" t="s">
        <v>73</v>
      </c>
      <c r="G88" s="5" t="s">
        <v>6</v>
      </c>
      <c r="H88" s="6">
        <v>535</v>
      </c>
    </row>
    <row r="89" spans="1:8" ht="20.100000000000001" customHeight="1" x14ac:dyDescent="0.25">
      <c r="A89" s="74"/>
      <c r="B89" s="2">
        <v>45882</v>
      </c>
      <c r="C89" s="3">
        <v>3177464787</v>
      </c>
      <c r="D89" s="3">
        <v>3</v>
      </c>
      <c r="E89" s="4" t="s">
        <v>746</v>
      </c>
      <c r="F89" s="4" t="s">
        <v>73</v>
      </c>
      <c r="G89" s="5" t="s">
        <v>19</v>
      </c>
      <c r="H89" s="6">
        <v>1605</v>
      </c>
    </row>
    <row r="90" spans="1:8" ht="20.100000000000001" customHeight="1" x14ac:dyDescent="0.25">
      <c r="A90" s="74"/>
      <c r="B90" s="2">
        <v>45887</v>
      </c>
      <c r="C90" s="3">
        <v>3347991609</v>
      </c>
      <c r="D90" s="3">
        <v>1</v>
      </c>
      <c r="E90" s="4" t="s">
        <v>407</v>
      </c>
      <c r="F90" s="4" t="s">
        <v>73</v>
      </c>
      <c r="G90" s="5" t="s">
        <v>13</v>
      </c>
      <c r="H90" s="6">
        <v>376</v>
      </c>
    </row>
    <row r="91" spans="1:8" ht="20.100000000000001" customHeight="1" x14ac:dyDescent="0.25">
      <c r="A91" s="74"/>
      <c r="B91" s="2">
        <v>45888</v>
      </c>
      <c r="C91" s="3">
        <v>3366079159</v>
      </c>
      <c r="D91" s="3">
        <v>3</v>
      </c>
      <c r="E91" s="4" t="s">
        <v>858</v>
      </c>
      <c r="F91" s="4" t="s">
        <v>73</v>
      </c>
      <c r="G91" s="5" t="s">
        <v>6</v>
      </c>
      <c r="H91" s="6">
        <v>1605</v>
      </c>
    </row>
    <row r="92" spans="1:8" ht="20.100000000000001" customHeight="1" x14ac:dyDescent="0.25">
      <c r="A92" s="74"/>
      <c r="B92" s="2">
        <v>45889</v>
      </c>
      <c r="C92" s="3">
        <v>386613430</v>
      </c>
      <c r="D92" s="3">
        <v>3</v>
      </c>
      <c r="E92" s="4" t="s">
        <v>313</v>
      </c>
      <c r="F92" s="4" t="s">
        <v>73</v>
      </c>
      <c r="G92" s="5" t="s">
        <v>6</v>
      </c>
      <c r="H92" s="6">
        <v>1605</v>
      </c>
    </row>
    <row r="93" spans="1:8" ht="20.100000000000001" customHeight="1" x14ac:dyDescent="0.25">
      <c r="A93" s="74"/>
      <c r="B93" s="2">
        <v>45889</v>
      </c>
      <c r="C93" s="3">
        <v>3206629173</v>
      </c>
      <c r="D93" s="3">
        <v>3</v>
      </c>
      <c r="E93" s="4" t="s">
        <v>917</v>
      </c>
      <c r="F93" s="4" t="s">
        <v>73</v>
      </c>
      <c r="G93" s="5" t="s">
        <v>7</v>
      </c>
      <c r="H93" s="6">
        <v>1605</v>
      </c>
    </row>
    <row r="94" spans="1:8" ht="20.100000000000001" customHeight="1" x14ac:dyDescent="0.25">
      <c r="A94" s="74"/>
      <c r="B94" s="2">
        <v>45890</v>
      </c>
      <c r="C94" s="3">
        <v>473514086</v>
      </c>
      <c r="D94" s="3">
        <v>3</v>
      </c>
      <c r="E94" s="4" t="s">
        <v>927</v>
      </c>
      <c r="F94" s="4" t="s">
        <v>73</v>
      </c>
      <c r="G94" s="5" t="s">
        <v>7</v>
      </c>
      <c r="H94" s="6">
        <v>1605</v>
      </c>
    </row>
    <row r="95" spans="1:8" ht="20.100000000000001" customHeight="1" x14ac:dyDescent="0.25">
      <c r="A95" s="74"/>
      <c r="B95" s="2">
        <v>45895</v>
      </c>
      <c r="C95" s="3">
        <v>1595231259</v>
      </c>
      <c r="D95" s="3">
        <v>2</v>
      </c>
      <c r="E95" s="4" t="s">
        <v>927</v>
      </c>
      <c r="F95" s="4" t="s">
        <v>73</v>
      </c>
      <c r="G95" s="5" t="s">
        <v>19</v>
      </c>
      <c r="H95" s="6">
        <v>1070</v>
      </c>
    </row>
    <row r="96" spans="1:8" ht="20.100000000000001" customHeight="1" x14ac:dyDescent="0.25">
      <c r="A96" s="74"/>
      <c r="B96" s="2">
        <v>45896</v>
      </c>
      <c r="C96" s="3">
        <v>3272952083</v>
      </c>
      <c r="D96" s="3">
        <v>1</v>
      </c>
      <c r="E96" s="4" t="s">
        <v>920</v>
      </c>
      <c r="F96" s="4" t="s">
        <v>73</v>
      </c>
      <c r="G96" s="5" t="s">
        <v>7</v>
      </c>
      <c r="H96" s="6">
        <v>535</v>
      </c>
    </row>
    <row r="97" spans="1:8" ht="20.100000000000001" customHeight="1" x14ac:dyDescent="0.25">
      <c r="A97" s="74"/>
      <c r="B97" s="2">
        <v>45901</v>
      </c>
      <c r="C97" s="3">
        <v>4037493619</v>
      </c>
      <c r="D97" s="3">
        <v>1</v>
      </c>
      <c r="E97" s="4" t="s">
        <v>1001</v>
      </c>
      <c r="F97" s="4" t="s">
        <v>73</v>
      </c>
      <c r="G97" s="5" t="s">
        <v>6</v>
      </c>
      <c r="H97" s="6">
        <v>535</v>
      </c>
    </row>
    <row r="98" spans="1:8" ht="20.100000000000001" customHeight="1" x14ac:dyDescent="0.25">
      <c r="A98" s="74"/>
      <c r="B98" s="2">
        <v>45902</v>
      </c>
      <c r="C98" s="3">
        <v>2152352608</v>
      </c>
      <c r="D98" s="3">
        <v>3</v>
      </c>
      <c r="E98" s="4" t="s">
        <v>996</v>
      </c>
      <c r="F98" s="4" t="s">
        <v>73</v>
      </c>
      <c r="G98" s="5" t="s">
        <v>7</v>
      </c>
      <c r="H98" s="6">
        <v>1605</v>
      </c>
    </row>
    <row r="99" spans="1:8" ht="20.100000000000001" customHeight="1" x14ac:dyDescent="0.25">
      <c r="A99" s="74"/>
      <c r="B99" s="2">
        <v>45903</v>
      </c>
      <c r="C99" s="3">
        <v>3636152309</v>
      </c>
      <c r="D99" s="3">
        <v>1</v>
      </c>
      <c r="E99" s="4" t="s">
        <v>1002</v>
      </c>
      <c r="F99" s="4" t="s">
        <v>73</v>
      </c>
      <c r="G99" s="5" t="s">
        <v>7</v>
      </c>
      <c r="H99" s="6">
        <v>535</v>
      </c>
    </row>
    <row r="100" spans="1:8" ht="20.100000000000001" customHeight="1" x14ac:dyDescent="0.25">
      <c r="A100" s="74"/>
      <c r="B100" s="2">
        <v>45904</v>
      </c>
      <c r="C100" s="3">
        <v>2165326716</v>
      </c>
      <c r="D100" s="3">
        <v>3</v>
      </c>
      <c r="E100" s="4" t="s">
        <v>951</v>
      </c>
      <c r="F100" s="4" t="s">
        <v>73</v>
      </c>
      <c r="G100" s="5" t="s">
        <v>19</v>
      </c>
      <c r="H100" s="6">
        <v>1605</v>
      </c>
    </row>
    <row r="101" spans="1:8" ht="20.100000000000001" customHeight="1" x14ac:dyDescent="0.25">
      <c r="A101" s="74"/>
      <c r="B101" s="2">
        <v>45912</v>
      </c>
      <c r="C101" s="3">
        <v>2037335700</v>
      </c>
      <c r="D101" s="3">
        <v>3</v>
      </c>
      <c r="E101" s="4" t="s">
        <v>953</v>
      </c>
      <c r="F101" s="4" t="s">
        <v>73</v>
      </c>
      <c r="G101" s="5" t="s">
        <v>7</v>
      </c>
      <c r="H101" s="6">
        <v>1605</v>
      </c>
    </row>
    <row r="102" spans="1:8" ht="20.100000000000001" customHeight="1" x14ac:dyDescent="0.25">
      <c r="A102" s="74"/>
      <c r="B102" s="2">
        <v>45912</v>
      </c>
      <c r="C102" s="3">
        <v>2574010395</v>
      </c>
      <c r="D102" s="3">
        <v>3</v>
      </c>
      <c r="E102" s="4" t="s">
        <v>957</v>
      </c>
      <c r="F102" s="4" t="s">
        <v>73</v>
      </c>
      <c r="G102" s="5" t="s">
        <v>7</v>
      </c>
      <c r="H102" s="6">
        <v>1605</v>
      </c>
    </row>
    <row r="103" spans="1:8" ht="20.100000000000001" customHeight="1" x14ac:dyDescent="0.25">
      <c r="A103" s="74"/>
      <c r="B103" s="2">
        <v>45923</v>
      </c>
      <c r="C103" s="3">
        <v>3060485992</v>
      </c>
      <c r="D103" s="3">
        <v>3</v>
      </c>
      <c r="E103" s="4" t="s">
        <v>989</v>
      </c>
      <c r="F103" s="4" t="s">
        <v>73</v>
      </c>
      <c r="G103" s="5" t="s">
        <v>7</v>
      </c>
      <c r="H103" s="6">
        <v>1605</v>
      </c>
    </row>
    <row r="104" spans="1:8" ht="20.100000000000001" customHeight="1" x14ac:dyDescent="0.25">
      <c r="A104" s="74"/>
      <c r="B104" s="2">
        <v>45929</v>
      </c>
      <c r="C104" s="3">
        <v>19220751</v>
      </c>
      <c r="D104" s="3">
        <v>1</v>
      </c>
      <c r="E104" s="4" t="s">
        <v>1003</v>
      </c>
      <c r="F104" s="4" t="s">
        <v>73</v>
      </c>
      <c r="G104" s="5" t="s">
        <v>6</v>
      </c>
      <c r="H104" s="6">
        <v>535</v>
      </c>
    </row>
    <row r="105" spans="1:8" ht="20.100000000000001" customHeight="1" x14ac:dyDescent="0.25">
      <c r="A105" s="74"/>
      <c r="B105" s="2">
        <v>45929</v>
      </c>
      <c r="C105" s="3">
        <v>2625326285</v>
      </c>
      <c r="D105" s="3">
        <v>3</v>
      </c>
      <c r="E105" s="4" t="s">
        <v>256</v>
      </c>
      <c r="F105" s="4" t="s">
        <v>73</v>
      </c>
      <c r="G105" s="5" t="s">
        <v>7</v>
      </c>
      <c r="H105" s="6">
        <v>1605</v>
      </c>
    </row>
    <row r="106" spans="1:8" ht="20.100000000000001" customHeight="1" x14ac:dyDescent="0.25">
      <c r="A106" s="74"/>
      <c r="B106" s="2">
        <v>45929</v>
      </c>
      <c r="C106" s="3">
        <v>3715976598</v>
      </c>
      <c r="D106" s="3">
        <v>1</v>
      </c>
      <c r="E106" s="4" t="s">
        <v>105</v>
      </c>
      <c r="F106" s="4" t="s">
        <v>73</v>
      </c>
      <c r="G106" s="5" t="s">
        <v>13</v>
      </c>
      <c r="H106" s="6">
        <v>376</v>
      </c>
    </row>
    <row r="107" spans="1:8" ht="20.100000000000001" customHeight="1" x14ac:dyDescent="0.25">
      <c r="A107" s="74"/>
      <c r="B107" s="47">
        <v>45931</v>
      </c>
      <c r="C107" s="48">
        <v>1652703921</v>
      </c>
      <c r="D107" s="3">
        <v>1</v>
      </c>
      <c r="E107" s="28" t="s">
        <v>1067</v>
      </c>
      <c r="F107" s="28" t="s">
        <v>73</v>
      </c>
      <c r="G107" s="49" t="s">
        <v>6</v>
      </c>
      <c r="H107" s="6">
        <v>535</v>
      </c>
    </row>
    <row r="108" spans="1:8" ht="20.100000000000001" customHeight="1" x14ac:dyDescent="0.25">
      <c r="A108" s="74"/>
      <c r="B108" s="47">
        <v>45931</v>
      </c>
      <c r="C108" s="48">
        <v>3529982003</v>
      </c>
      <c r="D108" s="3">
        <v>3</v>
      </c>
      <c r="E108" s="28" t="s">
        <v>610</v>
      </c>
      <c r="F108" s="28" t="s">
        <v>73</v>
      </c>
      <c r="G108" s="49" t="s">
        <v>6</v>
      </c>
      <c r="H108" s="6">
        <v>1605</v>
      </c>
    </row>
    <row r="109" spans="1:8" ht="20.100000000000001" customHeight="1" x14ac:dyDescent="0.25">
      <c r="A109" s="74"/>
      <c r="B109" s="47">
        <v>45938</v>
      </c>
      <c r="C109" s="48">
        <v>2529512201</v>
      </c>
      <c r="D109" s="3">
        <v>1</v>
      </c>
      <c r="E109" s="28" t="s">
        <v>241</v>
      </c>
      <c r="F109" s="28" t="s">
        <v>73</v>
      </c>
      <c r="G109" s="49" t="s">
        <v>7</v>
      </c>
      <c r="H109" s="6">
        <v>535</v>
      </c>
    </row>
    <row r="110" spans="1:8" ht="20.100000000000001" customHeight="1" x14ac:dyDescent="0.25">
      <c r="A110" s="74"/>
      <c r="B110" s="47">
        <v>45946</v>
      </c>
      <c r="C110" s="48">
        <v>3771289523</v>
      </c>
      <c r="D110" s="3">
        <v>1</v>
      </c>
      <c r="E110" s="28" t="s">
        <v>791</v>
      </c>
      <c r="F110" s="28" t="s">
        <v>73</v>
      </c>
      <c r="G110" s="49" t="s">
        <v>6</v>
      </c>
      <c r="H110" s="6">
        <v>535</v>
      </c>
    </row>
    <row r="111" spans="1:8" ht="20.100000000000001" customHeight="1" x14ac:dyDescent="0.25">
      <c r="A111" s="74"/>
      <c r="B111" s="47">
        <v>45947</v>
      </c>
      <c r="C111" s="48">
        <v>2671395002</v>
      </c>
      <c r="D111" s="3">
        <v>1</v>
      </c>
      <c r="E111" s="28" t="s">
        <v>112</v>
      </c>
      <c r="F111" s="28" t="s">
        <v>73</v>
      </c>
      <c r="G111" s="49" t="s">
        <v>19</v>
      </c>
      <c r="H111" s="6">
        <v>535</v>
      </c>
    </row>
    <row r="112" spans="1:8" ht="20.100000000000001" customHeight="1" x14ac:dyDescent="0.25">
      <c r="A112" s="74"/>
      <c r="B112" s="47">
        <v>45951</v>
      </c>
      <c r="C112" s="48">
        <v>3502525687</v>
      </c>
      <c r="D112" s="3">
        <v>1</v>
      </c>
      <c r="E112" s="28" t="s">
        <v>1068</v>
      </c>
      <c r="F112" s="28" t="s">
        <v>73</v>
      </c>
      <c r="G112" s="49" t="s">
        <v>19</v>
      </c>
      <c r="H112" s="6">
        <v>535</v>
      </c>
    </row>
    <row r="113" spans="1:8" ht="20.100000000000001" customHeight="1" x14ac:dyDescent="0.25">
      <c r="A113" s="74"/>
      <c r="B113" s="47">
        <v>45952</v>
      </c>
      <c r="C113" s="48">
        <v>3672591220</v>
      </c>
      <c r="D113" s="3">
        <v>1</v>
      </c>
      <c r="E113" s="28" t="s">
        <v>122</v>
      </c>
      <c r="F113" s="28" t="s">
        <v>73</v>
      </c>
      <c r="G113" s="49" t="s">
        <v>11</v>
      </c>
      <c r="H113" s="6">
        <v>535</v>
      </c>
    </row>
    <row r="114" spans="1:8" ht="20.100000000000001" customHeight="1" x14ac:dyDescent="0.25">
      <c r="A114" s="74"/>
      <c r="B114" s="47">
        <v>45953</v>
      </c>
      <c r="C114" s="48">
        <v>1261260486</v>
      </c>
      <c r="D114" s="3">
        <v>1</v>
      </c>
      <c r="E114" s="28" t="s">
        <v>1040</v>
      </c>
      <c r="F114" s="28" t="s">
        <v>73</v>
      </c>
      <c r="G114" s="49" t="s">
        <v>7</v>
      </c>
      <c r="H114" s="6">
        <v>535</v>
      </c>
    </row>
    <row r="115" spans="1:8" ht="20.100000000000001" customHeight="1" x14ac:dyDescent="0.25">
      <c r="A115" s="74"/>
      <c r="B115" s="47">
        <v>45954</v>
      </c>
      <c r="C115" s="48">
        <v>1512785077</v>
      </c>
      <c r="D115" s="3">
        <v>3</v>
      </c>
      <c r="E115" s="28" t="s">
        <v>1063</v>
      </c>
      <c r="F115" s="28" t="s">
        <v>73</v>
      </c>
      <c r="G115" s="49" t="s">
        <v>19</v>
      </c>
      <c r="H115" s="6">
        <v>1605</v>
      </c>
    </row>
    <row r="116" spans="1:8" ht="20.100000000000001" customHeight="1" x14ac:dyDescent="0.25">
      <c r="A116" s="74"/>
      <c r="B116" s="47">
        <v>45957</v>
      </c>
      <c r="C116" s="48">
        <v>1133528486</v>
      </c>
      <c r="D116" s="3">
        <v>3</v>
      </c>
      <c r="E116" s="28" t="s">
        <v>1058</v>
      </c>
      <c r="F116" s="28" t="s">
        <v>73</v>
      </c>
      <c r="G116" s="49" t="s">
        <v>7</v>
      </c>
      <c r="H116" s="6">
        <v>1605</v>
      </c>
    </row>
    <row r="117" spans="1:8" ht="20.100000000000001" customHeight="1" x14ac:dyDescent="0.25">
      <c r="A117" s="74"/>
      <c r="B117" s="47">
        <v>45958</v>
      </c>
      <c r="C117" s="48">
        <v>1587758556</v>
      </c>
      <c r="D117" s="3">
        <v>1</v>
      </c>
      <c r="E117" s="28" t="s">
        <v>1069</v>
      </c>
      <c r="F117" s="28" t="s">
        <v>73</v>
      </c>
      <c r="G117" s="49" t="s">
        <v>6</v>
      </c>
      <c r="H117" s="6">
        <v>535</v>
      </c>
    </row>
    <row r="118" spans="1:8" ht="20.100000000000001" customHeight="1" x14ac:dyDescent="0.25">
      <c r="A118" s="74"/>
      <c r="B118" s="47">
        <v>45958</v>
      </c>
      <c r="C118" s="48">
        <v>2883145469</v>
      </c>
      <c r="D118" s="3">
        <v>3</v>
      </c>
      <c r="E118" s="28" t="s">
        <v>1064</v>
      </c>
      <c r="F118" s="28" t="s">
        <v>73</v>
      </c>
      <c r="G118" s="49" t="s">
        <v>7</v>
      </c>
      <c r="H118" s="6">
        <v>1605</v>
      </c>
    </row>
    <row r="119" spans="1:8" ht="20.100000000000001" customHeight="1" x14ac:dyDescent="0.25">
      <c r="A119" s="74"/>
      <c r="B119" s="47">
        <v>45959</v>
      </c>
      <c r="C119" s="48">
        <v>408437182</v>
      </c>
      <c r="D119" s="3">
        <v>3</v>
      </c>
      <c r="E119" s="28" t="s">
        <v>241</v>
      </c>
      <c r="F119" s="28" t="s">
        <v>73</v>
      </c>
      <c r="G119" s="49" t="s">
        <v>10</v>
      </c>
      <c r="H119" s="6">
        <v>1605</v>
      </c>
    </row>
    <row r="120" spans="1:8" ht="20.100000000000001" customHeight="1" x14ac:dyDescent="0.25">
      <c r="A120" s="74"/>
      <c r="B120" s="47">
        <v>45960</v>
      </c>
      <c r="C120" s="48">
        <v>2313177587</v>
      </c>
      <c r="D120" s="3">
        <v>1</v>
      </c>
      <c r="E120" s="28" t="s">
        <v>188</v>
      </c>
      <c r="F120" s="28" t="s">
        <v>73</v>
      </c>
      <c r="G120" s="49" t="s">
        <v>6</v>
      </c>
      <c r="H120" s="6">
        <v>535</v>
      </c>
    </row>
    <row r="121" spans="1:8" ht="20.100000000000001" customHeight="1" x14ac:dyDescent="0.25">
      <c r="A121" s="74"/>
      <c r="B121" s="47">
        <v>45964</v>
      </c>
      <c r="C121" s="48">
        <v>1311719497</v>
      </c>
      <c r="D121" s="3">
        <v>1</v>
      </c>
      <c r="E121" s="28" t="s">
        <v>407</v>
      </c>
      <c r="F121" s="28" t="s">
        <v>1152</v>
      </c>
      <c r="G121" s="49" t="s">
        <v>13</v>
      </c>
      <c r="H121" s="6">
        <v>376</v>
      </c>
    </row>
    <row r="122" spans="1:8" ht="20.100000000000001" customHeight="1" x14ac:dyDescent="0.25">
      <c r="A122" s="74"/>
      <c r="B122" s="47">
        <v>45973</v>
      </c>
      <c r="C122" s="48">
        <v>3832368173</v>
      </c>
      <c r="D122" s="3">
        <v>3</v>
      </c>
      <c r="E122" s="28" t="s">
        <v>867</v>
      </c>
      <c r="F122" s="28" t="s">
        <v>73</v>
      </c>
      <c r="G122" s="49" t="s">
        <v>19</v>
      </c>
      <c r="H122" s="6">
        <v>1605</v>
      </c>
    </row>
    <row r="123" spans="1:8" ht="20.100000000000001" customHeight="1" x14ac:dyDescent="0.25">
      <c r="A123" s="74"/>
      <c r="B123" s="47">
        <v>45975</v>
      </c>
      <c r="C123" s="48">
        <v>2217492521</v>
      </c>
      <c r="D123" s="3">
        <v>1</v>
      </c>
      <c r="E123" s="28" t="s">
        <v>572</v>
      </c>
      <c r="F123" s="28" t="s">
        <v>73</v>
      </c>
      <c r="G123" s="49" t="s">
        <v>6</v>
      </c>
      <c r="H123" s="6">
        <v>535</v>
      </c>
    </row>
    <row r="124" spans="1:8" ht="20.100000000000001" customHeight="1" x14ac:dyDescent="0.25">
      <c r="A124" s="74"/>
      <c r="B124" s="47">
        <v>45981</v>
      </c>
      <c r="C124" s="48">
        <v>2707572645</v>
      </c>
      <c r="D124" s="3">
        <v>2</v>
      </c>
      <c r="E124" s="28" t="s">
        <v>1153</v>
      </c>
      <c r="F124" s="28" t="s">
        <v>73</v>
      </c>
      <c r="G124" s="49" t="s">
        <v>7</v>
      </c>
      <c r="H124" s="6">
        <v>1070</v>
      </c>
    </row>
    <row r="125" spans="1:8" ht="20.100000000000001" customHeight="1" x14ac:dyDescent="0.25">
      <c r="A125" s="74"/>
      <c r="B125" s="47">
        <v>45981</v>
      </c>
      <c r="C125" s="48">
        <v>675236620</v>
      </c>
      <c r="D125" s="3">
        <v>1</v>
      </c>
      <c r="E125" s="28" t="s">
        <v>689</v>
      </c>
      <c r="F125" s="28" t="s">
        <v>73</v>
      </c>
      <c r="G125" s="49" t="s">
        <v>7</v>
      </c>
      <c r="H125" s="6">
        <v>535</v>
      </c>
    </row>
    <row r="126" spans="1:8" ht="20.100000000000001" customHeight="1" x14ac:dyDescent="0.25">
      <c r="A126" s="74"/>
      <c r="B126" s="47">
        <v>45981</v>
      </c>
      <c r="C126" s="48">
        <v>1420183033</v>
      </c>
      <c r="D126" s="3">
        <v>3</v>
      </c>
      <c r="E126" s="28" t="s">
        <v>316</v>
      </c>
      <c r="F126" s="28" t="s">
        <v>73</v>
      </c>
      <c r="G126" s="49" t="s">
        <v>6</v>
      </c>
      <c r="H126" s="6">
        <v>1605</v>
      </c>
    </row>
    <row r="127" spans="1:8" ht="20.100000000000001" customHeight="1" x14ac:dyDescent="0.25">
      <c r="A127" s="74"/>
      <c r="B127" s="47">
        <v>45986</v>
      </c>
      <c r="C127" s="48">
        <v>2540980188</v>
      </c>
      <c r="D127" s="3">
        <v>3</v>
      </c>
      <c r="E127" s="28" t="s">
        <v>1061</v>
      </c>
      <c r="F127" s="28" t="s">
        <v>1152</v>
      </c>
      <c r="G127" s="49" t="s">
        <v>7</v>
      </c>
      <c r="H127" s="6">
        <v>1605</v>
      </c>
    </row>
    <row r="128" spans="1:8" ht="20.100000000000001" customHeight="1" x14ac:dyDescent="0.25">
      <c r="A128" s="74"/>
      <c r="B128" s="47">
        <v>45987</v>
      </c>
      <c r="C128" s="48">
        <v>3912385423</v>
      </c>
      <c r="D128" s="3">
        <v>1</v>
      </c>
      <c r="E128" s="28" t="s">
        <v>122</v>
      </c>
      <c r="F128" s="28" t="s">
        <v>73</v>
      </c>
      <c r="G128" s="49" t="s">
        <v>11</v>
      </c>
      <c r="H128" s="6">
        <v>535</v>
      </c>
    </row>
    <row r="129" spans="1:8" ht="20.100000000000001" customHeight="1" x14ac:dyDescent="0.25">
      <c r="A129" s="74"/>
      <c r="B129" s="47">
        <v>45989</v>
      </c>
      <c r="C129" s="48">
        <v>1864388084</v>
      </c>
      <c r="D129" s="3">
        <v>3</v>
      </c>
      <c r="E129" s="28" t="s">
        <v>1154</v>
      </c>
      <c r="F129" s="28" t="s">
        <v>73</v>
      </c>
      <c r="G129" s="49" t="s">
        <v>10</v>
      </c>
      <c r="H129" s="6">
        <v>1605</v>
      </c>
    </row>
    <row r="130" spans="1:8" ht="20.100000000000001" customHeight="1" x14ac:dyDescent="0.25">
      <c r="A130" s="74"/>
      <c r="B130" s="47">
        <v>45992</v>
      </c>
      <c r="C130" s="48">
        <v>8077757</v>
      </c>
      <c r="D130" s="3">
        <v>3</v>
      </c>
      <c r="E130" s="28" t="s">
        <v>1053</v>
      </c>
      <c r="F130" s="28" t="s">
        <v>73</v>
      </c>
      <c r="G130" s="49" t="s">
        <v>19</v>
      </c>
      <c r="H130" s="6">
        <v>1605</v>
      </c>
    </row>
    <row r="131" spans="1:8" ht="20.100000000000001" customHeight="1" x14ac:dyDescent="0.25">
      <c r="A131" s="74"/>
      <c r="B131" s="47">
        <v>45996</v>
      </c>
      <c r="C131" s="48">
        <v>1543981949</v>
      </c>
      <c r="D131" s="3">
        <v>1</v>
      </c>
      <c r="E131" s="28" t="s">
        <v>1263</v>
      </c>
      <c r="F131" s="28" t="s">
        <v>73</v>
      </c>
      <c r="G131" s="49" t="s">
        <v>6</v>
      </c>
      <c r="H131" s="6">
        <v>535</v>
      </c>
    </row>
    <row r="132" spans="1:8" ht="20.100000000000001" customHeight="1" x14ac:dyDescent="0.25">
      <c r="A132" s="74"/>
      <c r="B132" s="47">
        <v>45996</v>
      </c>
      <c r="C132" s="48">
        <v>1065373168</v>
      </c>
      <c r="D132" s="3">
        <v>3</v>
      </c>
      <c r="E132" s="28" t="s">
        <v>403</v>
      </c>
      <c r="F132" s="28" t="s">
        <v>73</v>
      </c>
      <c r="G132" s="49" t="s">
        <v>6</v>
      </c>
      <c r="H132" s="6">
        <v>1605</v>
      </c>
    </row>
    <row r="133" spans="1:8" ht="20.100000000000001" customHeight="1" x14ac:dyDescent="0.25">
      <c r="A133" s="74"/>
      <c r="B133" s="47">
        <v>46000</v>
      </c>
      <c r="C133" s="48">
        <v>2709471776</v>
      </c>
      <c r="D133" s="3">
        <v>3</v>
      </c>
      <c r="E133" s="28" t="s">
        <v>1137</v>
      </c>
      <c r="F133" s="28" t="s">
        <v>73</v>
      </c>
      <c r="G133" s="49" t="s">
        <v>6</v>
      </c>
      <c r="H133" s="6">
        <v>1605</v>
      </c>
    </row>
    <row r="134" spans="1:8" ht="20.100000000000001" customHeight="1" x14ac:dyDescent="0.25">
      <c r="A134" s="74"/>
      <c r="B134" s="47">
        <v>46001</v>
      </c>
      <c r="C134" s="48">
        <v>1684556217</v>
      </c>
      <c r="D134" s="3">
        <v>2</v>
      </c>
      <c r="E134" s="28" t="s">
        <v>1238</v>
      </c>
      <c r="F134" s="28" t="s">
        <v>73</v>
      </c>
      <c r="G134" s="49" t="s">
        <v>19</v>
      </c>
      <c r="H134" s="6">
        <v>1070</v>
      </c>
    </row>
    <row r="135" spans="1:8" ht="20.100000000000001" customHeight="1" x14ac:dyDescent="0.25">
      <c r="A135" s="74"/>
      <c r="B135" s="47">
        <v>46003</v>
      </c>
      <c r="C135" s="48">
        <v>1218199865</v>
      </c>
      <c r="D135" s="3">
        <v>1</v>
      </c>
      <c r="E135" s="28" t="s">
        <v>443</v>
      </c>
      <c r="F135" s="28" t="s">
        <v>73</v>
      </c>
      <c r="G135" s="49" t="s">
        <v>6</v>
      </c>
      <c r="H135" s="6">
        <v>535</v>
      </c>
    </row>
    <row r="136" spans="1:8" ht="20.100000000000001" customHeight="1" x14ac:dyDescent="0.25">
      <c r="A136" s="74"/>
      <c r="B136" s="47">
        <v>46007</v>
      </c>
      <c r="C136" s="48">
        <v>223298006</v>
      </c>
      <c r="D136" s="3">
        <v>1</v>
      </c>
      <c r="E136" s="28" t="s">
        <v>1250</v>
      </c>
      <c r="F136" s="28" t="s">
        <v>73</v>
      </c>
      <c r="G136" s="49" t="s">
        <v>6</v>
      </c>
      <c r="H136" s="6">
        <v>535</v>
      </c>
    </row>
    <row r="137" spans="1:8" ht="20.100000000000001" customHeight="1" x14ac:dyDescent="0.25">
      <c r="A137" s="74"/>
      <c r="B137" s="47">
        <v>46008</v>
      </c>
      <c r="C137" s="48">
        <v>767443715</v>
      </c>
      <c r="D137" s="3">
        <v>1</v>
      </c>
      <c r="E137" s="28" t="s">
        <v>1264</v>
      </c>
      <c r="F137" s="28" t="s">
        <v>73</v>
      </c>
      <c r="G137" s="49" t="s">
        <v>11</v>
      </c>
      <c r="H137" s="6">
        <v>535</v>
      </c>
    </row>
    <row r="138" spans="1:8" ht="20.100000000000001" customHeight="1" x14ac:dyDescent="0.25">
      <c r="A138" s="74"/>
      <c r="B138" s="47">
        <v>46008</v>
      </c>
      <c r="C138" s="48">
        <v>1005801119</v>
      </c>
      <c r="D138" s="3">
        <v>3</v>
      </c>
      <c r="E138" s="28" t="s">
        <v>1246</v>
      </c>
      <c r="F138" s="28" t="s">
        <v>73</v>
      </c>
      <c r="G138" s="49" t="s">
        <v>10</v>
      </c>
      <c r="H138" s="6">
        <v>1605</v>
      </c>
    </row>
    <row r="139" spans="1:8" ht="15.75" x14ac:dyDescent="0.25">
      <c r="A139" s="75"/>
      <c r="B139" s="13"/>
      <c r="C139" s="14"/>
      <c r="D139" s="14"/>
      <c r="E139" s="14" t="s">
        <v>5</v>
      </c>
      <c r="F139" s="15"/>
      <c r="G139" s="16"/>
      <c r="H139" s="23">
        <f>SUM(H3:H138)</f>
        <v>144479.47980000003</v>
      </c>
    </row>
  </sheetData>
  <mergeCells count="7"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/>
  <dimension ref="A1:H7"/>
  <sheetViews>
    <sheetView workbookViewId="0">
      <pane ySplit="2" topLeftCell="A3" activePane="bottomLeft" state="frozen"/>
      <selection pane="bottomLeft" activeCell="G20" sqref="G20"/>
    </sheetView>
  </sheetViews>
  <sheetFormatPr baseColWidth="10" defaultColWidth="9.140625" defaultRowHeight="15" x14ac:dyDescent="0.25"/>
  <cols>
    <col min="1" max="1" width="22.5703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9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0" t="s">
        <v>37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54"/>
      <c r="B3" s="2">
        <v>45776</v>
      </c>
      <c r="C3" s="3">
        <v>2526954006</v>
      </c>
      <c r="D3" s="3">
        <v>2</v>
      </c>
      <c r="E3" s="4" t="s">
        <v>556</v>
      </c>
      <c r="F3" s="19" t="s">
        <v>573</v>
      </c>
      <c r="G3" s="10" t="s">
        <v>19</v>
      </c>
      <c r="H3" s="11">
        <v>9000</v>
      </c>
    </row>
    <row r="4" spans="1:8" ht="15" customHeight="1" x14ac:dyDescent="0.25">
      <c r="A4" s="54"/>
      <c r="B4" s="2">
        <v>45776</v>
      </c>
      <c r="C4" s="3">
        <v>1964985645</v>
      </c>
      <c r="D4" s="3">
        <v>2</v>
      </c>
      <c r="E4" s="4" t="s">
        <v>574</v>
      </c>
      <c r="F4" s="19" t="s">
        <v>573</v>
      </c>
      <c r="G4" s="10" t="s">
        <v>19</v>
      </c>
      <c r="H4" s="11">
        <v>9000</v>
      </c>
    </row>
    <row r="5" spans="1:8" ht="20.100000000000001" customHeight="1" x14ac:dyDescent="0.25">
      <c r="A5" s="55"/>
      <c r="B5" s="13"/>
      <c r="C5" s="14"/>
      <c r="D5" s="14"/>
      <c r="E5" s="14" t="s">
        <v>5</v>
      </c>
      <c r="F5" s="15"/>
      <c r="G5" s="16"/>
      <c r="H5" s="17">
        <f>SUM(H3:H4)</f>
        <v>18000</v>
      </c>
    </row>
    <row r="6" spans="1:8" ht="20.100000000000001" customHeight="1" x14ac:dyDescent="0.25">
      <c r="F6"/>
    </row>
    <row r="7" spans="1:8" x14ac:dyDescent="0.25">
      <c r="F7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/>
  <dimension ref="A1:H24"/>
  <sheetViews>
    <sheetView workbookViewId="0">
      <pane ySplit="2" topLeftCell="A3" activePane="bottomLeft" state="frozen"/>
      <selection pane="bottomLeft" sqref="A1:A1048576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3.5703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38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54"/>
      <c r="B3" s="2">
        <v>45701</v>
      </c>
      <c r="C3" s="3">
        <v>341655587</v>
      </c>
      <c r="D3" s="3">
        <v>1</v>
      </c>
      <c r="E3" s="19" t="s">
        <v>210</v>
      </c>
      <c r="F3" s="19" t="s">
        <v>318</v>
      </c>
      <c r="G3" s="10" t="s">
        <v>6</v>
      </c>
      <c r="H3" s="11">
        <v>1300</v>
      </c>
    </row>
    <row r="4" spans="1:8" ht="20.100000000000001" customHeight="1" x14ac:dyDescent="0.25">
      <c r="A4" s="54"/>
      <c r="B4" s="2">
        <v>45813</v>
      </c>
      <c r="C4" s="3">
        <v>885278313</v>
      </c>
      <c r="D4" s="3">
        <v>1</v>
      </c>
      <c r="E4" s="19" t="s">
        <v>667</v>
      </c>
      <c r="F4" s="19" t="s">
        <v>318</v>
      </c>
      <c r="G4" s="10" t="s">
        <v>6</v>
      </c>
      <c r="H4" s="11">
        <v>1200</v>
      </c>
    </row>
    <row r="5" spans="1:8" ht="20.100000000000001" customHeight="1" x14ac:dyDescent="0.25">
      <c r="A5" s="54"/>
      <c r="B5" s="2">
        <v>45820</v>
      </c>
      <c r="C5" s="3">
        <v>2583184228</v>
      </c>
      <c r="D5" s="3">
        <v>1</v>
      </c>
      <c r="E5" s="19" t="s">
        <v>712</v>
      </c>
      <c r="F5" s="19" t="s">
        <v>318</v>
      </c>
      <c r="G5" s="10" t="s">
        <v>10</v>
      </c>
      <c r="H5" s="11">
        <v>1800</v>
      </c>
    </row>
    <row r="6" spans="1:8" ht="20.100000000000001" customHeight="1" x14ac:dyDescent="0.25">
      <c r="A6" s="54"/>
      <c r="B6" s="2">
        <v>45883</v>
      </c>
      <c r="C6" s="3">
        <v>2960475740</v>
      </c>
      <c r="D6" s="3">
        <v>2</v>
      </c>
      <c r="E6" s="4" t="s">
        <v>210</v>
      </c>
      <c r="F6" s="4" t="s">
        <v>928</v>
      </c>
      <c r="G6" s="5" t="s">
        <v>7</v>
      </c>
      <c r="H6" s="6">
        <v>2866</v>
      </c>
    </row>
    <row r="7" spans="1:8" ht="20.100000000000001" customHeight="1" x14ac:dyDescent="0.25">
      <c r="A7" s="54"/>
      <c r="B7" s="2">
        <v>45883</v>
      </c>
      <c r="C7" s="3">
        <v>2960475740</v>
      </c>
      <c r="D7" s="3">
        <v>1</v>
      </c>
      <c r="E7" s="4" t="s">
        <v>210</v>
      </c>
      <c r="F7" s="4" t="s">
        <v>928</v>
      </c>
      <c r="G7" s="5" t="s">
        <v>7</v>
      </c>
      <c r="H7" s="6">
        <v>1434</v>
      </c>
    </row>
    <row r="8" spans="1:8" ht="20.100000000000001" customHeight="1" x14ac:dyDescent="0.25">
      <c r="A8" s="54"/>
      <c r="B8" s="2">
        <v>45889</v>
      </c>
      <c r="C8" s="3">
        <v>781467669</v>
      </c>
      <c r="D8" s="3">
        <v>2</v>
      </c>
      <c r="E8" s="4" t="s">
        <v>929</v>
      </c>
      <c r="F8" s="4" t="s">
        <v>928</v>
      </c>
      <c r="G8" s="5" t="s">
        <v>7</v>
      </c>
      <c r="H8" s="6">
        <v>2860</v>
      </c>
    </row>
    <row r="9" spans="1:8" ht="20.100000000000001" customHeight="1" x14ac:dyDescent="0.25">
      <c r="A9" s="54"/>
      <c r="B9" s="2">
        <v>45889</v>
      </c>
      <c r="C9" s="3">
        <v>781467669</v>
      </c>
      <c r="D9" s="3">
        <v>1</v>
      </c>
      <c r="E9" s="4" t="s">
        <v>929</v>
      </c>
      <c r="F9" s="4" t="s">
        <v>928</v>
      </c>
      <c r="G9" s="5" t="s">
        <v>7</v>
      </c>
      <c r="H9" s="6">
        <v>1440</v>
      </c>
    </row>
    <row r="10" spans="1:8" ht="20.100000000000001" customHeight="1" x14ac:dyDescent="0.25">
      <c r="A10" s="54"/>
      <c r="B10" s="2">
        <v>45903</v>
      </c>
      <c r="C10" s="3">
        <v>3880732992</v>
      </c>
      <c r="D10" s="3">
        <v>3</v>
      </c>
      <c r="E10" s="4" t="s">
        <v>1004</v>
      </c>
      <c r="F10" s="4" t="s">
        <v>1005</v>
      </c>
      <c r="G10" s="5" t="s">
        <v>19</v>
      </c>
      <c r="H10" s="6">
        <v>3900</v>
      </c>
    </row>
    <row r="11" spans="1:8" ht="20.100000000000001" customHeight="1" x14ac:dyDescent="0.25">
      <c r="A11" s="54"/>
      <c r="B11" s="2">
        <v>45918</v>
      </c>
      <c r="C11" s="3">
        <v>2908045371</v>
      </c>
      <c r="D11" s="3">
        <v>3</v>
      </c>
      <c r="E11" s="4" t="s">
        <v>991</v>
      </c>
      <c r="F11" s="4" t="s">
        <v>1005</v>
      </c>
      <c r="G11" s="5" t="s">
        <v>19</v>
      </c>
      <c r="H11" s="6">
        <v>3300</v>
      </c>
    </row>
    <row r="12" spans="1:8" ht="20.100000000000001" customHeight="1" x14ac:dyDescent="0.25">
      <c r="A12" s="54"/>
      <c r="B12" s="47">
        <v>45937</v>
      </c>
      <c r="C12" s="48">
        <v>1445351269</v>
      </c>
      <c r="D12" s="3">
        <v>2</v>
      </c>
      <c r="E12" s="28" t="s">
        <v>1045</v>
      </c>
      <c r="F12" s="28" t="s">
        <v>928</v>
      </c>
      <c r="G12" s="49" t="s">
        <v>19</v>
      </c>
      <c r="H12" s="6">
        <v>2800</v>
      </c>
    </row>
    <row r="13" spans="1:8" ht="20.100000000000001" customHeight="1" x14ac:dyDescent="0.25">
      <c r="A13" s="54"/>
      <c r="B13" s="47">
        <v>45937</v>
      </c>
      <c r="C13" s="48">
        <v>1445351269</v>
      </c>
      <c r="D13" s="3">
        <v>1</v>
      </c>
      <c r="E13" s="28" t="s">
        <v>1045</v>
      </c>
      <c r="F13" s="28" t="s">
        <v>928</v>
      </c>
      <c r="G13" s="49" t="s">
        <v>19</v>
      </c>
      <c r="H13" s="6">
        <v>1500</v>
      </c>
    </row>
    <row r="14" spans="1:8" ht="20.100000000000001" customHeight="1" x14ac:dyDescent="0.25">
      <c r="A14" s="54"/>
      <c r="B14" s="47">
        <v>45960</v>
      </c>
      <c r="C14" s="48">
        <v>2980398406</v>
      </c>
      <c r="D14" s="3">
        <v>3</v>
      </c>
      <c r="E14" s="28" t="s">
        <v>1036</v>
      </c>
      <c r="F14" s="28" t="s">
        <v>928</v>
      </c>
      <c r="G14" s="49" t="s">
        <v>7</v>
      </c>
      <c r="H14" s="6">
        <v>3000</v>
      </c>
    </row>
    <row r="15" spans="1:8" ht="20.100000000000001" customHeight="1" x14ac:dyDescent="0.25">
      <c r="A15" s="54"/>
      <c r="B15" s="47">
        <v>45961</v>
      </c>
      <c r="C15" s="48">
        <v>1661290147</v>
      </c>
      <c r="D15" s="3">
        <v>2</v>
      </c>
      <c r="E15" s="28" t="s">
        <v>1038</v>
      </c>
      <c r="F15" s="28" t="s">
        <v>928</v>
      </c>
      <c r="G15" s="49" t="s">
        <v>6</v>
      </c>
      <c r="H15" s="6">
        <v>2000</v>
      </c>
    </row>
    <row r="16" spans="1:8" ht="20.100000000000001" customHeight="1" x14ac:dyDescent="0.25">
      <c r="A16" s="54"/>
      <c r="B16" s="47">
        <v>45965</v>
      </c>
      <c r="C16" s="48">
        <v>2370716167</v>
      </c>
      <c r="D16" s="3">
        <v>3</v>
      </c>
      <c r="E16" s="28" t="s">
        <v>317</v>
      </c>
      <c r="F16" s="28" t="s">
        <v>928</v>
      </c>
      <c r="G16" s="49" t="s">
        <v>7</v>
      </c>
      <c r="H16" s="6">
        <v>3000</v>
      </c>
    </row>
    <row r="17" spans="1:8" ht="20.100000000000001" customHeight="1" x14ac:dyDescent="0.25">
      <c r="A17" s="54"/>
      <c r="B17" s="47">
        <v>45967</v>
      </c>
      <c r="C17" s="48">
        <v>2429831360</v>
      </c>
      <c r="D17" s="3">
        <v>3</v>
      </c>
      <c r="E17" s="28" t="s">
        <v>1155</v>
      </c>
      <c r="F17" s="28" t="s">
        <v>928</v>
      </c>
      <c r="G17" s="49" t="s">
        <v>7</v>
      </c>
      <c r="H17" s="6">
        <v>3300</v>
      </c>
    </row>
    <row r="18" spans="1:8" ht="20.100000000000001" customHeight="1" x14ac:dyDescent="0.25">
      <c r="A18" s="54"/>
      <c r="B18" s="47">
        <v>45967</v>
      </c>
      <c r="C18" s="48">
        <v>2429831360</v>
      </c>
      <c r="D18" s="3">
        <v>3</v>
      </c>
      <c r="E18" s="28" t="s">
        <v>1156</v>
      </c>
      <c r="F18" s="28" t="s">
        <v>928</v>
      </c>
      <c r="G18" s="49" t="s">
        <v>7</v>
      </c>
      <c r="H18" s="6">
        <v>3300</v>
      </c>
    </row>
    <row r="19" spans="1:8" ht="20.100000000000001" customHeight="1" x14ac:dyDescent="0.25">
      <c r="A19" s="54"/>
      <c r="B19" s="47">
        <v>45982</v>
      </c>
      <c r="C19" s="48">
        <v>2287553813</v>
      </c>
      <c r="D19" s="3">
        <v>2</v>
      </c>
      <c r="E19" s="28" t="s">
        <v>609</v>
      </c>
      <c r="F19" s="28" t="s">
        <v>928</v>
      </c>
      <c r="G19" s="49" t="s">
        <v>7</v>
      </c>
      <c r="H19" s="6">
        <v>2532</v>
      </c>
    </row>
    <row r="20" spans="1:8" ht="20.100000000000001" customHeight="1" x14ac:dyDescent="0.25">
      <c r="A20" s="54"/>
      <c r="B20" s="47">
        <v>45982</v>
      </c>
      <c r="C20" s="48">
        <v>2287553813</v>
      </c>
      <c r="D20" s="3">
        <v>1</v>
      </c>
      <c r="E20" s="28" t="s">
        <v>609</v>
      </c>
      <c r="F20" s="28" t="s">
        <v>928</v>
      </c>
      <c r="G20" s="49" t="s">
        <v>7</v>
      </c>
      <c r="H20" s="6">
        <v>1268</v>
      </c>
    </row>
    <row r="21" spans="1:8" ht="20.100000000000001" customHeight="1" x14ac:dyDescent="0.25">
      <c r="A21" s="54"/>
      <c r="B21" s="47">
        <v>45995</v>
      </c>
      <c r="C21" s="48">
        <v>3818801343</v>
      </c>
      <c r="D21" s="3">
        <v>1</v>
      </c>
      <c r="E21" s="28" t="s">
        <v>1265</v>
      </c>
      <c r="F21" s="28" t="s">
        <v>928</v>
      </c>
      <c r="G21" s="49" t="s">
        <v>11</v>
      </c>
      <c r="H21" s="6">
        <v>1200</v>
      </c>
    </row>
    <row r="22" spans="1:8" ht="20.100000000000001" customHeight="1" x14ac:dyDescent="0.25">
      <c r="A22" s="54"/>
      <c r="B22" s="47">
        <v>46001</v>
      </c>
      <c r="C22" s="48">
        <v>2237613416</v>
      </c>
      <c r="D22" s="3">
        <v>1</v>
      </c>
      <c r="E22" s="28" t="s">
        <v>1266</v>
      </c>
      <c r="F22" s="28" t="s">
        <v>928</v>
      </c>
      <c r="G22" s="49" t="s">
        <v>6</v>
      </c>
      <c r="H22" s="6">
        <v>2000</v>
      </c>
    </row>
    <row r="23" spans="1:8" ht="20.100000000000001" customHeight="1" x14ac:dyDescent="0.25">
      <c r="A23" s="55"/>
      <c r="B23" s="13"/>
      <c r="C23" s="14"/>
      <c r="D23" s="14"/>
      <c r="E23" s="14" t="s">
        <v>5</v>
      </c>
      <c r="F23" s="15"/>
      <c r="G23" s="16"/>
      <c r="H23" s="17">
        <f>SUM(H3:H22)</f>
        <v>46000</v>
      </c>
    </row>
    <row r="24" spans="1:8" ht="20.100000000000001" customHeight="1" x14ac:dyDescent="0.25">
      <c r="A24" s="27"/>
      <c r="B24" s="8"/>
      <c r="C24" s="8"/>
      <c r="D24" s="8"/>
      <c r="E24" s="8"/>
      <c r="F24" s="12"/>
      <c r="G24" s="8"/>
      <c r="H24" s="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5"/>
  <dimension ref="A1:H9"/>
  <sheetViews>
    <sheetView workbookViewId="0">
      <pane ySplit="2" topLeftCell="A3" activePane="bottomLeft" state="frozen"/>
      <selection pane="bottomLeft" sqref="A1:A7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39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77"/>
      <c r="B3" s="2">
        <v>45800</v>
      </c>
      <c r="C3" s="3">
        <v>343689690</v>
      </c>
      <c r="D3" s="3">
        <v>1</v>
      </c>
      <c r="E3" s="4" t="s">
        <v>133</v>
      </c>
      <c r="F3" s="19" t="s">
        <v>732</v>
      </c>
      <c r="G3" s="5" t="s">
        <v>19</v>
      </c>
      <c r="H3" s="6">
        <v>5000</v>
      </c>
    </row>
    <row r="4" spans="1:8" ht="15" customHeight="1" x14ac:dyDescent="0.25">
      <c r="A4" s="77"/>
      <c r="B4" s="2">
        <v>45896</v>
      </c>
      <c r="C4" s="3">
        <v>3272952083</v>
      </c>
      <c r="D4" s="3">
        <v>1</v>
      </c>
      <c r="E4" s="4" t="s">
        <v>920</v>
      </c>
      <c r="F4" s="4" t="s">
        <v>945</v>
      </c>
      <c r="G4" s="5" t="s">
        <v>7</v>
      </c>
      <c r="H4" s="6">
        <v>5600</v>
      </c>
    </row>
    <row r="5" spans="1:8" ht="15" customHeight="1" x14ac:dyDescent="0.25">
      <c r="A5" s="77"/>
      <c r="B5" s="47">
        <v>45973</v>
      </c>
      <c r="C5" s="48">
        <v>1359890794</v>
      </c>
      <c r="D5" s="3">
        <v>1</v>
      </c>
      <c r="E5" s="28" t="s">
        <v>402</v>
      </c>
      <c r="F5" s="28" t="s">
        <v>1228</v>
      </c>
      <c r="G5" s="49" t="s">
        <v>10</v>
      </c>
      <c r="H5" s="6">
        <v>6000</v>
      </c>
    </row>
    <row r="6" spans="1:8" ht="15" customHeight="1" x14ac:dyDescent="0.25">
      <c r="A6" s="77"/>
      <c r="B6" s="47">
        <v>45975</v>
      </c>
      <c r="C6" s="48">
        <v>1173767825</v>
      </c>
      <c r="D6" s="3">
        <v>1</v>
      </c>
      <c r="E6" s="28" t="s">
        <v>1146</v>
      </c>
      <c r="F6" s="28" t="s">
        <v>1228</v>
      </c>
      <c r="G6" s="49" t="s">
        <v>19</v>
      </c>
      <c r="H6" s="6">
        <v>6000</v>
      </c>
    </row>
    <row r="7" spans="1:8" ht="20.100000000000001" customHeight="1" x14ac:dyDescent="0.25">
      <c r="A7" s="78"/>
      <c r="B7" s="13"/>
      <c r="C7" s="14"/>
      <c r="D7" s="14"/>
      <c r="E7" s="14" t="s">
        <v>5</v>
      </c>
      <c r="F7" s="15"/>
      <c r="G7" s="16"/>
      <c r="H7" s="17">
        <f>SUM(H3:H6)</f>
        <v>22600</v>
      </c>
    </row>
    <row r="8" spans="1:8" ht="20.100000000000001" customHeight="1" x14ac:dyDescent="0.25">
      <c r="F8"/>
    </row>
    <row r="9" spans="1:8" x14ac:dyDescent="0.25">
      <c r="F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/>
  <dimension ref="A1:H19"/>
  <sheetViews>
    <sheetView workbookViewId="0">
      <pane ySplit="2" topLeftCell="A3" activePane="bottomLeft" state="frozen"/>
      <selection pane="bottomLeft" activeCell="G35" sqref="G35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33.75" customHeight="1" x14ac:dyDescent="0.25">
      <c r="A1" s="76" t="s">
        <v>40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54"/>
      <c r="B3" s="2">
        <v>45736</v>
      </c>
      <c r="C3" s="3">
        <v>615401202</v>
      </c>
      <c r="D3" s="3">
        <v>1</v>
      </c>
      <c r="E3" s="4" t="s">
        <v>74</v>
      </c>
      <c r="F3" s="19" t="s">
        <v>411</v>
      </c>
      <c r="G3" s="10" t="s">
        <v>6</v>
      </c>
      <c r="H3" s="11">
        <v>350</v>
      </c>
    </row>
    <row r="4" spans="1:8" ht="15" customHeight="1" x14ac:dyDescent="0.25">
      <c r="A4" s="54"/>
      <c r="B4" s="2">
        <v>45736</v>
      </c>
      <c r="C4" s="3">
        <v>2625194223</v>
      </c>
      <c r="D4" s="3">
        <v>20</v>
      </c>
      <c r="E4" s="4" t="s">
        <v>412</v>
      </c>
      <c r="F4" s="19" t="s">
        <v>40</v>
      </c>
      <c r="G4" s="10" t="s">
        <v>7</v>
      </c>
      <c r="H4" s="11">
        <v>4000</v>
      </c>
    </row>
    <row r="5" spans="1:8" ht="15" customHeight="1" x14ac:dyDescent="0.25">
      <c r="A5" s="54"/>
      <c r="B5" s="2">
        <v>45737</v>
      </c>
      <c r="C5" s="3">
        <v>1525698233</v>
      </c>
      <c r="D5" s="3">
        <v>10</v>
      </c>
      <c r="E5" s="4" t="s">
        <v>413</v>
      </c>
      <c r="F5" s="19" t="s">
        <v>40</v>
      </c>
      <c r="G5" s="10" t="s">
        <v>11</v>
      </c>
      <c r="H5" s="11">
        <v>2000</v>
      </c>
    </row>
    <row r="6" spans="1:8" ht="15" customHeight="1" x14ac:dyDescent="0.25">
      <c r="A6" s="54"/>
      <c r="B6" s="2">
        <v>45741</v>
      </c>
      <c r="C6" s="3">
        <v>1063077935</v>
      </c>
      <c r="D6" s="3">
        <v>1</v>
      </c>
      <c r="E6" s="4" t="s">
        <v>372</v>
      </c>
      <c r="F6" s="19" t="s">
        <v>411</v>
      </c>
      <c r="G6" s="10" t="s">
        <v>7</v>
      </c>
      <c r="H6" s="11">
        <v>350</v>
      </c>
    </row>
    <row r="7" spans="1:8" ht="15" customHeight="1" x14ac:dyDescent="0.25">
      <c r="A7" s="54"/>
      <c r="B7" s="2">
        <v>45789</v>
      </c>
      <c r="C7" s="3">
        <v>1534545575</v>
      </c>
      <c r="D7" s="3">
        <v>1</v>
      </c>
      <c r="E7" s="4" t="s">
        <v>405</v>
      </c>
      <c r="F7" s="19" t="s">
        <v>40</v>
      </c>
      <c r="G7" s="10" t="s">
        <v>7</v>
      </c>
      <c r="H7" s="11">
        <v>200</v>
      </c>
    </row>
    <row r="8" spans="1:8" ht="15" customHeight="1" x14ac:dyDescent="0.25">
      <c r="A8" s="54"/>
      <c r="B8" s="2">
        <v>45798</v>
      </c>
      <c r="C8" s="3">
        <v>4076422012</v>
      </c>
      <c r="D8" s="3">
        <v>1</v>
      </c>
      <c r="E8" s="4" t="s">
        <v>713</v>
      </c>
      <c r="F8" s="19" t="s">
        <v>40</v>
      </c>
      <c r="G8" s="10" t="s">
        <v>6</v>
      </c>
      <c r="H8" s="11">
        <v>250</v>
      </c>
    </row>
    <row r="9" spans="1:8" ht="15" customHeight="1" x14ac:dyDescent="0.25">
      <c r="A9" s="54"/>
      <c r="B9" s="2">
        <v>45806</v>
      </c>
      <c r="C9" s="3">
        <v>2935704932</v>
      </c>
      <c r="D9" s="3">
        <v>10</v>
      </c>
      <c r="E9" s="4" t="s">
        <v>413</v>
      </c>
      <c r="F9" s="19" t="s">
        <v>40</v>
      </c>
      <c r="G9" s="10" t="s">
        <v>11</v>
      </c>
      <c r="H9" s="11">
        <v>2000</v>
      </c>
    </row>
    <row r="10" spans="1:8" ht="15" customHeight="1" x14ac:dyDescent="0.25">
      <c r="A10" s="54"/>
      <c r="B10" s="2">
        <v>45852</v>
      </c>
      <c r="C10" s="3">
        <v>542918507</v>
      </c>
      <c r="D10" s="3">
        <v>20</v>
      </c>
      <c r="E10" s="4" t="s">
        <v>813</v>
      </c>
      <c r="F10" s="19" t="s">
        <v>40</v>
      </c>
      <c r="G10" s="10" t="s">
        <v>19</v>
      </c>
      <c r="H10" s="11">
        <v>4000</v>
      </c>
    </row>
    <row r="11" spans="1:8" ht="15" customHeight="1" x14ac:dyDescent="0.25">
      <c r="A11" s="54"/>
      <c r="B11" s="2">
        <v>45870</v>
      </c>
      <c r="C11" s="3">
        <v>777277278</v>
      </c>
      <c r="D11" s="3">
        <v>10</v>
      </c>
      <c r="E11" s="4" t="s">
        <v>930</v>
      </c>
      <c r="F11" s="19" t="s">
        <v>40</v>
      </c>
      <c r="G11" s="10" t="s">
        <v>11</v>
      </c>
      <c r="H11" s="11">
        <v>2000</v>
      </c>
    </row>
    <row r="12" spans="1:8" ht="15" customHeight="1" x14ac:dyDescent="0.25">
      <c r="A12" s="54"/>
      <c r="B12" s="2">
        <v>45870</v>
      </c>
      <c r="C12" s="3">
        <v>1709656858</v>
      </c>
      <c r="D12" s="3">
        <v>10</v>
      </c>
      <c r="E12" s="4" t="s">
        <v>413</v>
      </c>
      <c r="F12" s="4" t="s">
        <v>40</v>
      </c>
      <c r="G12" s="5" t="s">
        <v>11</v>
      </c>
      <c r="H12" s="6">
        <v>2000</v>
      </c>
    </row>
    <row r="13" spans="1:8" ht="15" customHeight="1" x14ac:dyDescent="0.25">
      <c r="A13" s="54"/>
      <c r="B13" s="2">
        <v>45918</v>
      </c>
      <c r="C13" s="3">
        <v>2418033376</v>
      </c>
      <c r="D13" s="3">
        <v>1</v>
      </c>
      <c r="E13" s="4" t="s">
        <v>1006</v>
      </c>
      <c r="F13" s="4" t="s">
        <v>40</v>
      </c>
      <c r="G13" s="5" t="s">
        <v>11</v>
      </c>
      <c r="H13" s="6">
        <v>250</v>
      </c>
    </row>
    <row r="14" spans="1:8" ht="15" customHeight="1" x14ac:dyDescent="0.25">
      <c r="A14" s="54"/>
      <c r="B14" s="47">
        <v>45943</v>
      </c>
      <c r="C14" s="48">
        <v>2964275700</v>
      </c>
      <c r="D14" s="3">
        <v>20</v>
      </c>
      <c r="E14" s="28" t="s">
        <v>412</v>
      </c>
      <c r="F14" s="28" t="s">
        <v>40</v>
      </c>
      <c r="G14" s="49" t="s">
        <v>7</v>
      </c>
      <c r="H14" s="6">
        <v>4000</v>
      </c>
    </row>
    <row r="15" spans="1:8" ht="15" customHeight="1" x14ac:dyDescent="0.25">
      <c r="A15" s="54"/>
      <c r="B15" s="47">
        <v>45992</v>
      </c>
      <c r="C15" s="48">
        <v>375933590</v>
      </c>
      <c r="D15" s="3">
        <v>10</v>
      </c>
      <c r="E15" s="28" t="s">
        <v>338</v>
      </c>
      <c r="F15" s="28" t="s">
        <v>40</v>
      </c>
      <c r="G15" s="49" t="s">
        <v>19</v>
      </c>
      <c r="H15" s="6">
        <v>2000</v>
      </c>
    </row>
    <row r="16" spans="1:8" ht="20.100000000000001" customHeight="1" x14ac:dyDescent="0.25">
      <c r="A16" s="55"/>
      <c r="B16" s="13"/>
      <c r="C16" s="14"/>
      <c r="D16" s="14"/>
      <c r="E16" s="14" t="s">
        <v>5</v>
      </c>
      <c r="F16" s="15"/>
      <c r="G16" s="16"/>
      <c r="H16" s="17">
        <f>SUM(H3:H15)</f>
        <v>23400</v>
      </c>
    </row>
    <row r="17" spans="6:6" ht="20.100000000000001" customHeight="1" x14ac:dyDescent="0.25">
      <c r="F17"/>
    </row>
    <row r="18" spans="6:6" x14ac:dyDescent="0.25">
      <c r="F18"/>
    </row>
    <row r="19" spans="6:6" x14ac:dyDescent="0.25">
      <c r="F1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7"/>
  <dimension ref="A1:H7"/>
  <sheetViews>
    <sheetView workbookViewId="0">
      <selection sqref="A1:A6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41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54"/>
      <c r="B3" s="2">
        <v>45929</v>
      </c>
      <c r="C3" s="3">
        <v>2625326285</v>
      </c>
      <c r="D3" s="3">
        <v>3</v>
      </c>
      <c r="E3" s="4" t="s">
        <v>256</v>
      </c>
      <c r="F3" s="4" t="s">
        <v>1023</v>
      </c>
      <c r="G3" s="5" t="s">
        <v>7</v>
      </c>
      <c r="H3" s="6">
        <v>1995</v>
      </c>
    </row>
    <row r="4" spans="1:8" ht="15" customHeight="1" x14ac:dyDescent="0.25">
      <c r="A4" s="54"/>
      <c r="B4" s="47">
        <v>45958</v>
      </c>
      <c r="C4" s="48">
        <v>1587758556</v>
      </c>
      <c r="D4" s="3">
        <v>1</v>
      </c>
      <c r="E4" s="28" t="s">
        <v>1069</v>
      </c>
      <c r="F4" s="28" t="s">
        <v>1071</v>
      </c>
      <c r="G4" s="49" t="s">
        <v>6</v>
      </c>
      <c r="H4" s="6">
        <v>700</v>
      </c>
    </row>
    <row r="5" spans="1:8" ht="20.100000000000001" customHeight="1" x14ac:dyDescent="0.25">
      <c r="A5" s="54"/>
      <c r="B5" s="47">
        <v>45989</v>
      </c>
      <c r="C5" s="48">
        <v>1864388084</v>
      </c>
      <c r="D5" s="3">
        <v>3</v>
      </c>
      <c r="E5" s="28" t="s">
        <v>1154</v>
      </c>
      <c r="F5" s="28" t="s">
        <v>1071</v>
      </c>
      <c r="G5" s="49" t="s">
        <v>10</v>
      </c>
      <c r="H5" s="6">
        <v>1395</v>
      </c>
    </row>
    <row r="6" spans="1:8" ht="20.100000000000001" customHeight="1" x14ac:dyDescent="0.25">
      <c r="A6" s="55"/>
      <c r="B6" s="13"/>
      <c r="C6" s="14"/>
      <c r="D6" s="14"/>
      <c r="E6" s="14" t="s">
        <v>5</v>
      </c>
      <c r="F6" s="15"/>
      <c r="G6" s="16"/>
      <c r="H6" s="17">
        <f>SUM(H3:H5)</f>
        <v>4090</v>
      </c>
    </row>
    <row r="7" spans="1:8" ht="20.100000000000001" customHeight="1" x14ac:dyDescent="0.25">
      <c r="A7" s="27"/>
      <c r="B7" s="8"/>
      <c r="C7" s="8"/>
      <c r="D7" s="8"/>
      <c r="E7" s="8"/>
      <c r="F7" s="12"/>
      <c r="G7" s="8"/>
      <c r="H7" s="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/>
  <dimension ref="A1:H44"/>
  <sheetViews>
    <sheetView workbookViewId="0">
      <pane ySplit="2" topLeftCell="A29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41.5703125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9" t="s">
        <v>51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1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51"/>
      <c r="B3" s="2">
        <v>45688</v>
      </c>
      <c r="C3" s="3">
        <v>1699431601</v>
      </c>
      <c r="D3" s="3">
        <v>1</v>
      </c>
      <c r="E3" s="4" t="s">
        <v>124</v>
      </c>
      <c r="F3" s="19" t="s">
        <v>125</v>
      </c>
      <c r="G3" s="10" t="s">
        <v>13</v>
      </c>
      <c r="H3" s="11">
        <v>1461.59</v>
      </c>
    </row>
    <row r="4" spans="1:8" ht="20.100000000000001" customHeight="1" x14ac:dyDescent="0.25">
      <c r="A4" s="51"/>
      <c r="B4" s="2">
        <v>45688</v>
      </c>
      <c r="C4" s="3">
        <v>1699431601</v>
      </c>
      <c r="D4" s="3">
        <v>1</v>
      </c>
      <c r="E4" s="4" t="s">
        <v>124</v>
      </c>
      <c r="F4" s="19" t="s">
        <v>81</v>
      </c>
      <c r="G4" s="10" t="s">
        <v>13</v>
      </c>
      <c r="H4" s="11">
        <v>3055.5</v>
      </c>
    </row>
    <row r="5" spans="1:8" ht="20.100000000000001" customHeight="1" x14ac:dyDescent="0.25">
      <c r="A5" s="51"/>
      <c r="B5" s="2">
        <v>45688</v>
      </c>
      <c r="C5" s="3">
        <v>1699431601</v>
      </c>
      <c r="D5" s="3">
        <v>1</v>
      </c>
      <c r="E5" s="4" t="s">
        <v>124</v>
      </c>
      <c r="F5" s="19" t="s">
        <v>82</v>
      </c>
      <c r="G5" s="10" t="s">
        <v>13</v>
      </c>
      <c r="H5" s="11">
        <v>3395</v>
      </c>
    </row>
    <row r="6" spans="1:8" ht="20.100000000000001" customHeight="1" x14ac:dyDescent="0.25">
      <c r="A6" s="51"/>
      <c r="B6" s="2">
        <v>45688</v>
      </c>
      <c r="C6" s="3">
        <v>1699431601</v>
      </c>
      <c r="D6" s="3">
        <v>1</v>
      </c>
      <c r="E6" s="4" t="s">
        <v>124</v>
      </c>
      <c r="F6" s="19" t="s">
        <v>184</v>
      </c>
      <c r="G6" s="10" t="s">
        <v>13</v>
      </c>
      <c r="H6" s="11">
        <v>1200</v>
      </c>
    </row>
    <row r="7" spans="1:8" ht="20.100000000000001" customHeight="1" x14ac:dyDescent="0.25">
      <c r="A7" s="51"/>
      <c r="B7" s="2">
        <v>45716</v>
      </c>
      <c r="C7" s="3">
        <v>3308143318</v>
      </c>
      <c r="D7" s="3">
        <v>1</v>
      </c>
      <c r="E7" s="4" t="s">
        <v>319</v>
      </c>
      <c r="F7" s="19" t="s">
        <v>320</v>
      </c>
      <c r="G7" s="10" t="s">
        <v>13</v>
      </c>
      <c r="H7" s="11">
        <v>1461.59</v>
      </c>
    </row>
    <row r="8" spans="1:8" ht="20.100000000000001" customHeight="1" x14ac:dyDescent="0.25">
      <c r="A8" s="51"/>
      <c r="B8" s="2">
        <v>45716</v>
      </c>
      <c r="C8" s="3">
        <v>3308143318</v>
      </c>
      <c r="D8" s="3">
        <v>1</v>
      </c>
      <c r="E8" s="4" t="s">
        <v>319</v>
      </c>
      <c r="F8" s="19" t="s">
        <v>81</v>
      </c>
      <c r="G8" s="10" t="s">
        <v>13</v>
      </c>
      <c r="H8" s="11">
        <v>3055.5</v>
      </c>
    </row>
    <row r="9" spans="1:8" ht="20.100000000000001" customHeight="1" x14ac:dyDescent="0.25">
      <c r="A9" s="51"/>
      <c r="B9" s="2">
        <v>45716</v>
      </c>
      <c r="C9" s="3">
        <v>3308143318</v>
      </c>
      <c r="D9" s="3">
        <v>1</v>
      </c>
      <c r="E9" s="4" t="s">
        <v>319</v>
      </c>
      <c r="F9" s="19" t="s">
        <v>82</v>
      </c>
      <c r="G9" s="10" t="s">
        <v>13</v>
      </c>
      <c r="H9" s="11">
        <v>3395</v>
      </c>
    </row>
    <row r="10" spans="1:8" ht="20.100000000000001" customHeight="1" x14ac:dyDescent="0.25">
      <c r="A10" s="51"/>
      <c r="B10" s="2">
        <v>45716</v>
      </c>
      <c r="C10" s="3">
        <v>3308143318</v>
      </c>
      <c r="D10" s="3">
        <v>1</v>
      </c>
      <c r="E10" s="4" t="s">
        <v>319</v>
      </c>
      <c r="F10" s="19" t="s">
        <v>321</v>
      </c>
      <c r="G10" s="10" t="s">
        <v>13</v>
      </c>
      <c r="H10" s="11">
        <v>1000</v>
      </c>
    </row>
    <row r="11" spans="1:8" ht="20.100000000000001" customHeight="1" x14ac:dyDescent="0.25">
      <c r="A11" s="51"/>
      <c r="B11" s="2">
        <v>45747</v>
      </c>
      <c r="C11" s="3">
        <v>1859994605</v>
      </c>
      <c r="D11" s="3">
        <v>1</v>
      </c>
      <c r="E11" s="4" t="s">
        <v>319</v>
      </c>
      <c r="F11" s="19" t="s">
        <v>320</v>
      </c>
      <c r="G11" s="10" t="s">
        <v>13</v>
      </c>
      <c r="H11" s="11">
        <v>1461.59</v>
      </c>
    </row>
    <row r="12" spans="1:8" ht="20.100000000000001" customHeight="1" x14ac:dyDescent="0.25">
      <c r="A12" s="51"/>
      <c r="B12" s="2">
        <v>45747</v>
      </c>
      <c r="C12" s="3">
        <v>1859994605</v>
      </c>
      <c r="D12" s="3">
        <v>1</v>
      </c>
      <c r="E12" s="4" t="s">
        <v>319</v>
      </c>
      <c r="F12" s="19" t="s">
        <v>81</v>
      </c>
      <c r="G12" s="10" t="s">
        <v>13</v>
      </c>
      <c r="H12" s="11">
        <v>3055.5</v>
      </c>
    </row>
    <row r="13" spans="1:8" ht="20.100000000000001" customHeight="1" x14ac:dyDescent="0.25">
      <c r="A13" s="51"/>
      <c r="B13" s="2">
        <v>45747</v>
      </c>
      <c r="C13" s="3">
        <v>1859994605</v>
      </c>
      <c r="D13" s="3">
        <v>1</v>
      </c>
      <c r="E13" s="4" t="s">
        <v>319</v>
      </c>
      <c r="F13" s="19" t="s">
        <v>82</v>
      </c>
      <c r="G13" s="10" t="s">
        <v>13</v>
      </c>
      <c r="H13" s="11">
        <v>3395</v>
      </c>
    </row>
    <row r="14" spans="1:8" ht="20.100000000000001" customHeight="1" x14ac:dyDescent="0.25">
      <c r="A14" s="51"/>
      <c r="B14" s="2">
        <v>45777</v>
      </c>
      <c r="C14" s="3">
        <v>1746357008</v>
      </c>
      <c r="D14" s="3">
        <v>1</v>
      </c>
      <c r="E14" s="4" t="s">
        <v>575</v>
      </c>
      <c r="F14" s="19" t="s">
        <v>125</v>
      </c>
      <c r="G14" s="10" t="s">
        <v>13</v>
      </c>
      <c r="H14" s="11">
        <v>1461.59</v>
      </c>
    </row>
    <row r="15" spans="1:8" ht="20.100000000000001" customHeight="1" x14ac:dyDescent="0.25">
      <c r="A15" s="51"/>
      <c r="B15" s="2">
        <v>45777</v>
      </c>
      <c r="C15" s="3">
        <v>1746357008</v>
      </c>
      <c r="D15" s="3">
        <v>1</v>
      </c>
      <c r="E15" s="4" t="s">
        <v>575</v>
      </c>
      <c r="F15" s="19" t="s">
        <v>81</v>
      </c>
      <c r="G15" s="10" t="s">
        <v>13</v>
      </c>
      <c r="H15" s="11">
        <v>3055.5</v>
      </c>
    </row>
    <row r="16" spans="1:8" ht="20.100000000000001" customHeight="1" x14ac:dyDescent="0.25">
      <c r="A16" s="51"/>
      <c r="B16" s="2">
        <v>45777</v>
      </c>
      <c r="C16" s="3">
        <v>1746357008</v>
      </c>
      <c r="D16" s="3">
        <v>1</v>
      </c>
      <c r="E16" s="4" t="s">
        <v>575</v>
      </c>
      <c r="F16" s="19" t="s">
        <v>82</v>
      </c>
      <c r="G16" s="10" t="s">
        <v>13</v>
      </c>
      <c r="H16" s="11">
        <v>3395</v>
      </c>
    </row>
    <row r="17" spans="1:8" ht="20.100000000000001" customHeight="1" x14ac:dyDescent="0.25">
      <c r="A17" s="51"/>
      <c r="B17" s="2">
        <v>45807</v>
      </c>
      <c r="C17" s="3">
        <v>2360295684</v>
      </c>
      <c r="D17" s="3">
        <v>1</v>
      </c>
      <c r="E17" s="4" t="s">
        <v>575</v>
      </c>
      <c r="F17" s="19" t="s">
        <v>714</v>
      </c>
      <c r="G17" s="10" t="s">
        <v>13</v>
      </c>
      <c r="H17" s="11">
        <v>1461.59</v>
      </c>
    </row>
    <row r="18" spans="1:8" ht="20.100000000000001" customHeight="1" x14ac:dyDescent="0.25">
      <c r="A18" s="51"/>
      <c r="B18" s="2">
        <v>45807</v>
      </c>
      <c r="C18" s="3">
        <v>2360295684</v>
      </c>
      <c r="D18" s="3">
        <v>1</v>
      </c>
      <c r="E18" s="4" t="s">
        <v>575</v>
      </c>
      <c r="F18" s="19" t="s">
        <v>81</v>
      </c>
      <c r="G18" s="10" t="s">
        <v>13</v>
      </c>
      <c r="H18" s="11">
        <v>3055.5</v>
      </c>
    </row>
    <row r="19" spans="1:8" ht="20.100000000000001" customHeight="1" x14ac:dyDescent="0.25">
      <c r="A19" s="51"/>
      <c r="B19" s="2">
        <v>45807</v>
      </c>
      <c r="C19" s="3">
        <v>2360295684</v>
      </c>
      <c r="D19" s="3">
        <v>1</v>
      </c>
      <c r="E19" s="4" t="s">
        <v>575</v>
      </c>
      <c r="F19" s="19" t="s">
        <v>82</v>
      </c>
      <c r="G19" s="10" t="s">
        <v>13</v>
      </c>
      <c r="H19" s="11">
        <v>3395</v>
      </c>
    </row>
    <row r="20" spans="1:8" ht="20.100000000000001" customHeight="1" x14ac:dyDescent="0.25">
      <c r="A20" s="51"/>
      <c r="B20" s="2">
        <v>45835</v>
      </c>
      <c r="C20" s="3">
        <v>4210511293</v>
      </c>
      <c r="D20" s="3">
        <v>1</v>
      </c>
      <c r="E20" s="4" t="s">
        <v>575</v>
      </c>
      <c r="F20" s="19" t="s">
        <v>714</v>
      </c>
      <c r="G20" s="10" t="s">
        <v>13</v>
      </c>
      <c r="H20" s="11">
        <v>1461.59</v>
      </c>
    </row>
    <row r="21" spans="1:8" ht="20.100000000000001" customHeight="1" x14ac:dyDescent="0.25">
      <c r="A21" s="51"/>
      <c r="B21" s="2">
        <v>45835</v>
      </c>
      <c r="C21" s="3">
        <v>4210511293</v>
      </c>
      <c r="D21" s="3">
        <v>1</v>
      </c>
      <c r="E21" s="4" t="s">
        <v>575</v>
      </c>
      <c r="F21" s="19" t="s">
        <v>81</v>
      </c>
      <c r="G21" s="10" t="s">
        <v>13</v>
      </c>
      <c r="H21" s="11">
        <v>3055.5</v>
      </c>
    </row>
    <row r="22" spans="1:8" ht="20.100000000000001" customHeight="1" x14ac:dyDescent="0.25">
      <c r="A22" s="51"/>
      <c r="B22" s="2">
        <v>45835</v>
      </c>
      <c r="C22" s="3">
        <v>4210511293</v>
      </c>
      <c r="D22" s="3">
        <v>1</v>
      </c>
      <c r="E22" s="4" t="s">
        <v>575</v>
      </c>
      <c r="F22" s="19" t="s">
        <v>82</v>
      </c>
      <c r="G22" s="10" t="s">
        <v>13</v>
      </c>
      <c r="H22" s="11">
        <v>3395</v>
      </c>
    </row>
    <row r="23" spans="1:8" ht="20.100000000000001" customHeight="1" x14ac:dyDescent="0.25">
      <c r="A23" s="51"/>
      <c r="B23" s="2">
        <v>45869</v>
      </c>
      <c r="C23" s="3">
        <v>3880208171</v>
      </c>
      <c r="D23" s="3">
        <v>1</v>
      </c>
      <c r="E23" s="4" t="s">
        <v>575</v>
      </c>
      <c r="F23" s="19" t="s">
        <v>714</v>
      </c>
      <c r="G23" s="5" t="s">
        <v>13</v>
      </c>
      <c r="H23" s="6">
        <v>1461.59</v>
      </c>
    </row>
    <row r="24" spans="1:8" ht="20.100000000000001" customHeight="1" x14ac:dyDescent="0.25">
      <c r="A24" s="51"/>
      <c r="B24" s="2">
        <v>45869</v>
      </c>
      <c r="C24" s="3">
        <v>3880208171</v>
      </c>
      <c r="D24" s="3">
        <v>1</v>
      </c>
      <c r="E24" s="4" t="s">
        <v>575</v>
      </c>
      <c r="F24" s="19" t="s">
        <v>81</v>
      </c>
      <c r="G24" s="5" t="s">
        <v>13</v>
      </c>
      <c r="H24" s="6">
        <v>3055.5</v>
      </c>
    </row>
    <row r="25" spans="1:8" ht="20.100000000000001" customHeight="1" x14ac:dyDescent="0.25">
      <c r="A25" s="51"/>
      <c r="B25" s="2">
        <v>45869</v>
      </c>
      <c r="C25" s="3">
        <v>3880208171</v>
      </c>
      <c r="D25" s="3">
        <v>1</v>
      </c>
      <c r="E25" s="4" t="s">
        <v>575</v>
      </c>
      <c r="F25" s="19" t="s">
        <v>82</v>
      </c>
      <c r="G25" s="5" t="s">
        <v>13</v>
      </c>
      <c r="H25" s="6">
        <v>3395</v>
      </c>
    </row>
    <row r="26" spans="1:8" ht="20.100000000000001" customHeight="1" x14ac:dyDescent="0.25">
      <c r="A26" s="51"/>
      <c r="B26" s="2">
        <v>45869</v>
      </c>
      <c r="C26" s="3">
        <v>3880208171</v>
      </c>
      <c r="D26" s="3">
        <v>1</v>
      </c>
      <c r="E26" s="4" t="s">
        <v>575</v>
      </c>
      <c r="F26" s="19" t="s">
        <v>814</v>
      </c>
      <c r="G26" s="5" t="s">
        <v>13</v>
      </c>
      <c r="H26" s="6">
        <v>1000</v>
      </c>
    </row>
    <row r="27" spans="1:8" ht="20.100000000000001" customHeight="1" x14ac:dyDescent="0.25">
      <c r="A27" s="51"/>
      <c r="B27" s="2">
        <v>45898</v>
      </c>
      <c r="C27" s="3">
        <v>3955903457</v>
      </c>
      <c r="D27" s="3">
        <v>1</v>
      </c>
      <c r="E27" s="4" t="s">
        <v>575</v>
      </c>
      <c r="F27" s="4" t="s">
        <v>714</v>
      </c>
      <c r="G27" s="5" t="s">
        <v>13</v>
      </c>
      <c r="H27" s="6">
        <v>1461.59</v>
      </c>
    </row>
    <row r="28" spans="1:8" ht="20.100000000000001" customHeight="1" x14ac:dyDescent="0.25">
      <c r="A28" s="51"/>
      <c r="B28" s="2">
        <v>45898</v>
      </c>
      <c r="C28" s="3">
        <v>3955903457</v>
      </c>
      <c r="D28" s="3">
        <v>1</v>
      </c>
      <c r="E28" s="4" t="s">
        <v>575</v>
      </c>
      <c r="F28" s="4" t="s">
        <v>81</v>
      </c>
      <c r="G28" s="5" t="s">
        <v>13</v>
      </c>
      <c r="H28" s="6">
        <v>3055.5</v>
      </c>
    </row>
    <row r="29" spans="1:8" ht="20.100000000000001" customHeight="1" x14ac:dyDescent="0.25">
      <c r="A29" s="51"/>
      <c r="B29" s="2">
        <v>45898</v>
      </c>
      <c r="C29" s="3">
        <v>3955903457</v>
      </c>
      <c r="D29" s="3">
        <v>1</v>
      </c>
      <c r="E29" s="4" t="s">
        <v>575</v>
      </c>
      <c r="F29" s="4" t="s">
        <v>82</v>
      </c>
      <c r="G29" s="5" t="s">
        <v>13</v>
      </c>
      <c r="H29" s="6">
        <v>3395</v>
      </c>
    </row>
    <row r="30" spans="1:8" ht="20.100000000000001" customHeight="1" x14ac:dyDescent="0.25">
      <c r="A30" s="51"/>
      <c r="B30" s="2">
        <v>45930</v>
      </c>
      <c r="C30" s="3">
        <v>3385082600</v>
      </c>
      <c r="D30" s="3">
        <v>1</v>
      </c>
      <c r="E30" s="4" t="s">
        <v>575</v>
      </c>
      <c r="F30" s="4" t="s">
        <v>714</v>
      </c>
      <c r="G30" s="5" t="s">
        <v>13</v>
      </c>
      <c r="H30" s="6">
        <v>1461.59</v>
      </c>
    </row>
    <row r="31" spans="1:8" ht="20.100000000000001" customHeight="1" x14ac:dyDescent="0.25">
      <c r="A31" s="51"/>
      <c r="B31" s="2">
        <v>45930</v>
      </c>
      <c r="C31" s="3">
        <v>3385082600</v>
      </c>
      <c r="D31" s="3">
        <v>1</v>
      </c>
      <c r="E31" s="4" t="s">
        <v>575</v>
      </c>
      <c r="F31" s="4" t="s">
        <v>81</v>
      </c>
      <c r="G31" s="5" t="s">
        <v>13</v>
      </c>
      <c r="H31" s="6">
        <v>3055.5</v>
      </c>
    </row>
    <row r="32" spans="1:8" ht="20.100000000000001" customHeight="1" x14ac:dyDescent="0.25">
      <c r="A32" s="51"/>
      <c r="B32" s="2">
        <v>45930</v>
      </c>
      <c r="C32" s="3">
        <v>3385082600</v>
      </c>
      <c r="D32" s="3">
        <v>1</v>
      </c>
      <c r="E32" s="4" t="s">
        <v>575</v>
      </c>
      <c r="F32" s="4" t="s">
        <v>82</v>
      </c>
      <c r="G32" s="5" t="s">
        <v>13</v>
      </c>
      <c r="H32" s="6">
        <v>3395</v>
      </c>
    </row>
    <row r="33" spans="1:8" ht="20.100000000000001" customHeight="1" x14ac:dyDescent="0.25">
      <c r="A33" s="51"/>
      <c r="B33" s="47">
        <v>45961</v>
      </c>
      <c r="C33" s="48">
        <v>1351762432</v>
      </c>
      <c r="D33" s="3">
        <v>1</v>
      </c>
      <c r="E33" s="28" t="s">
        <v>575</v>
      </c>
      <c r="F33" s="28" t="s">
        <v>714</v>
      </c>
      <c r="G33" s="49" t="s">
        <v>13</v>
      </c>
      <c r="H33" s="6">
        <v>1461.59</v>
      </c>
    </row>
    <row r="34" spans="1:8" ht="20.100000000000001" customHeight="1" x14ac:dyDescent="0.25">
      <c r="A34" s="51"/>
      <c r="B34" s="47">
        <v>45961</v>
      </c>
      <c r="C34" s="48">
        <v>1351762432</v>
      </c>
      <c r="D34" s="3">
        <v>1</v>
      </c>
      <c r="E34" s="28" t="s">
        <v>575</v>
      </c>
      <c r="F34" s="28" t="s">
        <v>81</v>
      </c>
      <c r="G34" s="49" t="s">
        <v>13</v>
      </c>
      <c r="H34" s="6">
        <v>3055.5</v>
      </c>
    </row>
    <row r="35" spans="1:8" ht="20.100000000000001" customHeight="1" x14ac:dyDescent="0.25">
      <c r="A35" s="51"/>
      <c r="B35" s="47">
        <v>45961</v>
      </c>
      <c r="C35" s="48">
        <v>1351762432</v>
      </c>
      <c r="D35" s="3">
        <v>1</v>
      </c>
      <c r="E35" s="28" t="s">
        <v>575</v>
      </c>
      <c r="F35" s="28" t="s">
        <v>82</v>
      </c>
      <c r="G35" s="49" t="s">
        <v>13</v>
      </c>
      <c r="H35" s="6">
        <v>3395</v>
      </c>
    </row>
    <row r="36" spans="1:8" ht="20.100000000000001" customHeight="1" x14ac:dyDescent="0.25">
      <c r="A36" s="51"/>
      <c r="B36" s="47">
        <v>45961</v>
      </c>
      <c r="C36" s="48">
        <v>1351762432</v>
      </c>
      <c r="D36" s="3">
        <v>1</v>
      </c>
      <c r="E36" s="28" t="s">
        <v>575</v>
      </c>
      <c r="F36" s="28" t="s">
        <v>1070</v>
      </c>
      <c r="G36" s="49" t="s">
        <v>13</v>
      </c>
      <c r="H36" s="6">
        <v>1500</v>
      </c>
    </row>
    <row r="37" spans="1:8" ht="20.100000000000001" customHeight="1" x14ac:dyDescent="0.25">
      <c r="A37" s="51"/>
      <c r="B37" s="47">
        <v>45992</v>
      </c>
      <c r="C37" s="48">
        <v>2824946571</v>
      </c>
      <c r="D37" s="3">
        <v>1</v>
      </c>
      <c r="E37" s="28" t="s">
        <v>575</v>
      </c>
      <c r="F37" s="28" t="s">
        <v>125</v>
      </c>
      <c r="G37" s="49" t="s">
        <v>13</v>
      </c>
      <c r="H37" s="6">
        <v>1461.59</v>
      </c>
    </row>
    <row r="38" spans="1:8" ht="20.100000000000001" customHeight="1" x14ac:dyDescent="0.25">
      <c r="A38" s="51"/>
      <c r="B38" s="47">
        <v>45992</v>
      </c>
      <c r="C38" s="48">
        <v>2824946571</v>
      </c>
      <c r="D38" s="3">
        <v>1</v>
      </c>
      <c r="E38" s="28" t="s">
        <v>575</v>
      </c>
      <c r="F38" s="28" t="s">
        <v>81</v>
      </c>
      <c r="G38" s="49" t="s">
        <v>13</v>
      </c>
      <c r="H38" s="6">
        <v>3055.5</v>
      </c>
    </row>
    <row r="39" spans="1:8" ht="20.100000000000001" customHeight="1" x14ac:dyDescent="0.25">
      <c r="A39" s="51"/>
      <c r="B39" s="47">
        <v>45992</v>
      </c>
      <c r="C39" s="48">
        <v>2824946571</v>
      </c>
      <c r="D39" s="3">
        <v>1</v>
      </c>
      <c r="E39" s="28" t="s">
        <v>575</v>
      </c>
      <c r="F39" s="28" t="s">
        <v>82</v>
      </c>
      <c r="G39" s="49" t="s">
        <v>13</v>
      </c>
      <c r="H39" s="6">
        <v>3395</v>
      </c>
    </row>
    <row r="40" spans="1:8" ht="20.100000000000001" customHeight="1" x14ac:dyDescent="0.25">
      <c r="A40" s="51"/>
      <c r="B40" s="47">
        <v>46006</v>
      </c>
      <c r="C40" s="48">
        <v>3218951089</v>
      </c>
      <c r="D40" s="3">
        <v>1</v>
      </c>
      <c r="E40" s="28" t="s">
        <v>575</v>
      </c>
      <c r="F40" s="28" t="s">
        <v>1267</v>
      </c>
      <c r="G40" s="49" t="s">
        <v>13</v>
      </c>
      <c r="H40" s="6">
        <v>1461.59</v>
      </c>
    </row>
    <row r="41" spans="1:8" ht="20.100000000000001" customHeight="1" x14ac:dyDescent="0.25">
      <c r="A41" s="51"/>
      <c r="B41" s="47">
        <v>46006</v>
      </c>
      <c r="C41" s="48">
        <v>3218951089</v>
      </c>
      <c r="D41" s="3">
        <v>1</v>
      </c>
      <c r="E41" s="28" t="s">
        <v>575</v>
      </c>
      <c r="F41" s="28" t="s">
        <v>81</v>
      </c>
      <c r="G41" s="49" t="s">
        <v>13</v>
      </c>
      <c r="H41" s="6">
        <v>3055.5</v>
      </c>
    </row>
    <row r="42" spans="1:8" ht="20.100000000000001" customHeight="1" x14ac:dyDescent="0.25">
      <c r="A42" s="51"/>
      <c r="B42" s="47">
        <v>46006</v>
      </c>
      <c r="C42" s="48">
        <v>3218951089</v>
      </c>
      <c r="D42" s="3">
        <v>1</v>
      </c>
      <c r="E42" s="28" t="s">
        <v>575</v>
      </c>
      <c r="F42" s="28" t="s">
        <v>82</v>
      </c>
      <c r="G42" s="49" t="s">
        <v>13</v>
      </c>
      <c r="H42" s="6">
        <v>3395</v>
      </c>
    </row>
    <row r="43" spans="1:8" ht="20.100000000000001" customHeight="1" x14ac:dyDescent="0.25">
      <c r="A43" s="52"/>
      <c r="B43" s="13"/>
      <c r="C43" s="14"/>
      <c r="D43" s="14"/>
      <c r="E43" s="14" t="s">
        <v>5</v>
      </c>
      <c r="F43" s="15"/>
      <c r="G43" s="16"/>
      <c r="H43" s="17">
        <f>SUM(H3:H42)</f>
        <v>99645.079999999973</v>
      </c>
    </row>
    <row r="44" spans="1:8" ht="20.100000000000001" customHeight="1" x14ac:dyDescent="0.25">
      <c r="A44" s="7"/>
      <c r="B44" s="8"/>
      <c r="C44" s="8"/>
      <c r="D44" s="8"/>
      <c r="E44" s="8"/>
      <c r="F44" s="12"/>
      <c r="G44" s="8"/>
      <c r="H44" s="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9"/>
  <dimension ref="A1:H7"/>
  <sheetViews>
    <sheetView workbookViewId="0">
      <selection sqref="A1:A6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9" t="s">
        <v>50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80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80"/>
      <c r="B3" s="2">
        <v>45929</v>
      </c>
      <c r="C3" s="3">
        <v>463684557</v>
      </c>
      <c r="D3" s="3">
        <v>1</v>
      </c>
      <c r="E3" s="4" t="s">
        <v>1007</v>
      </c>
      <c r="F3" s="4" t="s">
        <v>1008</v>
      </c>
      <c r="G3" s="5" t="s">
        <v>6</v>
      </c>
      <c r="H3" s="6">
        <v>40</v>
      </c>
    </row>
    <row r="4" spans="1:8" ht="15" customHeight="1" x14ac:dyDescent="0.25">
      <c r="A4" s="80"/>
      <c r="B4" s="2">
        <v>45930</v>
      </c>
      <c r="C4" s="3">
        <v>389562651</v>
      </c>
      <c r="D4" s="3">
        <v>1</v>
      </c>
      <c r="E4" s="4" t="s">
        <v>1009</v>
      </c>
      <c r="F4" s="4" t="s">
        <v>1008</v>
      </c>
      <c r="G4" s="5" t="s">
        <v>6</v>
      </c>
      <c r="H4" s="6">
        <v>50</v>
      </c>
    </row>
    <row r="5" spans="1:8" ht="15" customHeight="1" x14ac:dyDescent="0.25">
      <c r="A5" s="80"/>
      <c r="B5" s="47">
        <v>45978</v>
      </c>
      <c r="C5" s="48">
        <v>2929608375</v>
      </c>
      <c r="D5" s="3">
        <v>1</v>
      </c>
      <c r="E5" s="28" t="s">
        <v>443</v>
      </c>
      <c r="F5" s="28" t="s">
        <v>1008</v>
      </c>
      <c r="G5" s="49" t="s">
        <v>19</v>
      </c>
      <c r="H5" s="6">
        <v>30</v>
      </c>
    </row>
    <row r="6" spans="1:8" ht="20.100000000000001" customHeight="1" x14ac:dyDescent="0.25">
      <c r="A6" s="81"/>
      <c r="B6" s="13"/>
      <c r="C6" s="14"/>
      <c r="D6" s="14"/>
      <c r="E6" s="14" t="s">
        <v>5</v>
      </c>
      <c r="F6" s="15"/>
      <c r="G6" s="16"/>
      <c r="H6" s="39">
        <f>SUM(H3:H5)</f>
        <v>120</v>
      </c>
    </row>
    <row r="7" spans="1:8" ht="20.100000000000001" customHeight="1" x14ac:dyDescent="0.25">
      <c r="A7" s="7"/>
      <c r="B7" s="8"/>
      <c r="C7" s="8"/>
      <c r="D7" s="8"/>
      <c r="E7" s="8"/>
      <c r="F7" s="12"/>
      <c r="G7" s="8"/>
      <c r="H7" s="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/>
  <dimension ref="A1:H6"/>
  <sheetViews>
    <sheetView workbookViewId="0">
      <selection sqref="A1:A5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103" t="s">
        <v>49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104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104"/>
      <c r="B3" s="47">
        <v>45947</v>
      </c>
      <c r="C3" s="48">
        <v>4241509226</v>
      </c>
      <c r="D3" s="3">
        <v>1</v>
      </c>
      <c r="E3" s="28" t="s">
        <v>1053</v>
      </c>
      <c r="F3" s="28" t="s">
        <v>1072</v>
      </c>
      <c r="G3" s="49" t="s">
        <v>10</v>
      </c>
      <c r="H3" s="6">
        <v>19050</v>
      </c>
    </row>
    <row r="4" spans="1:8" ht="15" customHeight="1" x14ac:dyDescent="0.25">
      <c r="A4" s="104"/>
      <c r="B4" s="47">
        <v>45965</v>
      </c>
      <c r="C4" s="48">
        <v>3854256230</v>
      </c>
      <c r="D4" s="3">
        <v>1</v>
      </c>
      <c r="E4" s="28" t="s">
        <v>241</v>
      </c>
      <c r="F4" s="28" t="s">
        <v>1072</v>
      </c>
      <c r="G4" s="49" t="s">
        <v>19</v>
      </c>
      <c r="H4" s="6">
        <v>19050</v>
      </c>
    </row>
    <row r="5" spans="1:8" ht="20.100000000000001" customHeight="1" x14ac:dyDescent="0.25">
      <c r="A5" s="105"/>
      <c r="B5" s="13"/>
      <c r="C5" s="14"/>
      <c r="D5" s="14"/>
      <c r="E5" s="14" t="s">
        <v>5</v>
      </c>
      <c r="F5" s="15"/>
      <c r="G5" s="16"/>
      <c r="H5" s="17">
        <f>SUM(H3:H4)</f>
        <v>38100</v>
      </c>
    </row>
    <row r="6" spans="1:8" ht="20.100000000000001" customHeight="1" x14ac:dyDescent="0.25">
      <c r="A6" s="7"/>
      <c r="B6" s="8"/>
      <c r="C6" s="8"/>
      <c r="D6" s="8"/>
      <c r="E6" s="8"/>
      <c r="F6" s="12"/>
      <c r="G6" s="8"/>
      <c r="H6" s="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1"/>
  <dimension ref="A1:H15"/>
  <sheetViews>
    <sheetView workbookViewId="0">
      <pane ySplit="2" topLeftCell="A3" activePane="bottomLeft" state="frozen"/>
      <selection pane="bottomLeft" sqref="A1:A11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56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77"/>
      <c r="B3" s="2">
        <v>45727</v>
      </c>
      <c r="C3" s="3">
        <v>627262424</v>
      </c>
      <c r="D3" s="3">
        <v>3</v>
      </c>
      <c r="E3" s="4" t="s">
        <v>279</v>
      </c>
      <c r="F3" s="19" t="s">
        <v>414</v>
      </c>
      <c r="G3" s="10" t="s">
        <v>11</v>
      </c>
      <c r="H3" s="11">
        <v>1800</v>
      </c>
    </row>
    <row r="4" spans="1:8" ht="15" customHeight="1" x14ac:dyDescent="0.25">
      <c r="A4" s="77"/>
      <c r="B4" s="2">
        <v>45818</v>
      </c>
      <c r="C4" s="3">
        <v>3078900313</v>
      </c>
      <c r="D4" s="3">
        <v>1</v>
      </c>
      <c r="E4" s="4" t="s">
        <v>715</v>
      </c>
      <c r="F4" s="19" t="s">
        <v>716</v>
      </c>
      <c r="G4" s="10" t="s">
        <v>7</v>
      </c>
      <c r="H4" s="11">
        <v>850</v>
      </c>
    </row>
    <row r="5" spans="1:8" ht="15" customHeight="1" x14ac:dyDescent="0.25">
      <c r="A5" s="77"/>
      <c r="B5" s="2">
        <v>45820</v>
      </c>
      <c r="C5" s="3">
        <v>2583184228</v>
      </c>
      <c r="D5" s="3">
        <v>4</v>
      </c>
      <c r="E5" s="4" t="s">
        <v>665</v>
      </c>
      <c r="F5" s="19" t="s">
        <v>717</v>
      </c>
      <c r="G5" s="10" t="s">
        <v>10</v>
      </c>
      <c r="H5" s="11">
        <v>2400</v>
      </c>
    </row>
    <row r="6" spans="1:8" ht="15" customHeight="1" x14ac:dyDescent="0.25">
      <c r="A6" s="77"/>
      <c r="B6" s="2">
        <v>45827</v>
      </c>
      <c r="C6" s="3">
        <v>419056101</v>
      </c>
      <c r="D6" s="3">
        <v>6</v>
      </c>
      <c r="E6" s="4" t="s">
        <v>501</v>
      </c>
      <c r="F6" s="19" t="s">
        <v>718</v>
      </c>
      <c r="G6" s="10" t="s">
        <v>7</v>
      </c>
      <c r="H6" s="11">
        <v>3600</v>
      </c>
    </row>
    <row r="7" spans="1:8" ht="15" customHeight="1" x14ac:dyDescent="0.25">
      <c r="A7" s="77"/>
      <c r="B7" s="2">
        <v>45853</v>
      </c>
      <c r="C7" s="3">
        <v>3386917913</v>
      </c>
      <c r="D7" s="3">
        <v>3</v>
      </c>
      <c r="E7" s="4" t="s">
        <v>754</v>
      </c>
      <c r="F7" s="19" t="s">
        <v>815</v>
      </c>
      <c r="G7" s="10" t="s">
        <v>7</v>
      </c>
      <c r="H7" s="11">
        <v>849.99900000000002</v>
      </c>
    </row>
    <row r="8" spans="1:8" ht="15" customHeight="1" x14ac:dyDescent="0.25">
      <c r="A8" s="77"/>
      <c r="B8" s="2">
        <v>45917</v>
      </c>
      <c r="C8" s="3">
        <v>707020684</v>
      </c>
      <c r="D8" s="3">
        <v>3</v>
      </c>
      <c r="E8" s="4" t="s">
        <v>500</v>
      </c>
      <c r="F8" s="19" t="s">
        <v>815</v>
      </c>
      <c r="G8" s="10" t="s">
        <v>7</v>
      </c>
      <c r="H8" s="11">
        <v>1050</v>
      </c>
    </row>
    <row r="9" spans="1:8" ht="15" customHeight="1" x14ac:dyDescent="0.25">
      <c r="A9" s="77"/>
      <c r="B9" s="2">
        <v>45926</v>
      </c>
      <c r="C9" s="3">
        <v>1444564183</v>
      </c>
      <c r="D9" s="3">
        <v>3</v>
      </c>
      <c r="E9" s="4" t="s">
        <v>955</v>
      </c>
      <c r="F9" s="19" t="s">
        <v>1010</v>
      </c>
      <c r="G9" s="10" t="s">
        <v>7</v>
      </c>
      <c r="H9" s="11">
        <v>1140</v>
      </c>
    </row>
    <row r="10" spans="1:8" ht="15" customHeight="1" x14ac:dyDescent="0.25">
      <c r="A10" s="77"/>
      <c r="B10" s="47">
        <v>45939</v>
      </c>
      <c r="C10" s="48">
        <v>2570735132</v>
      </c>
      <c r="D10" s="3">
        <v>3</v>
      </c>
      <c r="E10" s="28" t="s">
        <v>235</v>
      </c>
      <c r="F10" s="28" t="s">
        <v>1073</v>
      </c>
      <c r="G10" s="49" t="s">
        <v>7</v>
      </c>
      <c r="H10" s="6">
        <v>1800</v>
      </c>
    </row>
    <row r="11" spans="1:8" ht="20.100000000000001" customHeight="1" x14ac:dyDescent="0.25">
      <c r="A11" s="78"/>
      <c r="B11" s="13"/>
      <c r="C11" s="14"/>
      <c r="D11" s="14"/>
      <c r="E11" s="14" t="s">
        <v>5</v>
      </c>
      <c r="F11" s="15"/>
      <c r="G11" s="16"/>
      <c r="H11" s="17">
        <f>SUM(H3:H10)</f>
        <v>13489.999</v>
      </c>
    </row>
    <row r="12" spans="1:8" ht="20.100000000000001" customHeight="1" x14ac:dyDescent="0.25">
      <c r="F12"/>
    </row>
    <row r="13" spans="1:8" x14ac:dyDescent="0.25">
      <c r="F13"/>
    </row>
    <row r="14" spans="1:8" x14ac:dyDescent="0.25">
      <c r="F14"/>
    </row>
    <row r="15" spans="1:8" x14ac:dyDescent="0.25">
      <c r="F15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2"/>
  <dimension ref="A1:H11"/>
  <sheetViews>
    <sheetView workbookViewId="0">
      <pane ySplit="2" topLeftCell="A3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1.5703125" bestFit="1" customWidth="1"/>
    <col min="8" max="8" width="14.28515625" bestFit="1" customWidth="1"/>
  </cols>
  <sheetData>
    <row r="1" spans="1:8" ht="35.25" customHeight="1" x14ac:dyDescent="0.25">
      <c r="A1" s="76" t="s">
        <v>57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54"/>
      <c r="B3" s="2">
        <v>45674</v>
      </c>
      <c r="C3" s="3">
        <v>761415908</v>
      </c>
      <c r="D3" s="3">
        <v>2</v>
      </c>
      <c r="E3" s="4" t="s">
        <v>154</v>
      </c>
      <c r="F3" s="19" t="s">
        <v>57</v>
      </c>
      <c r="G3" s="10" t="s">
        <v>7</v>
      </c>
      <c r="H3" s="11">
        <v>5000</v>
      </c>
    </row>
    <row r="4" spans="1:8" ht="15" customHeight="1" x14ac:dyDescent="0.25">
      <c r="A4" s="54"/>
      <c r="B4" s="2">
        <v>45680</v>
      </c>
      <c r="C4" s="3">
        <v>1896892491</v>
      </c>
      <c r="D4" s="3">
        <v>2</v>
      </c>
      <c r="E4" s="4" t="s">
        <v>185</v>
      </c>
      <c r="F4" s="19" t="s">
        <v>57</v>
      </c>
      <c r="G4" s="10" t="s">
        <v>6</v>
      </c>
      <c r="H4" s="11">
        <v>5000</v>
      </c>
    </row>
    <row r="5" spans="1:8" ht="15" customHeight="1" x14ac:dyDescent="0.25">
      <c r="A5" s="54"/>
      <c r="B5" s="2">
        <v>45786</v>
      </c>
      <c r="C5" s="3">
        <v>76993638</v>
      </c>
      <c r="D5" s="3">
        <v>2</v>
      </c>
      <c r="E5" s="4" t="s">
        <v>338</v>
      </c>
      <c r="F5" s="19" t="s">
        <v>57</v>
      </c>
      <c r="G5" s="10" t="s">
        <v>6</v>
      </c>
      <c r="H5" s="11">
        <v>5000</v>
      </c>
    </row>
    <row r="6" spans="1:8" ht="15" customHeight="1" x14ac:dyDescent="0.25">
      <c r="A6" s="54"/>
      <c r="B6" s="2">
        <v>45817</v>
      </c>
      <c r="C6" s="3">
        <v>3841346753</v>
      </c>
      <c r="D6" s="3">
        <v>2</v>
      </c>
      <c r="E6" s="4" t="s">
        <v>647</v>
      </c>
      <c r="F6" s="19" t="s">
        <v>57</v>
      </c>
      <c r="G6" s="10" t="s">
        <v>7</v>
      </c>
      <c r="H6" s="11">
        <v>5500</v>
      </c>
    </row>
    <row r="7" spans="1:8" ht="15" customHeight="1" x14ac:dyDescent="0.25">
      <c r="A7" s="54"/>
      <c r="B7" s="2">
        <v>45876</v>
      </c>
      <c r="C7" s="3">
        <v>1851084296</v>
      </c>
      <c r="D7" s="3">
        <v>2</v>
      </c>
      <c r="E7" s="4" t="s">
        <v>534</v>
      </c>
      <c r="F7" s="4" t="s">
        <v>57</v>
      </c>
      <c r="G7" s="5" t="s">
        <v>7</v>
      </c>
      <c r="H7" s="6">
        <v>5000</v>
      </c>
    </row>
    <row r="8" spans="1:8" ht="20.100000000000001" customHeight="1" x14ac:dyDescent="0.25">
      <c r="A8" s="55"/>
      <c r="B8" s="13"/>
      <c r="C8" s="14"/>
      <c r="D8" s="14"/>
      <c r="E8" s="14" t="s">
        <v>5</v>
      </c>
      <c r="F8" s="15"/>
      <c r="G8" s="16"/>
      <c r="H8" s="17">
        <f>SUM(H3:H7)</f>
        <v>25500</v>
      </c>
    </row>
    <row r="9" spans="1:8" ht="20.100000000000001" customHeight="1" x14ac:dyDescent="0.25">
      <c r="F9"/>
    </row>
    <row r="10" spans="1:8" x14ac:dyDescent="0.25">
      <c r="F10"/>
    </row>
    <row r="11" spans="1:8" x14ac:dyDescent="0.25">
      <c r="F11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3"/>
  <dimension ref="A1:H6"/>
  <sheetViews>
    <sheetView workbookViewId="0">
      <selection sqref="A1:A4"/>
    </sheetView>
  </sheetViews>
  <sheetFormatPr baseColWidth="10" defaultColWidth="9.140625" defaultRowHeight="15" x14ac:dyDescent="0.25"/>
  <cols>
    <col min="1" max="1" width="14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33" customHeight="1" x14ac:dyDescent="0.25">
      <c r="A1" s="76" t="s">
        <v>58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77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6">
        <v>0</v>
      </c>
    </row>
    <row r="4" spans="1:8" ht="20.100000000000001" customHeight="1" x14ac:dyDescent="0.25">
      <c r="A4" s="78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F5"/>
    </row>
    <row r="6" spans="1:8" x14ac:dyDescent="0.25">
      <c r="F6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4"/>
  <dimension ref="A1:H367"/>
  <sheetViews>
    <sheetView workbookViewId="0">
      <pane ySplit="2" topLeftCell="A340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9" t="s">
        <v>60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1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51"/>
      <c r="B3" s="2">
        <v>45741</v>
      </c>
      <c r="C3" s="3">
        <v>191186041</v>
      </c>
      <c r="D3" s="3">
        <v>64</v>
      </c>
      <c r="E3" s="4" t="s">
        <v>415</v>
      </c>
      <c r="F3" s="19" t="s">
        <v>417</v>
      </c>
      <c r="G3" s="10" t="s">
        <v>6</v>
      </c>
      <c r="H3" s="11">
        <v>3520</v>
      </c>
    </row>
    <row r="4" spans="1:8" ht="15" customHeight="1" x14ac:dyDescent="0.25">
      <c r="A4" s="51"/>
      <c r="B4" s="2">
        <v>45741</v>
      </c>
      <c r="C4" s="3">
        <v>2828223427</v>
      </c>
      <c r="D4" s="3">
        <v>45</v>
      </c>
      <c r="E4" s="4" t="s">
        <v>416</v>
      </c>
      <c r="F4" s="19" t="s">
        <v>417</v>
      </c>
      <c r="G4" s="10" t="s">
        <v>6</v>
      </c>
      <c r="H4" s="11">
        <v>2475</v>
      </c>
    </row>
    <row r="5" spans="1:8" ht="15" customHeight="1" x14ac:dyDescent="0.25">
      <c r="A5" s="51"/>
      <c r="B5" s="2">
        <v>45741</v>
      </c>
      <c r="C5" s="3">
        <v>2551202003</v>
      </c>
      <c r="D5" s="3">
        <v>25</v>
      </c>
      <c r="E5" s="4" t="s">
        <v>418</v>
      </c>
      <c r="F5" s="19" t="s">
        <v>417</v>
      </c>
      <c r="G5" s="10" t="s">
        <v>11</v>
      </c>
      <c r="H5" s="11">
        <v>1375</v>
      </c>
    </row>
    <row r="6" spans="1:8" ht="15" customHeight="1" x14ac:dyDescent="0.25">
      <c r="A6" s="51"/>
      <c r="B6" s="2">
        <v>45741</v>
      </c>
      <c r="C6" s="3">
        <v>382681631</v>
      </c>
      <c r="D6" s="3">
        <v>19</v>
      </c>
      <c r="E6" s="4" t="s">
        <v>419</v>
      </c>
      <c r="F6" s="19" t="s">
        <v>417</v>
      </c>
      <c r="G6" s="10" t="s">
        <v>6</v>
      </c>
      <c r="H6" s="11">
        <v>1045</v>
      </c>
    </row>
    <row r="7" spans="1:8" ht="15" customHeight="1" x14ac:dyDescent="0.25">
      <c r="A7" s="51"/>
      <c r="B7" s="2">
        <v>45741</v>
      </c>
      <c r="C7" s="3">
        <v>501434772</v>
      </c>
      <c r="D7" s="3">
        <v>59</v>
      </c>
      <c r="E7" s="4" t="s">
        <v>420</v>
      </c>
      <c r="F7" s="19" t="s">
        <v>417</v>
      </c>
      <c r="G7" s="10" t="s">
        <v>6</v>
      </c>
      <c r="H7" s="11">
        <v>3245</v>
      </c>
    </row>
    <row r="8" spans="1:8" ht="15" customHeight="1" x14ac:dyDescent="0.25">
      <c r="A8" s="51"/>
      <c r="B8" s="2">
        <v>45741</v>
      </c>
      <c r="C8" s="3">
        <v>970606632</v>
      </c>
      <c r="D8" s="3">
        <v>38</v>
      </c>
      <c r="E8" s="4" t="s">
        <v>421</v>
      </c>
      <c r="F8" s="19" t="s">
        <v>417</v>
      </c>
      <c r="G8" s="10" t="s">
        <v>6</v>
      </c>
      <c r="H8" s="11">
        <v>2090</v>
      </c>
    </row>
    <row r="9" spans="1:8" ht="15" customHeight="1" x14ac:dyDescent="0.25">
      <c r="A9" s="51"/>
      <c r="B9" s="2">
        <v>45741</v>
      </c>
      <c r="C9" s="3">
        <v>305610913</v>
      </c>
      <c r="D9" s="3">
        <v>59</v>
      </c>
      <c r="E9" s="4" t="s">
        <v>422</v>
      </c>
      <c r="F9" s="19" t="s">
        <v>417</v>
      </c>
      <c r="G9" s="10" t="s">
        <v>6</v>
      </c>
      <c r="H9" s="11">
        <v>3245</v>
      </c>
    </row>
    <row r="10" spans="1:8" ht="15" customHeight="1" x14ac:dyDescent="0.25">
      <c r="A10" s="51"/>
      <c r="B10" s="2">
        <v>45741</v>
      </c>
      <c r="C10" s="3">
        <v>2660451737</v>
      </c>
      <c r="D10" s="3">
        <v>63</v>
      </c>
      <c r="E10" s="4" t="s">
        <v>423</v>
      </c>
      <c r="F10" s="19" t="s">
        <v>417</v>
      </c>
      <c r="G10" s="10" t="s">
        <v>6</v>
      </c>
      <c r="H10" s="11">
        <v>3465</v>
      </c>
    </row>
    <row r="11" spans="1:8" ht="15" customHeight="1" x14ac:dyDescent="0.25">
      <c r="A11" s="51"/>
      <c r="B11" s="2">
        <v>45741</v>
      </c>
      <c r="C11" s="3">
        <v>4230040970</v>
      </c>
      <c r="D11" s="3">
        <v>36</v>
      </c>
      <c r="E11" s="4" t="s">
        <v>424</v>
      </c>
      <c r="F11" s="19" t="s">
        <v>417</v>
      </c>
      <c r="G11" s="10" t="s">
        <v>6</v>
      </c>
      <c r="H11" s="11">
        <v>1980</v>
      </c>
    </row>
    <row r="12" spans="1:8" ht="15" customHeight="1" x14ac:dyDescent="0.25">
      <c r="A12" s="51"/>
      <c r="B12" s="2">
        <v>45741</v>
      </c>
      <c r="C12" s="3">
        <v>4060958719</v>
      </c>
      <c r="D12" s="3">
        <v>23</v>
      </c>
      <c r="E12" s="4" t="s">
        <v>425</v>
      </c>
      <c r="F12" s="19" t="s">
        <v>417</v>
      </c>
      <c r="G12" s="10" t="s">
        <v>432</v>
      </c>
      <c r="H12" s="11">
        <v>1179.9989</v>
      </c>
    </row>
    <row r="13" spans="1:8" ht="15" customHeight="1" x14ac:dyDescent="0.25">
      <c r="A13" s="51"/>
      <c r="B13" s="2">
        <v>45741</v>
      </c>
      <c r="C13" s="3">
        <v>4060958719</v>
      </c>
      <c r="D13" s="3">
        <v>2</v>
      </c>
      <c r="E13" s="4" t="s">
        <v>425</v>
      </c>
      <c r="F13" s="19" t="s">
        <v>417</v>
      </c>
      <c r="G13" s="10" t="s">
        <v>11</v>
      </c>
      <c r="H13" s="11">
        <v>195</v>
      </c>
    </row>
    <row r="14" spans="1:8" ht="15" customHeight="1" x14ac:dyDescent="0.25">
      <c r="A14" s="51"/>
      <c r="B14" s="2">
        <v>45741</v>
      </c>
      <c r="C14" s="3">
        <v>4022486973</v>
      </c>
      <c r="D14" s="3">
        <v>51</v>
      </c>
      <c r="E14" s="4" t="s">
        <v>426</v>
      </c>
      <c r="F14" s="19" t="s">
        <v>417</v>
      </c>
      <c r="G14" s="10" t="s">
        <v>6</v>
      </c>
      <c r="H14" s="11">
        <v>2805</v>
      </c>
    </row>
    <row r="15" spans="1:8" ht="15" customHeight="1" x14ac:dyDescent="0.25">
      <c r="A15" s="51"/>
      <c r="B15" s="2">
        <v>45741</v>
      </c>
      <c r="C15" s="3">
        <v>3788915870</v>
      </c>
      <c r="D15" s="3">
        <v>38</v>
      </c>
      <c r="E15" s="4" t="s">
        <v>427</v>
      </c>
      <c r="F15" s="19" t="s">
        <v>417</v>
      </c>
      <c r="G15" s="10" t="s">
        <v>6</v>
      </c>
      <c r="H15" s="11">
        <v>2090</v>
      </c>
    </row>
    <row r="16" spans="1:8" ht="15" customHeight="1" x14ac:dyDescent="0.25">
      <c r="A16" s="51"/>
      <c r="B16" s="2">
        <v>45741</v>
      </c>
      <c r="C16" s="3">
        <v>547375958</v>
      </c>
      <c r="D16" s="3">
        <v>38</v>
      </c>
      <c r="E16" s="4" t="s">
        <v>428</v>
      </c>
      <c r="F16" s="19" t="s">
        <v>417</v>
      </c>
      <c r="G16" s="10" t="s">
        <v>6</v>
      </c>
      <c r="H16" s="11">
        <v>2090</v>
      </c>
    </row>
    <row r="17" spans="1:8" ht="15" customHeight="1" x14ac:dyDescent="0.25">
      <c r="A17" s="51"/>
      <c r="B17" s="2">
        <v>45741</v>
      </c>
      <c r="C17" s="3">
        <v>416810363</v>
      </c>
      <c r="D17" s="3">
        <v>38</v>
      </c>
      <c r="E17" s="4" t="s">
        <v>429</v>
      </c>
      <c r="F17" s="19" t="s">
        <v>417</v>
      </c>
      <c r="G17" s="10" t="s">
        <v>6</v>
      </c>
      <c r="H17" s="11">
        <v>2090</v>
      </c>
    </row>
    <row r="18" spans="1:8" ht="15" customHeight="1" x14ac:dyDescent="0.25">
      <c r="A18" s="51"/>
      <c r="B18" s="2">
        <v>45741</v>
      </c>
      <c r="C18" s="3">
        <v>2158313978</v>
      </c>
      <c r="D18" s="3">
        <v>38</v>
      </c>
      <c r="E18" s="4" t="s">
        <v>330</v>
      </c>
      <c r="F18" s="19" t="s">
        <v>417</v>
      </c>
      <c r="G18" s="10" t="s">
        <v>6</v>
      </c>
      <c r="H18" s="11">
        <v>2090</v>
      </c>
    </row>
    <row r="19" spans="1:8" ht="15" customHeight="1" x14ac:dyDescent="0.25">
      <c r="A19" s="51"/>
      <c r="B19" s="2">
        <v>45741</v>
      </c>
      <c r="C19" s="3">
        <v>258230164</v>
      </c>
      <c r="D19" s="3">
        <v>59</v>
      </c>
      <c r="E19" s="4" t="s">
        <v>351</v>
      </c>
      <c r="F19" s="19" t="s">
        <v>417</v>
      </c>
      <c r="G19" s="10" t="s">
        <v>6</v>
      </c>
      <c r="H19" s="11">
        <v>3245</v>
      </c>
    </row>
    <row r="20" spans="1:8" ht="15" customHeight="1" x14ac:dyDescent="0.25">
      <c r="A20" s="51"/>
      <c r="B20" s="2">
        <v>45741</v>
      </c>
      <c r="C20" s="3">
        <v>2305573670</v>
      </c>
      <c r="D20" s="3">
        <v>59</v>
      </c>
      <c r="E20" s="4" t="s">
        <v>430</v>
      </c>
      <c r="F20" s="19" t="s">
        <v>417</v>
      </c>
      <c r="G20" s="10" t="s">
        <v>13</v>
      </c>
      <c r="H20" s="11">
        <v>3245</v>
      </c>
    </row>
    <row r="21" spans="1:8" ht="15" customHeight="1" x14ac:dyDescent="0.25">
      <c r="A21" s="51"/>
      <c r="B21" s="2">
        <v>45741</v>
      </c>
      <c r="C21" s="3">
        <v>2305573670</v>
      </c>
      <c r="D21" s="3">
        <v>59</v>
      </c>
      <c r="E21" s="4" t="s">
        <v>431</v>
      </c>
      <c r="F21" s="19" t="s">
        <v>417</v>
      </c>
      <c r="G21" s="10" t="s">
        <v>6</v>
      </c>
      <c r="H21" s="11">
        <v>3245</v>
      </c>
    </row>
    <row r="22" spans="1:8" ht="15" customHeight="1" x14ac:dyDescent="0.25">
      <c r="A22" s="51"/>
      <c r="B22" s="2">
        <v>45741</v>
      </c>
      <c r="C22" s="3">
        <v>3614392891</v>
      </c>
      <c r="D22" s="3">
        <v>43</v>
      </c>
      <c r="E22" s="4" t="s">
        <v>433</v>
      </c>
      <c r="F22" s="19" t="s">
        <v>417</v>
      </c>
      <c r="G22" s="10" t="s">
        <v>6</v>
      </c>
      <c r="H22" s="11">
        <v>2365</v>
      </c>
    </row>
    <row r="23" spans="1:8" ht="15" customHeight="1" x14ac:dyDescent="0.25">
      <c r="A23" s="51"/>
      <c r="B23" s="2">
        <v>45741</v>
      </c>
      <c r="C23" s="3">
        <v>3710666879</v>
      </c>
      <c r="D23" s="3">
        <v>25</v>
      </c>
      <c r="E23" s="4" t="s">
        <v>434</v>
      </c>
      <c r="F23" s="19" t="s">
        <v>417</v>
      </c>
      <c r="G23" s="10" t="s">
        <v>6</v>
      </c>
      <c r="H23" s="11">
        <v>1360</v>
      </c>
    </row>
    <row r="24" spans="1:8" ht="15" customHeight="1" x14ac:dyDescent="0.25">
      <c r="A24" s="51"/>
      <c r="B24" s="2">
        <v>45741</v>
      </c>
      <c r="C24" s="3">
        <v>3710666879</v>
      </c>
      <c r="D24" s="3">
        <v>27</v>
      </c>
      <c r="E24" s="4" t="s">
        <v>434</v>
      </c>
      <c r="F24" s="19" t="s">
        <v>417</v>
      </c>
      <c r="G24" s="10" t="s">
        <v>11</v>
      </c>
      <c r="H24" s="11">
        <v>1499.9985000000001</v>
      </c>
    </row>
    <row r="25" spans="1:8" ht="15" customHeight="1" x14ac:dyDescent="0.25">
      <c r="A25" s="51"/>
      <c r="B25" s="2">
        <v>45741</v>
      </c>
      <c r="C25" s="3">
        <v>1888897607</v>
      </c>
      <c r="D25" s="3">
        <v>59</v>
      </c>
      <c r="E25" s="4" t="s">
        <v>435</v>
      </c>
      <c r="F25" s="19" t="s">
        <v>417</v>
      </c>
      <c r="G25" s="10" t="s">
        <v>6</v>
      </c>
      <c r="H25" s="11">
        <v>3245</v>
      </c>
    </row>
    <row r="26" spans="1:8" ht="15" customHeight="1" x14ac:dyDescent="0.25">
      <c r="A26" s="51"/>
      <c r="B26" s="2">
        <v>45741</v>
      </c>
      <c r="C26" s="3">
        <v>2155497770</v>
      </c>
      <c r="D26" s="3">
        <v>36</v>
      </c>
      <c r="E26" s="4" t="s">
        <v>436</v>
      </c>
      <c r="F26" s="19" t="s">
        <v>417</v>
      </c>
      <c r="G26" s="10" t="s">
        <v>6</v>
      </c>
      <c r="H26" s="11">
        <v>1980</v>
      </c>
    </row>
    <row r="27" spans="1:8" ht="15" customHeight="1" x14ac:dyDescent="0.25">
      <c r="A27" s="51"/>
      <c r="B27" s="2">
        <v>45741</v>
      </c>
      <c r="C27" s="3">
        <v>1878805936</v>
      </c>
      <c r="D27" s="3">
        <v>38</v>
      </c>
      <c r="E27" s="4" t="s">
        <v>437</v>
      </c>
      <c r="F27" s="19" t="s">
        <v>417</v>
      </c>
      <c r="G27" s="10" t="s">
        <v>6</v>
      </c>
      <c r="H27" s="11">
        <v>2090</v>
      </c>
    </row>
    <row r="28" spans="1:8" ht="15" customHeight="1" x14ac:dyDescent="0.25">
      <c r="A28" s="51"/>
      <c r="B28" s="2">
        <v>45741</v>
      </c>
      <c r="C28" s="3">
        <v>2250854371</v>
      </c>
      <c r="D28" s="3">
        <v>38</v>
      </c>
      <c r="E28" s="4" t="s">
        <v>353</v>
      </c>
      <c r="F28" s="19" t="s">
        <v>417</v>
      </c>
      <c r="G28" s="10" t="s">
        <v>6</v>
      </c>
      <c r="H28" s="11">
        <v>2090</v>
      </c>
    </row>
    <row r="29" spans="1:8" ht="15" customHeight="1" x14ac:dyDescent="0.25">
      <c r="A29" s="51"/>
      <c r="B29" s="2">
        <v>45741</v>
      </c>
      <c r="C29" s="3">
        <v>421284236</v>
      </c>
      <c r="D29" s="3">
        <v>36</v>
      </c>
      <c r="E29" s="4" t="s">
        <v>438</v>
      </c>
      <c r="F29" s="19" t="s">
        <v>417</v>
      </c>
      <c r="G29" s="10" t="s">
        <v>6</v>
      </c>
      <c r="H29" s="11">
        <v>1999.998</v>
      </c>
    </row>
    <row r="30" spans="1:8" ht="15" customHeight="1" x14ac:dyDescent="0.25">
      <c r="A30" s="51"/>
      <c r="B30" s="2">
        <v>45741</v>
      </c>
      <c r="C30" s="3">
        <v>421284236</v>
      </c>
      <c r="D30" s="3">
        <v>3</v>
      </c>
      <c r="E30" s="4" t="s">
        <v>438</v>
      </c>
      <c r="F30" s="19" t="s">
        <v>417</v>
      </c>
      <c r="G30" s="10" t="s">
        <v>11</v>
      </c>
      <c r="H30" s="11">
        <v>144.9999</v>
      </c>
    </row>
    <row r="31" spans="1:8" ht="15" customHeight="1" x14ac:dyDescent="0.25">
      <c r="A31" s="51"/>
      <c r="B31" s="2">
        <v>45741</v>
      </c>
      <c r="C31" s="3">
        <v>1055082022</v>
      </c>
      <c r="D31" s="3">
        <v>59</v>
      </c>
      <c r="E31" s="4" t="s">
        <v>439</v>
      </c>
      <c r="F31" s="19" t="s">
        <v>417</v>
      </c>
      <c r="G31" s="10" t="s">
        <v>6</v>
      </c>
      <c r="H31" s="11">
        <v>3245</v>
      </c>
    </row>
    <row r="32" spans="1:8" ht="15" customHeight="1" x14ac:dyDescent="0.25">
      <c r="A32" s="51"/>
      <c r="B32" s="2">
        <v>45741</v>
      </c>
      <c r="C32" s="3">
        <v>240735462</v>
      </c>
      <c r="D32" s="3">
        <v>18</v>
      </c>
      <c r="E32" s="4" t="s">
        <v>440</v>
      </c>
      <c r="F32" s="19" t="s">
        <v>417</v>
      </c>
      <c r="G32" s="10" t="s">
        <v>6</v>
      </c>
      <c r="H32" s="11">
        <v>990</v>
      </c>
    </row>
    <row r="33" spans="1:8" ht="15" customHeight="1" x14ac:dyDescent="0.25">
      <c r="A33" s="51"/>
      <c r="B33" s="2">
        <v>45741</v>
      </c>
      <c r="C33" s="3">
        <v>337956526</v>
      </c>
      <c r="D33" s="3">
        <v>59</v>
      </c>
      <c r="E33" s="4" t="s">
        <v>441</v>
      </c>
      <c r="F33" s="19" t="s">
        <v>417</v>
      </c>
      <c r="G33" s="10" t="s">
        <v>6</v>
      </c>
      <c r="H33" s="11">
        <v>3245</v>
      </c>
    </row>
    <row r="34" spans="1:8" ht="15" customHeight="1" x14ac:dyDescent="0.25">
      <c r="A34" s="51"/>
      <c r="B34" s="2">
        <v>45741</v>
      </c>
      <c r="C34" s="3">
        <v>725568568</v>
      </c>
      <c r="D34" s="3">
        <v>60</v>
      </c>
      <c r="E34" s="4" t="s">
        <v>442</v>
      </c>
      <c r="F34" s="19" t="s">
        <v>417</v>
      </c>
      <c r="G34" s="10" t="s">
        <v>6</v>
      </c>
      <c r="H34" s="11">
        <v>3300</v>
      </c>
    </row>
    <row r="35" spans="1:8" ht="15" customHeight="1" x14ac:dyDescent="0.25">
      <c r="A35" s="51"/>
      <c r="B35" s="2">
        <v>45741</v>
      </c>
      <c r="C35" s="3">
        <v>1441417195</v>
      </c>
      <c r="D35" s="3">
        <v>59</v>
      </c>
      <c r="E35" s="4" t="s">
        <v>443</v>
      </c>
      <c r="F35" s="19" t="s">
        <v>417</v>
      </c>
      <c r="G35" s="10" t="s">
        <v>6</v>
      </c>
      <c r="H35" s="11">
        <v>3245</v>
      </c>
    </row>
    <row r="36" spans="1:8" ht="15" customHeight="1" x14ac:dyDescent="0.25">
      <c r="A36" s="51"/>
      <c r="B36" s="2">
        <v>45741</v>
      </c>
      <c r="C36" s="3">
        <v>2052605414</v>
      </c>
      <c r="D36" s="3">
        <v>59</v>
      </c>
      <c r="E36" s="4" t="s">
        <v>444</v>
      </c>
      <c r="F36" s="19" t="s">
        <v>417</v>
      </c>
      <c r="G36" s="10" t="s">
        <v>6</v>
      </c>
      <c r="H36" s="11">
        <v>3245</v>
      </c>
    </row>
    <row r="37" spans="1:8" ht="15" customHeight="1" x14ac:dyDescent="0.25">
      <c r="A37" s="51"/>
      <c r="B37" s="2">
        <v>45741</v>
      </c>
      <c r="C37" s="3">
        <v>22222606715</v>
      </c>
      <c r="D37" s="3">
        <v>25</v>
      </c>
      <c r="E37" s="4" t="s">
        <v>445</v>
      </c>
      <c r="F37" s="19" t="s">
        <v>417</v>
      </c>
      <c r="G37" s="10" t="s">
        <v>6</v>
      </c>
      <c r="H37" s="11">
        <v>1375</v>
      </c>
    </row>
    <row r="38" spans="1:8" ht="15" customHeight="1" x14ac:dyDescent="0.25">
      <c r="A38" s="51"/>
      <c r="B38" s="2">
        <v>45741</v>
      </c>
      <c r="C38" s="3">
        <v>22222606715</v>
      </c>
      <c r="D38" s="3">
        <v>38</v>
      </c>
      <c r="E38" s="4" t="s">
        <v>446</v>
      </c>
      <c r="F38" s="19" t="s">
        <v>417</v>
      </c>
      <c r="G38" s="10" t="s">
        <v>6</v>
      </c>
      <c r="H38" s="11">
        <v>2090</v>
      </c>
    </row>
    <row r="39" spans="1:8" ht="15" customHeight="1" x14ac:dyDescent="0.25">
      <c r="A39" s="51"/>
      <c r="B39" s="2">
        <v>45741</v>
      </c>
      <c r="C39" s="3">
        <v>2097104052</v>
      </c>
      <c r="D39" s="3">
        <v>59</v>
      </c>
      <c r="E39" s="4" t="s">
        <v>447</v>
      </c>
      <c r="F39" s="19" t="s">
        <v>417</v>
      </c>
      <c r="G39" s="10" t="s">
        <v>6</v>
      </c>
      <c r="H39" s="11">
        <v>3245</v>
      </c>
    </row>
    <row r="40" spans="1:8" ht="15" customHeight="1" x14ac:dyDescent="0.25">
      <c r="A40" s="51"/>
      <c r="B40" s="2">
        <v>45742</v>
      </c>
      <c r="C40" s="3">
        <v>1294814699</v>
      </c>
      <c r="D40" s="3">
        <v>38</v>
      </c>
      <c r="E40" s="4" t="s">
        <v>384</v>
      </c>
      <c r="F40" s="19" t="s">
        <v>417</v>
      </c>
      <c r="G40" s="10" t="s">
        <v>6</v>
      </c>
      <c r="H40" s="11">
        <v>2090</v>
      </c>
    </row>
    <row r="41" spans="1:8" ht="15" customHeight="1" x14ac:dyDescent="0.25">
      <c r="A41" s="51"/>
      <c r="B41" s="2">
        <v>45742</v>
      </c>
      <c r="C41" s="3">
        <v>1051935125</v>
      </c>
      <c r="D41" s="3">
        <v>53</v>
      </c>
      <c r="E41" s="4" t="s">
        <v>394</v>
      </c>
      <c r="F41" s="19" t="s">
        <v>417</v>
      </c>
      <c r="G41" s="10" t="s">
        <v>6</v>
      </c>
      <c r="H41" s="11">
        <v>2915</v>
      </c>
    </row>
    <row r="42" spans="1:8" ht="15" customHeight="1" x14ac:dyDescent="0.25">
      <c r="A42" s="51"/>
      <c r="B42" s="2">
        <v>45742</v>
      </c>
      <c r="C42" s="3">
        <v>446515131</v>
      </c>
      <c r="D42" s="3">
        <v>38</v>
      </c>
      <c r="E42" s="4" t="s">
        <v>448</v>
      </c>
      <c r="F42" s="19" t="s">
        <v>417</v>
      </c>
      <c r="G42" s="10" t="s">
        <v>6</v>
      </c>
      <c r="H42" s="11">
        <v>2090</v>
      </c>
    </row>
    <row r="43" spans="1:8" ht="15" customHeight="1" x14ac:dyDescent="0.25">
      <c r="A43" s="51"/>
      <c r="B43" s="2">
        <v>45742</v>
      </c>
      <c r="C43" s="3">
        <v>208816404</v>
      </c>
      <c r="D43" s="3">
        <v>40</v>
      </c>
      <c r="E43" s="4" t="s">
        <v>449</v>
      </c>
      <c r="F43" s="19" t="s">
        <v>417</v>
      </c>
      <c r="G43" s="10" t="s">
        <v>11</v>
      </c>
      <c r="H43" s="11">
        <v>2200</v>
      </c>
    </row>
    <row r="44" spans="1:8" ht="15" customHeight="1" x14ac:dyDescent="0.25">
      <c r="A44" s="51"/>
      <c r="B44" s="2">
        <v>45742</v>
      </c>
      <c r="C44" s="3">
        <v>4255534079</v>
      </c>
      <c r="D44" s="3">
        <v>16</v>
      </c>
      <c r="E44" s="4" t="s">
        <v>449</v>
      </c>
      <c r="F44" s="19" t="s">
        <v>417</v>
      </c>
      <c r="G44" s="10" t="s">
        <v>11</v>
      </c>
      <c r="H44" s="11">
        <v>800</v>
      </c>
    </row>
    <row r="45" spans="1:8" ht="15" customHeight="1" x14ac:dyDescent="0.25">
      <c r="A45" s="51"/>
      <c r="B45" s="2">
        <v>45742</v>
      </c>
      <c r="C45" s="3">
        <v>4255534079</v>
      </c>
      <c r="D45" s="3">
        <v>5</v>
      </c>
      <c r="E45" s="4" t="s">
        <v>449</v>
      </c>
      <c r="F45" s="19" t="s">
        <v>417</v>
      </c>
      <c r="G45" s="10" t="s">
        <v>6</v>
      </c>
      <c r="H45" s="11">
        <v>245</v>
      </c>
    </row>
    <row r="46" spans="1:8" ht="15" customHeight="1" x14ac:dyDescent="0.25">
      <c r="A46" s="51"/>
      <c r="B46" s="2">
        <v>45742</v>
      </c>
      <c r="C46" s="3">
        <v>643648531</v>
      </c>
      <c r="D46" s="3">
        <v>50</v>
      </c>
      <c r="E46" s="4" t="s">
        <v>357</v>
      </c>
      <c r="F46" s="19" t="s">
        <v>417</v>
      </c>
      <c r="G46" s="10" t="s">
        <v>11</v>
      </c>
      <c r="H46" s="11">
        <v>2700</v>
      </c>
    </row>
    <row r="47" spans="1:8" ht="15" customHeight="1" x14ac:dyDescent="0.25">
      <c r="A47" s="51"/>
      <c r="B47" s="2">
        <v>45742</v>
      </c>
      <c r="C47" s="3">
        <v>643648531</v>
      </c>
      <c r="D47" s="3">
        <v>9</v>
      </c>
      <c r="E47" s="4" t="s">
        <v>357</v>
      </c>
      <c r="F47" s="19" t="s">
        <v>417</v>
      </c>
      <c r="G47" s="10" t="s">
        <v>6</v>
      </c>
      <c r="H47" s="11">
        <v>544.99950000000001</v>
      </c>
    </row>
    <row r="48" spans="1:8" ht="15" customHeight="1" x14ac:dyDescent="0.25">
      <c r="A48" s="51"/>
      <c r="B48" s="2">
        <v>45742</v>
      </c>
      <c r="C48" s="3">
        <v>2037465098</v>
      </c>
      <c r="D48" s="3">
        <v>38</v>
      </c>
      <c r="E48" s="4" t="s">
        <v>402</v>
      </c>
      <c r="F48" s="19" t="s">
        <v>417</v>
      </c>
      <c r="G48" s="10" t="s">
        <v>6</v>
      </c>
      <c r="H48" s="11">
        <v>2090</v>
      </c>
    </row>
    <row r="49" spans="1:8" ht="15" customHeight="1" x14ac:dyDescent="0.25">
      <c r="A49" s="51"/>
      <c r="B49" s="2">
        <v>45742</v>
      </c>
      <c r="C49" s="3">
        <v>885014705</v>
      </c>
      <c r="D49" s="3">
        <v>38</v>
      </c>
      <c r="E49" s="4" t="s">
        <v>450</v>
      </c>
      <c r="F49" s="19" t="s">
        <v>417</v>
      </c>
      <c r="G49" s="10" t="s">
        <v>6</v>
      </c>
      <c r="H49" s="11">
        <v>2090</v>
      </c>
    </row>
    <row r="50" spans="1:8" ht="15" customHeight="1" x14ac:dyDescent="0.25">
      <c r="A50" s="51"/>
      <c r="B50" s="2">
        <v>45742</v>
      </c>
      <c r="C50" s="3">
        <v>2498250475</v>
      </c>
      <c r="D50" s="3">
        <v>18</v>
      </c>
      <c r="E50" s="4" t="s">
        <v>451</v>
      </c>
      <c r="F50" s="19" t="s">
        <v>417</v>
      </c>
      <c r="G50" s="10" t="s">
        <v>6</v>
      </c>
      <c r="H50" s="11">
        <v>990</v>
      </c>
    </row>
    <row r="51" spans="1:8" ht="15" customHeight="1" x14ac:dyDescent="0.25">
      <c r="A51" s="51"/>
      <c r="B51" s="2">
        <v>45742</v>
      </c>
      <c r="C51" s="3">
        <v>1535330453</v>
      </c>
      <c r="D51" s="3">
        <v>18</v>
      </c>
      <c r="E51" s="4" t="s">
        <v>451</v>
      </c>
      <c r="F51" s="19" t="s">
        <v>417</v>
      </c>
      <c r="G51" s="10" t="s">
        <v>6</v>
      </c>
      <c r="H51" s="11">
        <v>990</v>
      </c>
    </row>
    <row r="52" spans="1:8" ht="15" customHeight="1" x14ac:dyDescent="0.25">
      <c r="A52" s="51"/>
      <c r="B52" s="2">
        <v>45742</v>
      </c>
      <c r="C52" s="3">
        <v>3259646097</v>
      </c>
      <c r="D52" s="3">
        <v>23</v>
      </c>
      <c r="E52" s="4" t="s">
        <v>451</v>
      </c>
      <c r="F52" s="19" t="s">
        <v>417</v>
      </c>
      <c r="G52" s="10" t="s">
        <v>6</v>
      </c>
      <c r="H52" s="11">
        <v>1265</v>
      </c>
    </row>
    <row r="53" spans="1:8" ht="15" customHeight="1" x14ac:dyDescent="0.25">
      <c r="A53" s="51"/>
      <c r="B53" s="2">
        <v>45742</v>
      </c>
      <c r="C53" s="3">
        <v>3336458034</v>
      </c>
      <c r="D53" s="3">
        <v>38</v>
      </c>
      <c r="E53" s="4" t="s">
        <v>452</v>
      </c>
      <c r="F53" s="19" t="s">
        <v>417</v>
      </c>
      <c r="G53" s="10" t="s">
        <v>6</v>
      </c>
      <c r="H53" s="11">
        <v>2090</v>
      </c>
    </row>
    <row r="54" spans="1:8" ht="15" customHeight="1" x14ac:dyDescent="0.25">
      <c r="A54" s="51"/>
      <c r="B54" s="2">
        <v>45742</v>
      </c>
      <c r="C54" s="3">
        <v>2342996451</v>
      </c>
      <c r="D54" s="3">
        <v>38</v>
      </c>
      <c r="E54" s="4" t="s">
        <v>453</v>
      </c>
      <c r="F54" s="19" t="s">
        <v>417</v>
      </c>
      <c r="G54" s="10" t="s">
        <v>6</v>
      </c>
      <c r="H54" s="11">
        <v>2090</v>
      </c>
    </row>
    <row r="55" spans="1:8" ht="15" customHeight="1" x14ac:dyDescent="0.25">
      <c r="A55" s="51"/>
      <c r="B55" s="2">
        <v>45742</v>
      </c>
      <c r="C55" s="3">
        <v>2488355632</v>
      </c>
      <c r="D55" s="3">
        <v>20</v>
      </c>
      <c r="E55" s="4" t="s">
        <v>454</v>
      </c>
      <c r="F55" s="19" t="s">
        <v>417</v>
      </c>
      <c r="G55" s="10" t="s">
        <v>6</v>
      </c>
      <c r="H55" s="11">
        <v>1100</v>
      </c>
    </row>
    <row r="56" spans="1:8" ht="15" customHeight="1" x14ac:dyDescent="0.25">
      <c r="A56" s="51"/>
      <c r="B56" s="2">
        <v>45742</v>
      </c>
      <c r="C56" s="3">
        <v>456672047</v>
      </c>
      <c r="D56" s="3">
        <v>38</v>
      </c>
      <c r="E56" s="4" t="s">
        <v>455</v>
      </c>
      <c r="F56" s="19" t="s">
        <v>417</v>
      </c>
      <c r="G56" s="10" t="s">
        <v>6</v>
      </c>
      <c r="H56" s="11">
        <v>2090</v>
      </c>
    </row>
    <row r="57" spans="1:8" ht="15" customHeight="1" x14ac:dyDescent="0.25">
      <c r="A57" s="51"/>
      <c r="B57" s="2">
        <v>45742</v>
      </c>
      <c r="C57" s="3">
        <v>938429784</v>
      </c>
      <c r="D57" s="3">
        <v>59</v>
      </c>
      <c r="E57" s="4" t="s">
        <v>456</v>
      </c>
      <c r="F57" s="19" t="s">
        <v>417</v>
      </c>
      <c r="G57" s="10" t="s">
        <v>6</v>
      </c>
      <c r="H57" s="11">
        <v>3245</v>
      </c>
    </row>
    <row r="58" spans="1:8" ht="15" customHeight="1" x14ac:dyDescent="0.25">
      <c r="A58" s="51"/>
      <c r="B58" s="2">
        <v>45742</v>
      </c>
      <c r="C58" s="3">
        <v>612712710</v>
      </c>
      <c r="D58" s="3">
        <v>59</v>
      </c>
      <c r="E58" s="4" t="s">
        <v>457</v>
      </c>
      <c r="F58" s="19" t="s">
        <v>417</v>
      </c>
      <c r="G58" s="10" t="s">
        <v>6</v>
      </c>
      <c r="H58" s="11">
        <v>3245</v>
      </c>
    </row>
    <row r="59" spans="1:8" ht="15" customHeight="1" x14ac:dyDescent="0.25">
      <c r="A59" s="51"/>
      <c r="B59" s="2">
        <v>45742</v>
      </c>
      <c r="C59" s="3">
        <v>3267314823</v>
      </c>
      <c r="D59" s="3">
        <v>18</v>
      </c>
      <c r="E59" s="4" t="s">
        <v>458</v>
      </c>
      <c r="F59" s="19" t="s">
        <v>417</v>
      </c>
      <c r="G59" s="10" t="s">
        <v>11</v>
      </c>
      <c r="H59" s="11">
        <v>990</v>
      </c>
    </row>
    <row r="60" spans="1:8" ht="15" customHeight="1" x14ac:dyDescent="0.25">
      <c r="A60" s="51"/>
      <c r="B60" s="2">
        <v>45742</v>
      </c>
      <c r="C60" s="3">
        <v>922108070</v>
      </c>
      <c r="D60" s="3">
        <v>63</v>
      </c>
      <c r="E60" s="4" t="s">
        <v>459</v>
      </c>
      <c r="F60" s="19" t="s">
        <v>417</v>
      </c>
      <c r="G60" s="10" t="s">
        <v>6</v>
      </c>
      <c r="H60" s="11">
        <v>3465</v>
      </c>
    </row>
    <row r="61" spans="1:8" ht="15" customHeight="1" x14ac:dyDescent="0.25">
      <c r="A61" s="51"/>
      <c r="B61" s="2">
        <v>45742</v>
      </c>
      <c r="C61" s="3">
        <v>1134643930</v>
      </c>
      <c r="D61" s="3">
        <v>59</v>
      </c>
      <c r="E61" s="4" t="s">
        <v>460</v>
      </c>
      <c r="F61" s="19" t="s">
        <v>417</v>
      </c>
      <c r="G61" s="10" t="s">
        <v>11</v>
      </c>
      <c r="H61" s="11">
        <v>3245</v>
      </c>
    </row>
    <row r="62" spans="1:8" ht="15" customHeight="1" x14ac:dyDescent="0.25">
      <c r="A62" s="51"/>
      <c r="B62" s="2">
        <v>45742</v>
      </c>
      <c r="C62" s="3">
        <v>247153756</v>
      </c>
      <c r="D62" s="3">
        <v>63</v>
      </c>
      <c r="E62" s="4" t="s">
        <v>461</v>
      </c>
      <c r="F62" s="19" t="s">
        <v>417</v>
      </c>
      <c r="G62" s="10" t="s">
        <v>6</v>
      </c>
      <c r="H62" s="11">
        <v>3465</v>
      </c>
    </row>
    <row r="63" spans="1:8" ht="15" customHeight="1" x14ac:dyDescent="0.25">
      <c r="A63" s="51"/>
      <c r="B63" s="2">
        <v>45742</v>
      </c>
      <c r="C63" s="3">
        <v>247153756</v>
      </c>
      <c r="D63" s="3">
        <v>59</v>
      </c>
      <c r="E63" s="4" t="s">
        <v>462</v>
      </c>
      <c r="F63" s="19" t="s">
        <v>417</v>
      </c>
      <c r="G63" s="10" t="s">
        <v>6</v>
      </c>
      <c r="H63" s="11">
        <v>3245</v>
      </c>
    </row>
    <row r="64" spans="1:8" ht="15" customHeight="1" x14ac:dyDescent="0.25">
      <c r="A64" s="51"/>
      <c r="B64" s="2">
        <v>45742</v>
      </c>
      <c r="C64" s="3">
        <v>2500021133</v>
      </c>
      <c r="D64" s="3">
        <v>38</v>
      </c>
      <c r="E64" s="4" t="s">
        <v>385</v>
      </c>
      <c r="F64" s="19" t="s">
        <v>417</v>
      </c>
      <c r="G64" s="10" t="s">
        <v>6</v>
      </c>
      <c r="H64" s="11">
        <v>2090</v>
      </c>
    </row>
    <row r="65" spans="1:8" ht="15" customHeight="1" x14ac:dyDescent="0.25">
      <c r="A65" s="51"/>
      <c r="B65" s="2">
        <v>45742</v>
      </c>
      <c r="C65" s="3">
        <v>1141131891</v>
      </c>
      <c r="D65" s="3">
        <v>59</v>
      </c>
      <c r="E65" s="4" t="s">
        <v>463</v>
      </c>
      <c r="F65" s="19" t="s">
        <v>417</v>
      </c>
      <c r="G65" s="10" t="s">
        <v>6</v>
      </c>
      <c r="H65" s="11">
        <v>3245</v>
      </c>
    </row>
    <row r="66" spans="1:8" ht="15" customHeight="1" x14ac:dyDescent="0.25">
      <c r="A66" s="51"/>
      <c r="B66" s="2">
        <v>45742</v>
      </c>
      <c r="C66" s="3">
        <v>794707448</v>
      </c>
      <c r="D66" s="3">
        <v>41</v>
      </c>
      <c r="E66" s="4" t="s">
        <v>464</v>
      </c>
      <c r="F66" s="19" t="s">
        <v>417</v>
      </c>
      <c r="G66" s="10" t="s">
        <v>6</v>
      </c>
      <c r="H66" s="11">
        <v>2255</v>
      </c>
    </row>
    <row r="67" spans="1:8" ht="15" customHeight="1" x14ac:dyDescent="0.25">
      <c r="A67" s="51"/>
      <c r="B67" s="2">
        <v>45742</v>
      </c>
      <c r="C67" s="3">
        <v>268454988</v>
      </c>
      <c r="D67" s="3">
        <v>38</v>
      </c>
      <c r="E67" s="4" t="s">
        <v>465</v>
      </c>
      <c r="F67" s="19" t="s">
        <v>417</v>
      </c>
      <c r="G67" s="10" t="s">
        <v>7</v>
      </c>
      <c r="H67" s="11">
        <v>2090</v>
      </c>
    </row>
    <row r="68" spans="1:8" ht="15" customHeight="1" x14ac:dyDescent="0.25">
      <c r="A68" s="51"/>
      <c r="B68" s="2">
        <v>45742</v>
      </c>
      <c r="C68" s="3">
        <v>4020192304</v>
      </c>
      <c r="D68" s="3">
        <v>18</v>
      </c>
      <c r="E68" s="4" t="s">
        <v>466</v>
      </c>
      <c r="F68" s="19" t="s">
        <v>417</v>
      </c>
      <c r="G68" s="10" t="s">
        <v>6</v>
      </c>
      <c r="H68" s="11">
        <v>990</v>
      </c>
    </row>
    <row r="69" spans="1:8" ht="15" customHeight="1" x14ac:dyDescent="0.25">
      <c r="A69" s="51"/>
      <c r="B69" s="2">
        <v>45742</v>
      </c>
      <c r="C69" s="3">
        <v>3634318181</v>
      </c>
      <c r="D69" s="3">
        <v>59</v>
      </c>
      <c r="E69" s="4" t="s">
        <v>467</v>
      </c>
      <c r="F69" s="19" t="s">
        <v>417</v>
      </c>
      <c r="G69" s="10" t="s">
        <v>6</v>
      </c>
      <c r="H69" s="11">
        <v>2244.9972000000002</v>
      </c>
    </row>
    <row r="70" spans="1:8" ht="15" customHeight="1" x14ac:dyDescent="0.25">
      <c r="A70" s="51"/>
      <c r="B70" s="2">
        <v>45742</v>
      </c>
      <c r="C70" s="3">
        <v>1831225274</v>
      </c>
      <c r="D70" s="3">
        <v>43</v>
      </c>
      <c r="E70" s="4" t="s">
        <v>468</v>
      </c>
      <c r="F70" s="19" t="s">
        <v>417</v>
      </c>
      <c r="G70" s="10" t="s">
        <v>6</v>
      </c>
      <c r="H70" s="11">
        <v>2365</v>
      </c>
    </row>
    <row r="71" spans="1:8" ht="15" customHeight="1" x14ac:dyDescent="0.25">
      <c r="A71" s="51"/>
      <c r="B71" s="2">
        <v>45742</v>
      </c>
      <c r="C71" s="3">
        <v>1831225274</v>
      </c>
      <c r="D71" s="3">
        <v>43</v>
      </c>
      <c r="E71" s="4" t="s">
        <v>469</v>
      </c>
      <c r="F71" s="19" t="s">
        <v>417</v>
      </c>
      <c r="G71" s="10" t="s">
        <v>6</v>
      </c>
      <c r="H71" s="11">
        <v>2365</v>
      </c>
    </row>
    <row r="72" spans="1:8" ht="15" customHeight="1" x14ac:dyDescent="0.25">
      <c r="A72" s="51"/>
      <c r="B72" s="2">
        <v>45742</v>
      </c>
      <c r="C72" s="3">
        <v>750734148</v>
      </c>
      <c r="D72" s="3">
        <v>23</v>
      </c>
      <c r="E72" s="4" t="s">
        <v>470</v>
      </c>
      <c r="F72" s="19" t="s">
        <v>417</v>
      </c>
      <c r="G72" s="10" t="s">
        <v>10</v>
      </c>
      <c r="H72" s="11">
        <v>1265</v>
      </c>
    </row>
    <row r="73" spans="1:8" ht="15" customHeight="1" x14ac:dyDescent="0.25">
      <c r="A73" s="51"/>
      <c r="B73" s="2">
        <v>45742</v>
      </c>
      <c r="C73" s="3">
        <v>1415597483</v>
      </c>
      <c r="D73" s="3">
        <v>59</v>
      </c>
      <c r="E73" s="4" t="s">
        <v>359</v>
      </c>
      <c r="F73" s="19" t="s">
        <v>417</v>
      </c>
      <c r="G73" s="10" t="s">
        <v>6</v>
      </c>
      <c r="H73" s="11">
        <v>3245</v>
      </c>
    </row>
    <row r="74" spans="1:8" ht="15" customHeight="1" x14ac:dyDescent="0.25">
      <c r="A74" s="51"/>
      <c r="B74" s="2">
        <v>45742</v>
      </c>
      <c r="C74" s="3">
        <v>1133922938</v>
      </c>
      <c r="D74" s="3">
        <v>53</v>
      </c>
      <c r="E74" s="4" t="s">
        <v>471</v>
      </c>
      <c r="F74" s="19" t="s">
        <v>417</v>
      </c>
      <c r="G74" s="10" t="s">
        <v>6</v>
      </c>
      <c r="H74" s="11">
        <v>2915</v>
      </c>
    </row>
    <row r="75" spans="1:8" ht="15" customHeight="1" x14ac:dyDescent="0.25">
      <c r="A75" s="51"/>
      <c r="B75" s="2">
        <v>45742</v>
      </c>
      <c r="C75" s="3">
        <v>2798864448</v>
      </c>
      <c r="D75" s="3">
        <v>45</v>
      </c>
      <c r="E75" s="4" t="s">
        <v>361</v>
      </c>
      <c r="F75" s="19" t="s">
        <v>417</v>
      </c>
      <c r="G75" s="10" t="s">
        <v>6</v>
      </c>
      <c r="H75" s="11">
        <v>2475</v>
      </c>
    </row>
    <row r="76" spans="1:8" ht="15" customHeight="1" x14ac:dyDescent="0.25">
      <c r="A76" s="51"/>
      <c r="B76" s="2">
        <v>45742</v>
      </c>
      <c r="C76" s="3">
        <v>3675538533</v>
      </c>
      <c r="D76" s="3">
        <v>59</v>
      </c>
      <c r="E76" s="4" t="s">
        <v>472</v>
      </c>
      <c r="F76" s="19" t="s">
        <v>417</v>
      </c>
      <c r="G76" s="10" t="s">
        <v>6</v>
      </c>
      <c r="H76" s="11">
        <v>2478</v>
      </c>
    </row>
    <row r="77" spans="1:8" ht="15" customHeight="1" x14ac:dyDescent="0.25">
      <c r="A77" s="51"/>
      <c r="B77" s="2">
        <v>45742</v>
      </c>
      <c r="C77" s="3">
        <v>1043680454</v>
      </c>
      <c r="D77" s="3">
        <v>18</v>
      </c>
      <c r="E77" s="4" t="s">
        <v>473</v>
      </c>
      <c r="F77" s="19" t="s">
        <v>417</v>
      </c>
      <c r="G77" s="10" t="s">
        <v>6</v>
      </c>
      <c r="H77" s="11">
        <v>990</v>
      </c>
    </row>
    <row r="78" spans="1:8" ht="15" customHeight="1" x14ac:dyDescent="0.25">
      <c r="A78" s="51"/>
      <c r="B78" s="2">
        <v>45742</v>
      </c>
      <c r="C78" s="3">
        <v>420040445</v>
      </c>
      <c r="D78" s="3">
        <v>38</v>
      </c>
      <c r="E78" s="4" t="s">
        <v>474</v>
      </c>
      <c r="F78" s="19" t="s">
        <v>417</v>
      </c>
      <c r="G78" s="10" t="s">
        <v>6</v>
      </c>
      <c r="H78" s="11">
        <v>2090</v>
      </c>
    </row>
    <row r="79" spans="1:8" ht="15" customHeight="1" x14ac:dyDescent="0.25">
      <c r="A79" s="51"/>
      <c r="B79" s="2">
        <v>45742</v>
      </c>
      <c r="C79" s="3">
        <v>2276802912</v>
      </c>
      <c r="D79" s="3">
        <v>59</v>
      </c>
      <c r="E79" s="4" t="s">
        <v>362</v>
      </c>
      <c r="F79" s="19" t="s">
        <v>417</v>
      </c>
      <c r="G79" s="10" t="s">
        <v>6</v>
      </c>
      <c r="H79" s="11">
        <v>3245</v>
      </c>
    </row>
    <row r="80" spans="1:8" ht="15" customHeight="1" x14ac:dyDescent="0.25">
      <c r="A80" s="51"/>
      <c r="B80" s="2">
        <v>45742</v>
      </c>
      <c r="C80" s="3">
        <v>2750826177</v>
      </c>
      <c r="D80" s="3">
        <v>23</v>
      </c>
      <c r="E80" s="4" t="s">
        <v>475</v>
      </c>
      <c r="F80" s="19" t="s">
        <v>417</v>
      </c>
      <c r="G80" s="10" t="s">
        <v>11</v>
      </c>
      <c r="H80" s="11">
        <v>1265</v>
      </c>
    </row>
    <row r="81" spans="1:8" ht="15" customHeight="1" x14ac:dyDescent="0.25">
      <c r="A81" s="51"/>
      <c r="B81" s="2">
        <v>45742</v>
      </c>
      <c r="C81" s="3">
        <v>1292060382</v>
      </c>
      <c r="D81" s="3">
        <v>18</v>
      </c>
      <c r="E81" s="4" t="s">
        <v>476</v>
      </c>
      <c r="F81" s="19" t="s">
        <v>417</v>
      </c>
      <c r="G81" s="10" t="s">
        <v>6</v>
      </c>
      <c r="H81" s="11">
        <v>990</v>
      </c>
    </row>
    <row r="82" spans="1:8" ht="15" customHeight="1" x14ac:dyDescent="0.25">
      <c r="A82" s="51"/>
      <c r="B82" s="2">
        <v>45743</v>
      </c>
      <c r="C82" s="3">
        <v>2192982330</v>
      </c>
      <c r="D82" s="3">
        <v>28</v>
      </c>
      <c r="E82" s="4" t="s">
        <v>477</v>
      </c>
      <c r="F82" s="19" t="s">
        <v>417</v>
      </c>
      <c r="G82" s="10" t="s">
        <v>6</v>
      </c>
      <c r="H82" s="11">
        <v>1540</v>
      </c>
    </row>
    <row r="83" spans="1:8" ht="15" customHeight="1" x14ac:dyDescent="0.25">
      <c r="A83" s="51"/>
      <c r="B83" s="2">
        <v>45743</v>
      </c>
      <c r="C83" s="3">
        <v>2621000861</v>
      </c>
      <c r="D83" s="3">
        <v>38</v>
      </c>
      <c r="E83" s="4" t="s">
        <v>478</v>
      </c>
      <c r="F83" s="19" t="s">
        <v>417</v>
      </c>
      <c r="G83" s="10" t="s">
        <v>6</v>
      </c>
      <c r="H83" s="11">
        <v>2090</v>
      </c>
    </row>
    <row r="84" spans="1:8" ht="15" customHeight="1" x14ac:dyDescent="0.25">
      <c r="A84" s="51"/>
      <c r="B84" s="2">
        <v>45743</v>
      </c>
      <c r="C84" s="3">
        <v>3392752306</v>
      </c>
      <c r="D84" s="3">
        <v>28</v>
      </c>
      <c r="E84" s="4" t="s">
        <v>479</v>
      </c>
      <c r="F84" s="19" t="s">
        <v>417</v>
      </c>
      <c r="G84" s="10" t="s">
        <v>6</v>
      </c>
      <c r="H84" s="11">
        <v>1540</v>
      </c>
    </row>
    <row r="85" spans="1:8" ht="15" customHeight="1" x14ac:dyDescent="0.25">
      <c r="A85" s="51"/>
      <c r="B85" s="2">
        <v>45743</v>
      </c>
      <c r="C85" s="3">
        <v>3456781247</v>
      </c>
      <c r="D85" s="3">
        <v>25</v>
      </c>
      <c r="E85" s="4" t="s">
        <v>480</v>
      </c>
      <c r="F85" s="19" t="s">
        <v>417</v>
      </c>
      <c r="G85" s="10" t="s">
        <v>11</v>
      </c>
      <c r="H85" s="11">
        <v>1400</v>
      </c>
    </row>
    <row r="86" spans="1:8" ht="15" customHeight="1" x14ac:dyDescent="0.25">
      <c r="A86" s="51"/>
      <c r="B86" s="2">
        <v>45743</v>
      </c>
      <c r="C86" s="3">
        <v>3456781247</v>
      </c>
      <c r="D86" s="3">
        <v>20</v>
      </c>
      <c r="E86" s="4" t="s">
        <v>480</v>
      </c>
      <c r="F86" s="19" t="s">
        <v>417</v>
      </c>
      <c r="G86" s="10" t="s">
        <v>6</v>
      </c>
      <c r="H86" s="11">
        <v>1075</v>
      </c>
    </row>
    <row r="87" spans="1:8" ht="15" customHeight="1" x14ac:dyDescent="0.25">
      <c r="A87" s="51"/>
      <c r="B87" s="2">
        <v>45743</v>
      </c>
      <c r="C87" s="3">
        <v>683557088</v>
      </c>
      <c r="D87" s="3">
        <v>18</v>
      </c>
      <c r="E87" s="4" t="s">
        <v>399</v>
      </c>
      <c r="F87" s="19" t="s">
        <v>417</v>
      </c>
      <c r="G87" s="10" t="s">
        <v>6</v>
      </c>
      <c r="H87" s="11">
        <v>990</v>
      </c>
    </row>
    <row r="88" spans="1:8" ht="15" customHeight="1" x14ac:dyDescent="0.25">
      <c r="A88" s="51"/>
      <c r="B88" s="2">
        <v>45743</v>
      </c>
      <c r="C88" s="3">
        <v>2081180358</v>
      </c>
      <c r="D88" s="3">
        <v>59</v>
      </c>
      <c r="E88" s="4" t="s">
        <v>481</v>
      </c>
      <c r="F88" s="19" t="s">
        <v>417</v>
      </c>
      <c r="G88" s="10" t="s">
        <v>6</v>
      </c>
      <c r="H88" s="11">
        <v>3245</v>
      </c>
    </row>
    <row r="89" spans="1:8" ht="15" customHeight="1" x14ac:dyDescent="0.25">
      <c r="A89" s="51"/>
      <c r="B89" s="2">
        <v>45743</v>
      </c>
      <c r="C89" s="3">
        <v>3306180363</v>
      </c>
      <c r="D89" s="3">
        <v>38</v>
      </c>
      <c r="E89" s="4" t="s">
        <v>482</v>
      </c>
      <c r="F89" s="19" t="s">
        <v>417</v>
      </c>
      <c r="G89" s="10" t="s">
        <v>11</v>
      </c>
      <c r="H89" s="11">
        <v>2090</v>
      </c>
    </row>
    <row r="90" spans="1:8" ht="15" customHeight="1" x14ac:dyDescent="0.25">
      <c r="A90" s="51"/>
      <c r="B90" s="2">
        <v>45743</v>
      </c>
      <c r="C90" s="3">
        <v>4053290621</v>
      </c>
      <c r="D90" s="3">
        <v>18</v>
      </c>
      <c r="E90" s="4" t="s">
        <v>288</v>
      </c>
      <c r="F90" s="19" t="s">
        <v>417</v>
      </c>
      <c r="G90" s="10" t="s">
        <v>6</v>
      </c>
      <c r="H90" s="11">
        <v>990</v>
      </c>
    </row>
    <row r="91" spans="1:8" ht="15" customHeight="1" x14ac:dyDescent="0.25">
      <c r="A91" s="51"/>
      <c r="B91" s="2">
        <v>45743</v>
      </c>
      <c r="C91" s="3">
        <v>4053290621</v>
      </c>
      <c r="D91" s="3">
        <v>59</v>
      </c>
      <c r="E91" s="4" t="s">
        <v>483</v>
      </c>
      <c r="F91" s="19" t="s">
        <v>417</v>
      </c>
      <c r="G91" s="10" t="s">
        <v>6</v>
      </c>
      <c r="H91" s="11">
        <v>3245</v>
      </c>
    </row>
    <row r="92" spans="1:8" ht="15" customHeight="1" x14ac:dyDescent="0.25">
      <c r="A92" s="51"/>
      <c r="B92" s="2">
        <v>45743</v>
      </c>
      <c r="C92" s="3">
        <v>2052669675</v>
      </c>
      <c r="D92" s="3">
        <v>59</v>
      </c>
      <c r="E92" s="4" t="s">
        <v>484</v>
      </c>
      <c r="F92" s="19" t="s">
        <v>417</v>
      </c>
      <c r="G92" s="10" t="s">
        <v>6</v>
      </c>
      <c r="H92" s="11">
        <v>3245</v>
      </c>
    </row>
    <row r="93" spans="1:8" ht="15" customHeight="1" x14ac:dyDescent="0.25">
      <c r="A93" s="51"/>
      <c r="B93" s="2">
        <v>45743</v>
      </c>
      <c r="C93" s="3">
        <v>815810447</v>
      </c>
      <c r="D93" s="3">
        <v>38</v>
      </c>
      <c r="E93" s="4" t="s">
        <v>136</v>
      </c>
      <c r="F93" s="19" t="s">
        <v>417</v>
      </c>
      <c r="G93" s="10" t="s">
        <v>6</v>
      </c>
      <c r="H93" s="11">
        <v>2090</v>
      </c>
    </row>
    <row r="94" spans="1:8" ht="15" customHeight="1" x14ac:dyDescent="0.25">
      <c r="A94" s="51"/>
      <c r="B94" s="2">
        <v>45743</v>
      </c>
      <c r="C94" s="3">
        <v>815810447</v>
      </c>
      <c r="D94" s="3">
        <v>30</v>
      </c>
      <c r="E94" s="4" t="s">
        <v>485</v>
      </c>
      <c r="F94" s="19" t="s">
        <v>417</v>
      </c>
      <c r="G94" s="10" t="s">
        <v>6</v>
      </c>
      <c r="H94" s="11">
        <v>1650</v>
      </c>
    </row>
    <row r="95" spans="1:8" ht="15" customHeight="1" x14ac:dyDescent="0.25">
      <c r="A95" s="51"/>
      <c r="B95" s="2">
        <v>45743</v>
      </c>
      <c r="C95" s="3">
        <v>1825392629</v>
      </c>
      <c r="D95" s="3">
        <v>38</v>
      </c>
      <c r="E95" s="4" t="s">
        <v>337</v>
      </c>
      <c r="F95" s="19" t="s">
        <v>417</v>
      </c>
      <c r="G95" s="10" t="s">
        <v>6</v>
      </c>
      <c r="H95" s="11">
        <v>2090</v>
      </c>
    </row>
    <row r="96" spans="1:8" ht="15" customHeight="1" x14ac:dyDescent="0.25">
      <c r="A96" s="51"/>
      <c r="B96" s="2">
        <v>45743</v>
      </c>
      <c r="C96" s="3">
        <v>595281831</v>
      </c>
      <c r="D96" s="3">
        <v>50</v>
      </c>
      <c r="E96" s="4" t="s">
        <v>486</v>
      </c>
      <c r="F96" s="19" t="s">
        <v>417</v>
      </c>
      <c r="G96" s="10" t="s">
        <v>6</v>
      </c>
      <c r="H96" s="11">
        <v>2750</v>
      </c>
    </row>
    <row r="97" spans="1:8" ht="15" customHeight="1" x14ac:dyDescent="0.25">
      <c r="A97" s="51"/>
      <c r="B97" s="2">
        <v>45743</v>
      </c>
      <c r="C97" s="3">
        <v>2428978342</v>
      </c>
      <c r="D97" s="3">
        <v>38</v>
      </c>
      <c r="E97" s="4" t="s">
        <v>487</v>
      </c>
      <c r="F97" s="19" t="s">
        <v>417</v>
      </c>
      <c r="G97" s="10" t="s">
        <v>6</v>
      </c>
      <c r="H97" s="11">
        <v>2090</v>
      </c>
    </row>
    <row r="98" spans="1:8" ht="15" customHeight="1" x14ac:dyDescent="0.25">
      <c r="A98" s="51"/>
      <c r="B98" s="2">
        <v>45743</v>
      </c>
      <c r="C98" s="3">
        <v>877217090</v>
      </c>
      <c r="D98" s="3">
        <v>43</v>
      </c>
      <c r="E98" s="4" t="s">
        <v>488</v>
      </c>
      <c r="F98" s="19" t="s">
        <v>417</v>
      </c>
      <c r="G98" s="10" t="s">
        <v>6</v>
      </c>
      <c r="H98" s="11">
        <v>2365</v>
      </c>
    </row>
    <row r="99" spans="1:8" ht="15" customHeight="1" x14ac:dyDescent="0.25">
      <c r="A99" s="51"/>
      <c r="B99" s="2">
        <v>45743</v>
      </c>
      <c r="C99" s="3">
        <v>4221586956</v>
      </c>
      <c r="D99" s="3">
        <v>59</v>
      </c>
      <c r="E99" s="4" t="s">
        <v>489</v>
      </c>
      <c r="F99" s="19" t="s">
        <v>417</v>
      </c>
      <c r="G99" s="10" t="s">
        <v>6</v>
      </c>
      <c r="H99" s="11">
        <v>3245</v>
      </c>
    </row>
    <row r="100" spans="1:8" ht="15" customHeight="1" x14ac:dyDescent="0.25">
      <c r="A100" s="51"/>
      <c r="B100" s="2">
        <v>45743</v>
      </c>
      <c r="C100" s="3">
        <v>490557227</v>
      </c>
      <c r="D100" s="3">
        <v>6</v>
      </c>
      <c r="E100" s="4" t="s">
        <v>392</v>
      </c>
      <c r="F100" s="19" t="s">
        <v>417</v>
      </c>
      <c r="G100" s="10" t="s">
        <v>11</v>
      </c>
      <c r="H100" s="11">
        <v>300</v>
      </c>
    </row>
    <row r="101" spans="1:8" ht="15" customHeight="1" x14ac:dyDescent="0.25">
      <c r="A101" s="51"/>
      <c r="B101" s="2">
        <v>45743</v>
      </c>
      <c r="C101" s="3">
        <v>490557227</v>
      </c>
      <c r="D101" s="3">
        <v>42</v>
      </c>
      <c r="E101" s="4" t="s">
        <v>392</v>
      </c>
      <c r="F101" s="19" t="s">
        <v>417</v>
      </c>
      <c r="G101" s="10" t="s">
        <v>6</v>
      </c>
      <c r="H101" s="11">
        <v>2339.9997600000002</v>
      </c>
    </row>
    <row r="102" spans="1:8" ht="15" customHeight="1" x14ac:dyDescent="0.25">
      <c r="A102" s="51"/>
      <c r="B102" s="2">
        <v>45743</v>
      </c>
      <c r="C102" s="3">
        <v>4274473154</v>
      </c>
      <c r="D102" s="3">
        <v>18</v>
      </c>
      <c r="E102" s="4" t="s">
        <v>490</v>
      </c>
      <c r="F102" s="19" t="s">
        <v>417</v>
      </c>
      <c r="G102" s="10" t="s">
        <v>6</v>
      </c>
      <c r="H102" s="11">
        <v>990</v>
      </c>
    </row>
    <row r="103" spans="1:8" ht="15" customHeight="1" x14ac:dyDescent="0.25">
      <c r="A103" s="51"/>
      <c r="B103" s="2">
        <v>45743</v>
      </c>
      <c r="C103" s="3">
        <v>2567586003</v>
      </c>
      <c r="D103" s="3">
        <v>59</v>
      </c>
      <c r="E103" s="4" t="s">
        <v>491</v>
      </c>
      <c r="F103" s="19" t="s">
        <v>417</v>
      </c>
      <c r="G103" s="10" t="s">
        <v>6</v>
      </c>
      <c r="H103" s="11">
        <v>3245</v>
      </c>
    </row>
    <row r="104" spans="1:8" ht="15" customHeight="1" x14ac:dyDescent="0.25">
      <c r="A104" s="51"/>
      <c r="B104" s="2">
        <v>45743</v>
      </c>
      <c r="C104" s="3">
        <v>1140475474</v>
      </c>
      <c r="D104" s="3">
        <v>38</v>
      </c>
      <c r="E104" s="4" t="s">
        <v>492</v>
      </c>
      <c r="F104" s="19" t="s">
        <v>417</v>
      </c>
      <c r="G104" s="10" t="s">
        <v>6</v>
      </c>
      <c r="H104" s="11">
        <v>2090</v>
      </c>
    </row>
    <row r="105" spans="1:8" ht="15" customHeight="1" x14ac:dyDescent="0.25">
      <c r="A105" s="51"/>
      <c r="B105" s="2">
        <v>45743</v>
      </c>
      <c r="C105" s="3">
        <v>3527100211</v>
      </c>
      <c r="D105" s="3">
        <v>38</v>
      </c>
      <c r="E105" s="4" t="s">
        <v>493</v>
      </c>
      <c r="F105" s="19" t="s">
        <v>417</v>
      </c>
      <c r="G105" s="10" t="s">
        <v>6</v>
      </c>
      <c r="H105" s="11">
        <v>2090</v>
      </c>
    </row>
    <row r="106" spans="1:8" ht="15" customHeight="1" x14ac:dyDescent="0.25">
      <c r="A106" s="51"/>
      <c r="B106" s="2">
        <v>45743</v>
      </c>
      <c r="C106" s="3">
        <v>915489821</v>
      </c>
      <c r="D106" s="3">
        <v>23</v>
      </c>
      <c r="E106" s="4" t="s">
        <v>494</v>
      </c>
      <c r="F106" s="19" t="s">
        <v>417</v>
      </c>
      <c r="G106" s="10" t="s">
        <v>6</v>
      </c>
      <c r="H106" s="11">
        <v>1265</v>
      </c>
    </row>
    <row r="107" spans="1:8" ht="15" customHeight="1" x14ac:dyDescent="0.25">
      <c r="A107" s="51"/>
      <c r="B107" s="2">
        <v>45743</v>
      </c>
      <c r="C107" s="3">
        <v>3479062961</v>
      </c>
      <c r="D107" s="3">
        <v>28</v>
      </c>
      <c r="E107" s="4" t="s">
        <v>495</v>
      </c>
      <c r="F107" s="19" t="s">
        <v>417</v>
      </c>
      <c r="G107" s="10" t="s">
        <v>6</v>
      </c>
      <c r="H107" s="11">
        <v>1540</v>
      </c>
    </row>
    <row r="108" spans="1:8" ht="15" customHeight="1" x14ac:dyDescent="0.25">
      <c r="A108" s="51"/>
      <c r="B108" s="2">
        <v>45743</v>
      </c>
      <c r="C108" s="3">
        <v>2952612327</v>
      </c>
      <c r="D108" s="3">
        <v>38</v>
      </c>
      <c r="E108" s="4" t="s">
        <v>349</v>
      </c>
      <c r="F108" s="19" t="s">
        <v>417</v>
      </c>
      <c r="G108" s="10" t="s">
        <v>6</v>
      </c>
      <c r="H108" s="11">
        <v>2090</v>
      </c>
    </row>
    <row r="109" spans="1:8" ht="15" customHeight="1" x14ac:dyDescent="0.25">
      <c r="A109" s="51"/>
      <c r="B109" s="2">
        <v>45743</v>
      </c>
      <c r="C109" s="3">
        <v>1438466916</v>
      </c>
      <c r="D109" s="3">
        <v>59</v>
      </c>
      <c r="E109" s="4" t="s">
        <v>496</v>
      </c>
      <c r="F109" s="19" t="s">
        <v>417</v>
      </c>
      <c r="G109" s="10" t="s">
        <v>6</v>
      </c>
      <c r="H109" s="11">
        <v>3245</v>
      </c>
    </row>
    <row r="110" spans="1:8" ht="15" customHeight="1" x14ac:dyDescent="0.25">
      <c r="A110" s="51"/>
      <c r="B110" s="2">
        <v>45743</v>
      </c>
      <c r="C110" s="3">
        <v>93013773</v>
      </c>
      <c r="D110" s="3">
        <v>43</v>
      </c>
      <c r="E110" s="4" t="s">
        <v>497</v>
      </c>
      <c r="F110" s="19" t="s">
        <v>417</v>
      </c>
      <c r="G110" s="10" t="s">
        <v>6</v>
      </c>
      <c r="H110" s="11">
        <v>2365</v>
      </c>
    </row>
    <row r="111" spans="1:8" ht="15" customHeight="1" x14ac:dyDescent="0.25">
      <c r="A111" s="51"/>
      <c r="B111" s="2">
        <v>45743</v>
      </c>
      <c r="C111" s="3">
        <v>1390759156</v>
      </c>
      <c r="D111" s="3">
        <v>64</v>
      </c>
      <c r="E111" s="4" t="s">
        <v>498</v>
      </c>
      <c r="F111" s="19" t="s">
        <v>417</v>
      </c>
      <c r="G111" s="10" t="s">
        <v>6</v>
      </c>
      <c r="H111" s="11">
        <v>3520</v>
      </c>
    </row>
    <row r="112" spans="1:8" ht="15" customHeight="1" x14ac:dyDescent="0.25">
      <c r="A112" s="51"/>
      <c r="B112" s="2">
        <v>45743</v>
      </c>
      <c r="C112" s="3">
        <v>1235306111</v>
      </c>
      <c r="D112" s="3">
        <v>64</v>
      </c>
      <c r="E112" s="4" t="s">
        <v>499</v>
      </c>
      <c r="F112" s="19" t="s">
        <v>417</v>
      </c>
      <c r="G112" s="10" t="s">
        <v>6</v>
      </c>
      <c r="H112" s="11">
        <v>3520</v>
      </c>
    </row>
    <row r="113" spans="1:8" ht="15" customHeight="1" x14ac:dyDescent="0.25">
      <c r="A113" s="51"/>
      <c r="B113" s="2">
        <v>45743</v>
      </c>
      <c r="C113" s="3">
        <v>1879851803</v>
      </c>
      <c r="D113" s="3">
        <v>59</v>
      </c>
      <c r="E113" s="4" t="s">
        <v>500</v>
      </c>
      <c r="F113" s="19" t="s">
        <v>417</v>
      </c>
      <c r="G113" s="10" t="s">
        <v>6</v>
      </c>
      <c r="H113" s="11">
        <v>3245</v>
      </c>
    </row>
    <row r="114" spans="1:8" ht="15" customHeight="1" x14ac:dyDescent="0.25">
      <c r="A114" s="51"/>
      <c r="B114" s="2">
        <v>45743</v>
      </c>
      <c r="C114" s="3">
        <v>1879851803</v>
      </c>
      <c r="D114" s="3">
        <v>18</v>
      </c>
      <c r="E114" s="4" t="s">
        <v>501</v>
      </c>
      <c r="F114" s="19" t="s">
        <v>417</v>
      </c>
      <c r="G114" s="10" t="s">
        <v>6</v>
      </c>
      <c r="H114" s="11">
        <v>990</v>
      </c>
    </row>
    <row r="115" spans="1:8" ht="15" customHeight="1" x14ac:dyDescent="0.25">
      <c r="A115" s="51"/>
      <c r="B115" s="2">
        <v>45743</v>
      </c>
      <c r="C115" s="3">
        <v>2392016085</v>
      </c>
      <c r="D115" s="3">
        <v>18</v>
      </c>
      <c r="E115" s="4" t="s">
        <v>502</v>
      </c>
      <c r="F115" s="19" t="s">
        <v>417</v>
      </c>
      <c r="G115" s="10" t="s">
        <v>6</v>
      </c>
      <c r="H115" s="11">
        <v>990</v>
      </c>
    </row>
    <row r="116" spans="1:8" ht="15" customHeight="1" x14ac:dyDescent="0.25">
      <c r="A116" s="51"/>
      <c r="B116" s="2">
        <v>45743</v>
      </c>
      <c r="C116" s="3">
        <v>3103212724</v>
      </c>
      <c r="D116" s="3">
        <v>59</v>
      </c>
      <c r="E116" s="4" t="s">
        <v>503</v>
      </c>
      <c r="F116" s="19" t="s">
        <v>417</v>
      </c>
      <c r="G116" s="10" t="s">
        <v>6</v>
      </c>
      <c r="H116" s="11">
        <v>3245</v>
      </c>
    </row>
    <row r="117" spans="1:8" ht="15" customHeight="1" x14ac:dyDescent="0.25">
      <c r="A117" s="51"/>
      <c r="B117" s="2">
        <v>45743</v>
      </c>
      <c r="C117" s="3">
        <v>3103212724</v>
      </c>
      <c r="D117" s="3">
        <v>41</v>
      </c>
      <c r="E117" s="4" t="s">
        <v>504</v>
      </c>
      <c r="F117" s="19" t="s">
        <v>417</v>
      </c>
      <c r="G117" s="10" t="s">
        <v>6</v>
      </c>
      <c r="H117" s="11">
        <v>2255</v>
      </c>
    </row>
    <row r="118" spans="1:8" ht="15" customHeight="1" x14ac:dyDescent="0.25">
      <c r="A118" s="51"/>
      <c r="B118" s="2">
        <v>45743</v>
      </c>
      <c r="C118" s="3">
        <v>3103212724</v>
      </c>
      <c r="D118" s="3">
        <v>39</v>
      </c>
      <c r="E118" s="4" t="s">
        <v>505</v>
      </c>
      <c r="F118" s="19" t="s">
        <v>417</v>
      </c>
      <c r="G118" s="10" t="s">
        <v>11</v>
      </c>
      <c r="H118" s="11">
        <v>2099.9978999999998</v>
      </c>
    </row>
    <row r="119" spans="1:8" ht="15" customHeight="1" x14ac:dyDescent="0.25">
      <c r="A119" s="51"/>
      <c r="B119" s="2">
        <v>45743</v>
      </c>
      <c r="C119" s="3">
        <v>3103212724</v>
      </c>
      <c r="D119" s="3">
        <v>9</v>
      </c>
      <c r="E119" s="4" t="s">
        <v>505</v>
      </c>
      <c r="F119" s="19" t="s">
        <v>417</v>
      </c>
      <c r="G119" s="10" t="s">
        <v>6</v>
      </c>
      <c r="H119" s="11">
        <v>540</v>
      </c>
    </row>
    <row r="120" spans="1:8" ht="15" customHeight="1" x14ac:dyDescent="0.25">
      <c r="A120" s="51"/>
      <c r="B120" s="2">
        <v>45743</v>
      </c>
      <c r="C120" s="3">
        <v>2047886179</v>
      </c>
      <c r="D120" s="3">
        <v>35</v>
      </c>
      <c r="E120" s="4" t="s">
        <v>506</v>
      </c>
      <c r="F120" s="19" t="s">
        <v>417</v>
      </c>
      <c r="G120" s="10" t="s">
        <v>6</v>
      </c>
      <c r="H120" s="11">
        <v>1925</v>
      </c>
    </row>
    <row r="121" spans="1:8" ht="15" customHeight="1" x14ac:dyDescent="0.25">
      <c r="A121" s="51"/>
      <c r="B121" s="2">
        <v>45852</v>
      </c>
      <c r="C121" s="3">
        <v>758860229</v>
      </c>
      <c r="D121" s="3">
        <v>65</v>
      </c>
      <c r="E121" s="4" t="s">
        <v>816</v>
      </c>
      <c r="F121" s="19" t="s">
        <v>417</v>
      </c>
      <c r="G121" s="10" t="s">
        <v>6</v>
      </c>
      <c r="H121" s="11">
        <v>3575</v>
      </c>
    </row>
    <row r="122" spans="1:8" ht="15" customHeight="1" x14ac:dyDescent="0.25">
      <c r="A122" s="51"/>
      <c r="B122" s="2">
        <v>45852</v>
      </c>
      <c r="C122" s="3">
        <v>1314016882</v>
      </c>
      <c r="D122" s="3">
        <v>65</v>
      </c>
      <c r="E122" s="4" t="s">
        <v>817</v>
      </c>
      <c r="F122" s="19" t="s">
        <v>417</v>
      </c>
      <c r="G122" s="10" t="s">
        <v>6</v>
      </c>
      <c r="H122" s="11">
        <v>3575</v>
      </c>
    </row>
    <row r="123" spans="1:8" ht="15" customHeight="1" x14ac:dyDescent="0.25">
      <c r="A123" s="51"/>
      <c r="B123" s="2">
        <v>45853</v>
      </c>
      <c r="C123" s="3">
        <v>4180494424</v>
      </c>
      <c r="D123" s="3">
        <v>53</v>
      </c>
      <c r="E123" s="4" t="s">
        <v>112</v>
      </c>
      <c r="F123" s="19" t="s">
        <v>417</v>
      </c>
      <c r="G123" s="10" t="s">
        <v>6</v>
      </c>
      <c r="H123" s="11">
        <v>2915</v>
      </c>
    </row>
    <row r="124" spans="1:8" ht="15" customHeight="1" x14ac:dyDescent="0.25">
      <c r="A124" s="51"/>
      <c r="B124" s="2">
        <v>45853</v>
      </c>
      <c r="C124" s="3">
        <v>2196783694</v>
      </c>
      <c r="D124" s="3">
        <v>29</v>
      </c>
      <c r="E124" s="4" t="s">
        <v>78</v>
      </c>
      <c r="F124" s="19" t="s">
        <v>417</v>
      </c>
      <c r="G124" s="10" t="s">
        <v>11</v>
      </c>
      <c r="H124" s="11">
        <v>1599.9996000000001</v>
      </c>
    </row>
    <row r="125" spans="1:8" ht="15" customHeight="1" x14ac:dyDescent="0.25">
      <c r="A125" s="51"/>
      <c r="B125" s="2">
        <v>45853</v>
      </c>
      <c r="C125" s="3">
        <v>2196783694</v>
      </c>
      <c r="D125" s="3">
        <v>4</v>
      </c>
      <c r="E125" s="4" t="s">
        <v>78</v>
      </c>
      <c r="F125" s="19" t="s">
        <v>417</v>
      </c>
      <c r="G125" s="10" t="s">
        <v>6</v>
      </c>
      <c r="H125" s="11">
        <v>215</v>
      </c>
    </row>
    <row r="126" spans="1:8" ht="15" customHeight="1" x14ac:dyDescent="0.25">
      <c r="A126" s="51"/>
      <c r="B126" s="2">
        <v>45853</v>
      </c>
      <c r="C126" s="3">
        <v>1447906461</v>
      </c>
      <c r="D126" s="3">
        <v>58</v>
      </c>
      <c r="E126" s="4" t="s">
        <v>415</v>
      </c>
      <c r="F126" s="19" t="s">
        <v>417</v>
      </c>
      <c r="G126" s="10" t="s">
        <v>6</v>
      </c>
      <c r="H126" s="11">
        <v>3190</v>
      </c>
    </row>
    <row r="127" spans="1:8" ht="15" customHeight="1" x14ac:dyDescent="0.25">
      <c r="A127" s="51"/>
      <c r="B127" s="2">
        <v>45853</v>
      </c>
      <c r="C127" s="3">
        <v>2007123663</v>
      </c>
      <c r="D127" s="3">
        <v>33</v>
      </c>
      <c r="E127" s="4" t="s">
        <v>139</v>
      </c>
      <c r="F127" s="19" t="s">
        <v>417</v>
      </c>
      <c r="G127" s="10" t="s">
        <v>6</v>
      </c>
      <c r="H127" s="11">
        <v>1815</v>
      </c>
    </row>
    <row r="128" spans="1:8" ht="15" customHeight="1" x14ac:dyDescent="0.25">
      <c r="A128" s="51"/>
      <c r="B128" s="2">
        <v>45853</v>
      </c>
      <c r="C128" s="3">
        <v>2264023299</v>
      </c>
      <c r="D128" s="3">
        <v>33</v>
      </c>
      <c r="E128" s="4" t="s">
        <v>818</v>
      </c>
      <c r="F128" s="19" t="s">
        <v>417</v>
      </c>
      <c r="G128" s="10" t="s">
        <v>6</v>
      </c>
      <c r="H128" s="11">
        <v>1815</v>
      </c>
    </row>
    <row r="129" spans="1:8" ht="15" customHeight="1" x14ac:dyDescent="0.25">
      <c r="A129" s="51"/>
      <c r="B129" s="2">
        <v>45853</v>
      </c>
      <c r="C129" s="3">
        <v>1397311153</v>
      </c>
      <c r="D129" s="3">
        <v>20</v>
      </c>
      <c r="E129" s="4" t="s">
        <v>139</v>
      </c>
      <c r="F129" s="19" t="s">
        <v>417</v>
      </c>
      <c r="G129" s="10" t="s">
        <v>6</v>
      </c>
      <c r="H129" s="11">
        <v>1100</v>
      </c>
    </row>
    <row r="130" spans="1:8" ht="15" customHeight="1" x14ac:dyDescent="0.25">
      <c r="A130" s="51"/>
      <c r="B130" s="2">
        <v>45853</v>
      </c>
      <c r="C130" s="3">
        <v>3455863889</v>
      </c>
      <c r="D130" s="3">
        <v>53</v>
      </c>
      <c r="E130" s="4" t="s">
        <v>416</v>
      </c>
      <c r="F130" s="19" t="s">
        <v>417</v>
      </c>
      <c r="G130" s="10" t="s">
        <v>6</v>
      </c>
      <c r="H130" s="11">
        <v>2915</v>
      </c>
    </row>
    <row r="131" spans="1:8" ht="15" customHeight="1" x14ac:dyDescent="0.25">
      <c r="A131" s="51"/>
      <c r="B131" s="2">
        <v>45853</v>
      </c>
      <c r="C131" s="3">
        <v>1042432716</v>
      </c>
      <c r="D131" s="3">
        <v>58</v>
      </c>
      <c r="E131" s="4" t="s">
        <v>445</v>
      </c>
      <c r="F131" s="19" t="s">
        <v>417</v>
      </c>
      <c r="G131" s="10" t="s">
        <v>6</v>
      </c>
      <c r="H131" s="11">
        <v>3190</v>
      </c>
    </row>
    <row r="132" spans="1:8" ht="15" customHeight="1" x14ac:dyDescent="0.25">
      <c r="A132" s="51"/>
      <c r="B132" s="2">
        <v>45853</v>
      </c>
      <c r="C132" s="3">
        <v>2915191882</v>
      </c>
      <c r="D132" s="3">
        <v>48</v>
      </c>
      <c r="E132" s="4" t="s">
        <v>819</v>
      </c>
      <c r="F132" s="19" t="s">
        <v>417</v>
      </c>
      <c r="G132" s="10" t="s">
        <v>6</v>
      </c>
      <c r="H132" s="11">
        <v>2640</v>
      </c>
    </row>
    <row r="133" spans="1:8" ht="15" customHeight="1" x14ac:dyDescent="0.25">
      <c r="A133" s="51"/>
      <c r="B133" s="2">
        <v>45853</v>
      </c>
      <c r="C133" s="3">
        <v>1882080761</v>
      </c>
      <c r="D133" s="3">
        <v>28</v>
      </c>
      <c r="E133" s="4" t="s">
        <v>820</v>
      </c>
      <c r="F133" s="19" t="s">
        <v>417</v>
      </c>
      <c r="G133" s="10" t="s">
        <v>6</v>
      </c>
      <c r="H133" s="11">
        <v>1540</v>
      </c>
    </row>
    <row r="134" spans="1:8" ht="15" customHeight="1" x14ac:dyDescent="0.25">
      <c r="A134" s="51"/>
      <c r="B134" s="2">
        <v>45853</v>
      </c>
      <c r="C134" s="3">
        <v>2386380133</v>
      </c>
      <c r="D134" s="3">
        <v>68</v>
      </c>
      <c r="E134" s="4" t="s">
        <v>821</v>
      </c>
      <c r="F134" s="19" t="s">
        <v>417</v>
      </c>
      <c r="G134" s="10" t="s">
        <v>6</v>
      </c>
      <c r="H134" s="11">
        <v>3740</v>
      </c>
    </row>
    <row r="135" spans="1:8" ht="15" customHeight="1" x14ac:dyDescent="0.25">
      <c r="A135" s="51"/>
      <c r="B135" s="2">
        <v>45853</v>
      </c>
      <c r="C135" s="3">
        <v>3010415436</v>
      </c>
      <c r="D135" s="3">
        <v>53</v>
      </c>
      <c r="E135" s="4" t="s">
        <v>402</v>
      </c>
      <c r="F135" s="19" t="s">
        <v>417</v>
      </c>
      <c r="G135" s="10" t="s">
        <v>6</v>
      </c>
      <c r="H135" s="11">
        <v>2915</v>
      </c>
    </row>
    <row r="136" spans="1:8" ht="15" customHeight="1" x14ac:dyDescent="0.25">
      <c r="A136" s="51"/>
      <c r="B136" s="2">
        <v>45853</v>
      </c>
      <c r="C136" s="3">
        <v>4253437718</v>
      </c>
      <c r="D136" s="3">
        <v>33</v>
      </c>
      <c r="E136" s="4" t="s">
        <v>822</v>
      </c>
      <c r="F136" s="19" t="s">
        <v>417</v>
      </c>
      <c r="G136" s="10" t="s">
        <v>6</v>
      </c>
      <c r="H136" s="11">
        <v>1815</v>
      </c>
    </row>
    <row r="137" spans="1:8" ht="15" customHeight="1" x14ac:dyDescent="0.25">
      <c r="A137" s="51"/>
      <c r="B137" s="2">
        <v>45853</v>
      </c>
      <c r="C137" s="3">
        <v>3553443890</v>
      </c>
      <c r="D137" s="3">
        <v>53</v>
      </c>
      <c r="E137" s="4" t="s">
        <v>460</v>
      </c>
      <c r="F137" s="19" t="s">
        <v>417</v>
      </c>
      <c r="G137" s="10" t="s">
        <v>6</v>
      </c>
      <c r="H137" s="11">
        <v>2915</v>
      </c>
    </row>
    <row r="138" spans="1:8" ht="15" customHeight="1" x14ac:dyDescent="0.25">
      <c r="A138" s="51"/>
      <c r="B138" s="2">
        <v>45853</v>
      </c>
      <c r="C138" s="3">
        <v>1595556781</v>
      </c>
      <c r="D138" s="3">
        <v>71</v>
      </c>
      <c r="E138" s="4" t="s">
        <v>420</v>
      </c>
      <c r="F138" s="19" t="s">
        <v>417</v>
      </c>
      <c r="G138" s="10" t="s">
        <v>6</v>
      </c>
      <c r="H138" s="11">
        <v>3905</v>
      </c>
    </row>
    <row r="139" spans="1:8" ht="15" customHeight="1" x14ac:dyDescent="0.25">
      <c r="A139" s="51"/>
      <c r="B139" s="2">
        <v>45853</v>
      </c>
      <c r="C139" s="3">
        <v>4168567871</v>
      </c>
      <c r="D139" s="3">
        <v>53</v>
      </c>
      <c r="E139" s="4" t="s">
        <v>337</v>
      </c>
      <c r="F139" s="19" t="s">
        <v>417</v>
      </c>
      <c r="G139" s="10" t="s">
        <v>6</v>
      </c>
      <c r="H139" s="11">
        <v>2915</v>
      </c>
    </row>
    <row r="140" spans="1:8" ht="15" customHeight="1" x14ac:dyDescent="0.25">
      <c r="A140" s="51"/>
      <c r="B140" s="2">
        <v>45853</v>
      </c>
      <c r="C140" s="3">
        <v>1148274358</v>
      </c>
      <c r="D140" s="3">
        <v>53</v>
      </c>
      <c r="E140" s="4" t="s">
        <v>823</v>
      </c>
      <c r="F140" s="19" t="s">
        <v>417</v>
      </c>
      <c r="G140" s="10" t="s">
        <v>6</v>
      </c>
      <c r="H140" s="11">
        <v>2915</v>
      </c>
    </row>
    <row r="141" spans="1:8" ht="15" customHeight="1" x14ac:dyDescent="0.25">
      <c r="A141" s="51"/>
      <c r="B141" s="2">
        <v>45853</v>
      </c>
      <c r="C141" s="3">
        <v>2353220822</v>
      </c>
      <c r="D141" s="3">
        <v>23</v>
      </c>
      <c r="E141" s="4" t="s">
        <v>824</v>
      </c>
      <c r="F141" s="19" t="s">
        <v>417</v>
      </c>
      <c r="G141" s="10" t="s">
        <v>6</v>
      </c>
      <c r="H141" s="11">
        <v>1265</v>
      </c>
    </row>
    <row r="142" spans="1:8" ht="15" customHeight="1" x14ac:dyDescent="0.25">
      <c r="A142" s="51"/>
      <c r="B142" s="2">
        <v>45853</v>
      </c>
      <c r="C142" s="3">
        <v>1154108885</v>
      </c>
      <c r="D142" s="3">
        <v>23</v>
      </c>
      <c r="E142" s="4" t="s">
        <v>825</v>
      </c>
      <c r="F142" s="19" t="s">
        <v>417</v>
      </c>
      <c r="G142" s="10" t="s">
        <v>6</v>
      </c>
      <c r="H142" s="11">
        <v>1265</v>
      </c>
    </row>
    <row r="143" spans="1:8" ht="15" customHeight="1" x14ac:dyDescent="0.25">
      <c r="A143" s="51"/>
      <c r="B143" s="2">
        <v>45853</v>
      </c>
      <c r="C143" s="3">
        <v>2629518246</v>
      </c>
      <c r="D143" s="3">
        <v>43</v>
      </c>
      <c r="E143" s="4" t="s">
        <v>826</v>
      </c>
      <c r="F143" s="19" t="s">
        <v>417</v>
      </c>
      <c r="G143" s="10" t="s">
        <v>6</v>
      </c>
      <c r="H143" s="11">
        <v>2365</v>
      </c>
    </row>
    <row r="144" spans="1:8" ht="15" customHeight="1" x14ac:dyDescent="0.25">
      <c r="A144" s="51"/>
      <c r="B144" s="2">
        <v>45853</v>
      </c>
      <c r="C144" s="3">
        <v>728712057</v>
      </c>
      <c r="D144" s="3">
        <v>68</v>
      </c>
      <c r="E144" s="4" t="s">
        <v>660</v>
      </c>
      <c r="F144" s="19" t="s">
        <v>417</v>
      </c>
      <c r="G144" s="10" t="s">
        <v>6</v>
      </c>
      <c r="H144" s="11">
        <v>3740</v>
      </c>
    </row>
    <row r="145" spans="1:8" ht="15" customHeight="1" x14ac:dyDescent="0.25">
      <c r="A145" s="51"/>
      <c r="B145" s="2">
        <v>45853</v>
      </c>
      <c r="C145" s="3">
        <v>913983531</v>
      </c>
      <c r="D145" s="3">
        <v>53</v>
      </c>
      <c r="E145" s="4" t="s">
        <v>434</v>
      </c>
      <c r="F145" s="19" t="s">
        <v>417</v>
      </c>
      <c r="G145" s="10" t="s">
        <v>7</v>
      </c>
      <c r="H145" s="11">
        <v>2915</v>
      </c>
    </row>
    <row r="146" spans="1:8" ht="15" customHeight="1" x14ac:dyDescent="0.25">
      <c r="A146" s="51"/>
      <c r="B146" s="2">
        <v>45853</v>
      </c>
      <c r="C146" s="3">
        <v>1962101130</v>
      </c>
      <c r="D146" s="3">
        <v>58</v>
      </c>
      <c r="E146" s="4" t="s">
        <v>754</v>
      </c>
      <c r="F146" s="19" t="s">
        <v>417</v>
      </c>
      <c r="G146" s="10" t="s">
        <v>6</v>
      </c>
      <c r="H146" s="11">
        <v>3190</v>
      </c>
    </row>
    <row r="147" spans="1:8" ht="15" customHeight="1" x14ac:dyDescent="0.25">
      <c r="A147" s="51"/>
      <c r="B147" s="2">
        <v>45853</v>
      </c>
      <c r="C147" s="3">
        <v>1519470358</v>
      </c>
      <c r="D147" s="3">
        <v>23</v>
      </c>
      <c r="E147" s="4" t="s">
        <v>470</v>
      </c>
      <c r="F147" s="19" t="s">
        <v>417</v>
      </c>
      <c r="G147" s="10" t="s">
        <v>6</v>
      </c>
      <c r="H147" s="11">
        <v>1265</v>
      </c>
    </row>
    <row r="148" spans="1:8" ht="15" customHeight="1" x14ac:dyDescent="0.25">
      <c r="A148" s="51"/>
      <c r="B148" s="2">
        <v>45853</v>
      </c>
      <c r="C148" s="3">
        <v>1993559427</v>
      </c>
      <c r="D148" s="3">
        <v>58</v>
      </c>
      <c r="E148" s="4" t="s">
        <v>827</v>
      </c>
      <c r="F148" s="19" t="s">
        <v>417</v>
      </c>
      <c r="G148" s="10" t="s">
        <v>6</v>
      </c>
      <c r="H148" s="11">
        <v>3190</v>
      </c>
    </row>
    <row r="149" spans="1:8" ht="15" customHeight="1" x14ac:dyDescent="0.25">
      <c r="A149" s="51"/>
      <c r="B149" s="2">
        <v>45853</v>
      </c>
      <c r="C149" s="3">
        <v>1159808146</v>
      </c>
      <c r="D149" s="3">
        <v>38</v>
      </c>
      <c r="E149" s="4" t="s">
        <v>506</v>
      </c>
      <c r="F149" s="19" t="s">
        <v>417</v>
      </c>
      <c r="G149" s="10" t="s">
        <v>6</v>
      </c>
      <c r="H149" s="11">
        <v>2090</v>
      </c>
    </row>
    <row r="150" spans="1:8" ht="15" customHeight="1" x14ac:dyDescent="0.25">
      <c r="A150" s="51"/>
      <c r="B150" s="2">
        <v>45853</v>
      </c>
      <c r="C150" s="3">
        <v>4205200246</v>
      </c>
      <c r="D150" s="3">
        <v>33</v>
      </c>
      <c r="E150" s="4" t="s">
        <v>828</v>
      </c>
      <c r="F150" s="19" t="s">
        <v>417</v>
      </c>
      <c r="G150" s="10" t="s">
        <v>6</v>
      </c>
      <c r="H150" s="11">
        <v>1815</v>
      </c>
    </row>
    <row r="151" spans="1:8" ht="15" customHeight="1" x14ac:dyDescent="0.25">
      <c r="A151" s="51"/>
      <c r="B151" s="2">
        <v>45853</v>
      </c>
      <c r="C151" s="3">
        <v>11354349</v>
      </c>
      <c r="D151" s="3">
        <v>53</v>
      </c>
      <c r="E151" s="4" t="s">
        <v>436</v>
      </c>
      <c r="F151" s="19" t="s">
        <v>417</v>
      </c>
      <c r="G151" s="10" t="s">
        <v>6</v>
      </c>
      <c r="H151" s="11">
        <v>2915</v>
      </c>
    </row>
    <row r="152" spans="1:8" ht="15" customHeight="1" x14ac:dyDescent="0.25">
      <c r="A152" s="51"/>
      <c r="B152" s="2">
        <v>45853</v>
      </c>
      <c r="C152" s="3">
        <v>371215071</v>
      </c>
      <c r="D152" s="3">
        <v>53</v>
      </c>
      <c r="E152" s="4" t="s">
        <v>422</v>
      </c>
      <c r="F152" s="19" t="s">
        <v>417</v>
      </c>
      <c r="G152" s="10" t="s">
        <v>6</v>
      </c>
      <c r="H152" s="11">
        <v>2915</v>
      </c>
    </row>
    <row r="153" spans="1:8" ht="15" customHeight="1" x14ac:dyDescent="0.25">
      <c r="A153" s="51"/>
      <c r="B153" s="2">
        <v>45853</v>
      </c>
      <c r="C153" s="3">
        <v>2323794430</v>
      </c>
      <c r="D153" s="3">
        <v>68</v>
      </c>
      <c r="E153" s="4" t="s">
        <v>829</v>
      </c>
      <c r="F153" s="19" t="s">
        <v>417</v>
      </c>
      <c r="G153" s="10" t="s">
        <v>7</v>
      </c>
      <c r="H153" s="11">
        <v>3740</v>
      </c>
    </row>
    <row r="154" spans="1:8" ht="15" customHeight="1" x14ac:dyDescent="0.25">
      <c r="A154" s="51"/>
      <c r="B154" s="2">
        <v>45853</v>
      </c>
      <c r="C154" s="3">
        <v>1766607519</v>
      </c>
      <c r="D154" s="3">
        <v>43</v>
      </c>
      <c r="E154" s="4" t="s">
        <v>830</v>
      </c>
      <c r="F154" s="19" t="s">
        <v>417</v>
      </c>
      <c r="G154" s="10" t="s">
        <v>6</v>
      </c>
      <c r="H154" s="11">
        <v>2365</v>
      </c>
    </row>
    <row r="155" spans="1:8" ht="15" customHeight="1" x14ac:dyDescent="0.25">
      <c r="A155" s="51"/>
      <c r="B155" s="2">
        <v>45853</v>
      </c>
      <c r="C155" s="3">
        <v>1026705654</v>
      </c>
      <c r="D155" s="3">
        <v>28</v>
      </c>
      <c r="E155" s="4" t="s">
        <v>492</v>
      </c>
      <c r="F155" s="19" t="s">
        <v>417</v>
      </c>
      <c r="G155" s="10" t="s">
        <v>6</v>
      </c>
      <c r="H155" s="11">
        <v>1540</v>
      </c>
    </row>
    <row r="156" spans="1:8" ht="15" customHeight="1" x14ac:dyDescent="0.25">
      <c r="A156" s="51"/>
      <c r="B156" s="2">
        <v>45853</v>
      </c>
      <c r="C156" s="3">
        <v>4026417288</v>
      </c>
      <c r="D156" s="3">
        <v>53</v>
      </c>
      <c r="E156" s="4" t="s">
        <v>831</v>
      </c>
      <c r="F156" s="19" t="s">
        <v>417</v>
      </c>
      <c r="G156" s="10" t="s">
        <v>6</v>
      </c>
      <c r="H156" s="11">
        <v>2915</v>
      </c>
    </row>
    <row r="157" spans="1:8" ht="15" customHeight="1" x14ac:dyDescent="0.25">
      <c r="A157" s="51"/>
      <c r="B157" s="2">
        <v>45853</v>
      </c>
      <c r="C157" s="3">
        <v>3652142059</v>
      </c>
      <c r="D157" s="3">
        <v>54</v>
      </c>
      <c r="E157" s="4" t="s">
        <v>739</v>
      </c>
      <c r="F157" s="19" t="s">
        <v>417</v>
      </c>
      <c r="G157" s="10" t="s">
        <v>6</v>
      </c>
      <c r="H157" s="11">
        <v>2970</v>
      </c>
    </row>
    <row r="158" spans="1:8" ht="15" customHeight="1" x14ac:dyDescent="0.25">
      <c r="A158" s="51"/>
      <c r="B158" s="2">
        <v>45853</v>
      </c>
      <c r="C158" s="3">
        <v>2461614690</v>
      </c>
      <c r="D158" s="3">
        <v>49</v>
      </c>
      <c r="E158" s="4" t="s">
        <v>804</v>
      </c>
      <c r="F158" s="19" t="s">
        <v>417</v>
      </c>
      <c r="G158" s="10" t="s">
        <v>11</v>
      </c>
      <c r="H158" s="11">
        <v>2695</v>
      </c>
    </row>
    <row r="159" spans="1:8" ht="15" customHeight="1" x14ac:dyDescent="0.25">
      <c r="A159" s="51"/>
      <c r="B159" s="2">
        <v>45853</v>
      </c>
      <c r="C159" s="3">
        <v>120998795</v>
      </c>
      <c r="D159" s="3">
        <v>54</v>
      </c>
      <c r="E159" s="4" t="s">
        <v>832</v>
      </c>
      <c r="F159" s="19" t="s">
        <v>417</v>
      </c>
      <c r="G159" s="10" t="s">
        <v>6</v>
      </c>
      <c r="H159" s="11">
        <v>2970</v>
      </c>
    </row>
    <row r="160" spans="1:8" ht="15" customHeight="1" x14ac:dyDescent="0.25">
      <c r="A160" s="51"/>
      <c r="B160" s="2">
        <v>45853</v>
      </c>
      <c r="C160" s="3">
        <v>3407955440</v>
      </c>
      <c r="D160" s="3">
        <v>50</v>
      </c>
      <c r="E160" s="4" t="s">
        <v>833</v>
      </c>
      <c r="F160" s="19" t="s">
        <v>417</v>
      </c>
      <c r="G160" s="10" t="s">
        <v>13</v>
      </c>
      <c r="H160" s="11">
        <v>2750</v>
      </c>
    </row>
    <row r="161" spans="1:8" ht="15" customHeight="1" x14ac:dyDescent="0.25">
      <c r="A161" s="51"/>
      <c r="B161" s="2">
        <v>45853</v>
      </c>
      <c r="C161" s="3">
        <v>436358193</v>
      </c>
      <c r="D161" s="3">
        <v>24</v>
      </c>
      <c r="E161" s="4" t="s">
        <v>834</v>
      </c>
      <c r="F161" s="19" t="s">
        <v>417</v>
      </c>
      <c r="G161" s="10" t="s">
        <v>6</v>
      </c>
      <c r="H161" s="11">
        <v>1320</v>
      </c>
    </row>
    <row r="162" spans="1:8" ht="15" customHeight="1" x14ac:dyDescent="0.25">
      <c r="A162" s="51"/>
      <c r="B162" s="2">
        <v>45853</v>
      </c>
      <c r="C162" s="3">
        <v>2312783258</v>
      </c>
      <c r="D162" s="3">
        <v>54</v>
      </c>
      <c r="E162" s="4" t="s">
        <v>835</v>
      </c>
      <c r="F162" s="19" t="s">
        <v>417</v>
      </c>
      <c r="G162" s="10" t="s">
        <v>6</v>
      </c>
      <c r="H162" s="11">
        <v>2970</v>
      </c>
    </row>
    <row r="163" spans="1:8" ht="15" customHeight="1" x14ac:dyDescent="0.25">
      <c r="A163" s="51"/>
      <c r="B163" s="2">
        <v>45854</v>
      </c>
      <c r="C163" s="3">
        <v>1782598736</v>
      </c>
      <c r="D163" s="3">
        <v>53</v>
      </c>
      <c r="E163" s="4" t="s">
        <v>159</v>
      </c>
      <c r="F163" s="19" t="s">
        <v>417</v>
      </c>
      <c r="G163" s="10" t="s">
        <v>6</v>
      </c>
      <c r="H163" s="11">
        <v>2915</v>
      </c>
    </row>
    <row r="164" spans="1:8" ht="15" customHeight="1" x14ac:dyDescent="0.25">
      <c r="A164" s="51"/>
      <c r="B164" s="2">
        <v>45854</v>
      </c>
      <c r="C164" s="3">
        <v>2594983009</v>
      </c>
      <c r="D164" s="3">
        <v>54</v>
      </c>
      <c r="E164" s="4" t="s">
        <v>836</v>
      </c>
      <c r="F164" s="19" t="s">
        <v>417</v>
      </c>
      <c r="G164" s="10" t="s">
        <v>6</v>
      </c>
      <c r="H164" s="11">
        <v>2970</v>
      </c>
    </row>
    <row r="165" spans="1:8" ht="15" customHeight="1" x14ac:dyDescent="0.25">
      <c r="A165" s="51"/>
      <c r="B165" s="2">
        <v>45854</v>
      </c>
      <c r="C165" s="3">
        <v>3365226502</v>
      </c>
      <c r="D165" s="3">
        <v>53</v>
      </c>
      <c r="E165" s="4" t="s">
        <v>351</v>
      </c>
      <c r="F165" s="19" t="s">
        <v>417</v>
      </c>
      <c r="G165" s="10" t="s">
        <v>6</v>
      </c>
      <c r="H165" s="11">
        <v>2915</v>
      </c>
    </row>
    <row r="166" spans="1:8" ht="15" customHeight="1" x14ac:dyDescent="0.25">
      <c r="A166" s="51"/>
      <c r="B166" s="2">
        <v>45854</v>
      </c>
      <c r="C166" s="3">
        <v>3991750145</v>
      </c>
      <c r="D166" s="3">
        <v>53</v>
      </c>
      <c r="E166" s="4" t="s">
        <v>200</v>
      </c>
      <c r="F166" s="19" t="s">
        <v>417</v>
      </c>
      <c r="G166" s="10" t="s">
        <v>6</v>
      </c>
      <c r="H166" s="11">
        <v>2915</v>
      </c>
    </row>
    <row r="167" spans="1:8" ht="15" customHeight="1" x14ac:dyDescent="0.25">
      <c r="A167" s="51"/>
      <c r="B167" s="2">
        <v>45854</v>
      </c>
      <c r="C167" s="3">
        <v>1624522914</v>
      </c>
      <c r="D167" s="3">
        <v>55</v>
      </c>
      <c r="E167" s="4" t="s">
        <v>837</v>
      </c>
      <c r="F167" s="19" t="s">
        <v>417</v>
      </c>
      <c r="G167" s="10" t="s">
        <v>6</v>
      </c>
      <c r="H167" s="11">
        <v>3025</v>
      </c>
    </row>
    <row r="168" spans="1:8" ht="15" customHeight="1" x14ac:dyDescent="0.25">
      <c r="A168" s="51"/>
      <c r="B168" s="2">
        <v>45854</v>
      </c>
      <c r="C168" s="3">
        <v>413877135</v>
      </c>
      <c r="D168" s="3">
        <v>20</v>
      </c>
      <c r="E168" s="4" t="s">
        <v>705</v>
      </c>
      <c r="F168" s="19" t="s">
        <v>417</v>
      </c>
      <c r="G168" s="10" t="s">
        <v>10</v>
      </c>
      <c r="H168" s="11">
        <v>1100</v>
      </c>
    </row>
    <row r="169" spans="1:8" ht="15" customHeight="1" x14ac:dyDescent="0.25">
      <c r="A169" s="51"/>
      <c r="B169" s="2">
        <v>45854</v>
      </c>
      <c r="C169" s="3">
        <v>1657029523</v>
      </c>
      <c r="D169" s="3">
        <v>58</v>
      </c>
      <c r="E169" s="4" t="s">
        <v>497</v>
      </c>
      <c r="F169" s="19" t="s">
        <v>417</v>
      </c>
      <c r="G169" s="10" t="s">
        <v>6</v>
      </c>
      <c r="H169" s="11">
        <v>3190</v>
      </c>
    </row>
    <row r="170" spans="1:8" ht="15" customHeight="1" x14ac:dyDescent="0.25">
      <c r="A170" s="51"/>
      <c r="B170" s="2">
        <v>45854</v>
      </c>
      <c r="C170" s="3">
        <v>171065582</v>
      </c>
      <c r="D170" s="3">
        <v>23</v>
      </c>
      <c r="E170" s="4" t="s">
        <v>419</v>
      </c>
      <c r="F170" s="19" t="s">
        <v>417</v>
      </c>
      <c r="G170" s="10" t="s">
        <v>6</v>
      </c>
      <c r="H170" s="11">
        <v>1265</v>
      </c>
    </row>
    <row r="171" spans="1:8" ht="15" customHeight="1" x14ac:dyDescent="0.25">
      <c r="A171" s="51"/>
      <c r="B171" s="2">
        <v>45854</v>
      </c>
      <c r="C171" s="3">
        <v>1196771640</v>
      </c>
      <c r="D171" s="3">
        <v>23</v>
      </c>
      <c r="E171" s="4" t="s">
        <v>838</v>
      </c>
      <c r="F171" s="19" t="s">
        <v>417</v>
      </c>
      <c r="G171" s="10" t="s">
        <v>6</v>
      </c>
      <c r="H171" s="11">
        <v>1265</v>
      </c>
    </row>
    <row r="172" spans="1:8" ht="15" customHeight="1" x14ac:dyDescent="0.25">
      <c r="A172" s="51"/>
      <c r="B172" s="2">
        <v>45854</v>
      </c>
      <c r="C172" s="3">
        <v>843925994</v>
      </c>
      <c r="D172" s="3">
        <v>13</v>
      </c>
      <c r="E172" s="4" t="s">
        <v>839</v>
      </c>
      <c r="F172" s="19" t="s">
        <v>417</v>
      </c>
      <c r="G172" s="10" t="s">
        <v>6</v>
      </c>
      <c r="H172" s="11">
        <v>715</v>
      </c>
    </row>
    <row r="173" spans="1:8" ht="15" customHeight="1" x14ac:dyDescent="0.25">
      <c r="A173" s="51"/>
      <c r="B173" s="2">
        <v>45854</v>
      </c>
      <c r="C173" s="3">
        <v>2991933152</v>
      </c>
      <c r="D173" s="3">
        <v>53</v>
      </c>
      <c r="E173" s="4" t="s">
        <v>840</v>
      </c>
      <c r="F173" s="19" t="s">
        <v>417</v>
      </c>
      <c r="G173" s="10" t="s">
        <v>6</v>
      </c>
      <c r="H173" s="11">
        <v>2915</v>
      </c>
    </row>
    <row r="174" spans="1:8" ht="15" customHeight="1" x14ac:dyDescent="0.25">
      <c r="A174" s="51"/>
      <c r="B174" s="2">
        <v>45854</v>
      </c>
      <c r="C174" s="3">
        <v>2715042911</v>
      </c>
      <c r="D174" s="3">
        <v>58</v>
      </c>
      <c r="E174" s="4" t="s">
        <v>459</v>
      </c>
      <c r="F174" s="19" t="s">
        <v>417</v>
      </c>
      <c r="G174" s="10" t="s">
        <v>6</v>
      </c>
      <c r="H174" s="11">
        <v>3190</v>
      </c>
    </row>
    <row r="175" spans="1:8" ht="15" customHeight="1" x14ac:dyDescent="0.25">
      <c r="A175" s="51"/>
      <c r="B175" s="2">
        <v>45854</v>
      </c>
      <c r="C175" s="3">
        <v>889932923</v>
      </c>
      <c r="D175" s="3">
        <v>53</v>
      </c>
      <c r="E175" s="4" t="s">
        <v>841</v>
      </c>
      <c r="F175" s="19" t="s">
        <v>417</v>
      </c>
      <c r="G175" s="10" t="s">
        <v>6</v>
      </c>
      <c r="H175" s="11">
        <v>2915</v>
      </c>
    </row>
    <row r="176" spans="1:8" ht="15" customHeight="1" x14ac:dyDescent="0.25">
      <c r="A176" s="51"/>
      <c r="B176" s="2">
        <v>45854</v>
      </c>
      <c r="C176" s="3">
        <v>873939068</v>
      </c>
      <c r="D176" s="3">
        <v>53</v>
      </c>
      <c r="E176" s="4" t="s">
        <v>842</v>
      </c>
      <c r="F176" s="19" t="s">
        <v>417</v>
      </c>
      <c r="G176" s="10" t="s">
        <v>6</v>
      </c>
      <c r="H176" s="11">
        <v>2915</v>
      </c>
    </row>
    <row r="177" spans="1:8" ht="15" customHeight="1" x14ac:dyDescent="0.25">
      <c r="A177" s="51"/>
      <c r="B177" s="2">
        <v>45854</v>
      </c>
      <c r="C177" s="3">
        <v>3173404079</v>
      </c>
      <c r="D177" s="3">
        <v>53</v>
      </c>
      <c r="E177" s="4" t="s">
        <v>490</v>
      </c>
      <c r="F177" s="19" t="s">
        <v>417</v>
      </c>
      <c r="G177" s="10" t="s">
        <v>6</v>
      </c>
      <c r="H177" s="11">
        <v>2915</v>
      </c>
    </row>
    <row r="178" spans="1:8" ht="15" customHeight="1" x14ac:dyDescent="0.25">
      <c r="A178" s="51"/>
      <c r="B178" s="2">
        <v>45854</v>
      </c>
      <c r="C178" s="3">
        <v>2372878449</v>
      </c>
      <c r="D178" s="3">
        <v>53</v>
      </c>
      <c r="E178" s="4" t="s">
        <v>843</v>
      </c>
      <c r="F178" s="19" t="s">
        <v>417</v>
      </c>
      <c r="G178" s="10" t="s">
        <v>6</v>
      </c>
      <c r="H178" s="11">
        <v>2915</v>
      </c>
    </row>
    <row r="179" spans="1:8" ht="15" customHeight="1" x14ac:dyDescent="0.25">
      <c r="A179" s="51"/>
      <c r="B179" s="2">
        <v>45854</v>
      </c>
      <c r="C179" s="3">
        <v>785600236</v>
      </c>
      <c r="D179" s="3">
        <v>23</v>
      </c>
      <c r="E179" s="4" t="s">
        <v>844</v>
      </c>
      <c r="F179" s="19" t="s">
        <v>417</v>
      </c>
      <c r="G179" s="10" t="s">
        <v>6</v>
      </c>
      <c r="H179" s="11">
        <v>1265</v>
      </c>
    </row>
    <row r="180" spans="1:8" ht="15" customHeight="1" x14ac:dyDescent="0.25">
      <c r="A180" s="51"/>
      <c r="B180" s="2">
        <v>45854</v>
      </c>
      <c r="C180" s="3">
        <v>3298379404</v>
      </c>
      <c r="D180" s="3">
        <v>53</v>
      </c>
      <c r="E180" s="4" t="s">
        <v>845</v>
      </c>
      <c r="F180" s="19" t="s">
        <v>417</v>
      </c>
      <c r="G180" s="10" t="s">
        <v>6</v>
      </c>
      <c r="H180" s="11">
        <v>2915</v>
      </c>
    </row>
    <row r="181" spans="1:8" ht="15" customHeight="1" x14ac:dyDescent="0.25">
      <c r="A181" s="51"/>
      <c r="B181" s="2">
        <v>45854</v>
      </c>
      <c r="C181" s="3">
        <v>391399536</v>
      </c>
      <c r="D181" s="3">
        <v>53</v>
      </c>
      <c r="E181" s="4" t="s">
        <v>846</v>
      </c>
      <c r="F181" s="19" t="s">
        <v>417</v>
      </c>
      <c r="G181" s="10" t="s">
        <v>7</v>
      </c>
      <c r="H181" s="11">
        <v>2915</v>
      </c>
    </row>
    <row r="182" spans="1:8" ht="15" customHeight="1" x14ac:dyDescent="0.25">
      <c r="A182" s="51"/>
      <c r="B182" s="2">
        <v>45854</v>
      </c>
      <c r="C182" s="3">
        <v>3209973725</v>
      </c>
      <c r="D182" s="3">
        <v>58</v>
      </c>
      <c r="E182" s="4" t="s">
        <v>847</v>
      </c>
      <c r="F182" s="19" t="s">
        <v>417</v>
      </c>
      <c r="G182" s="10" t="s">
        <v>6</v>
      </c>
      <c r="H182" s="11">
        <v>3190</v>
      </c>
    </row>
    <row r="183" spans="1:8" ht="15" customHeight="1" x14ac:dyDescent="0.25">
      <c r="A183" s="51"/>
      <c r="B183" s="2">
        <v>45854</v>
      </c>
      <c r="C183" s="3">
        <v>3418768300</v>
      </c>
      <c r="D183" s="3">
        <v>53</v>
      </c>
      <c r="E183" s="4" t="s">
        <v>848</v>
      </c>
      <c r="F183" s="19" t="s">
        <v>417</v>
      </c>
      <c r="G183" s="10" t="s">
        <v>6</v>
      </c>
      <c r="H183" s="11">
        <v>2915</v>
      </c>
    </row>
    <row r="184" spans="1:8" ht="15" customHeight="1" x14ac:dyDescent="0.25">
      <c r="A184" s="51"/>
      <c r="B184" s="2">
        <v>45854</v>
      </c>
      <c r="C184" s="3">
        <v>31080577</v>
      </c>
      <c r="D184" s="3">
        <v>53</v>
      </c>
      <c r="E184" s="4" t="s">
        <v>849</v>
      </c>
      <c r="F184" s="19" t="s">
        <v>417</v>
      </c>
      <c r="G184" s="10" t="s">
        <v>6</v>
      </c>
      <c r="H184" s="11">
        <v>2915</v>
      </c>
    </row>
    <row r="185" spans="1:8" ht="15" customHeight="1" x14ac:dyDescent="0.25">
      <c r="A185" s="51"/>
      <c r="B185" s="2">
        <v>45854</v>
      </c>
      <c r="C185" s="3">
        <v>4011936017</v>
      </c>
      <c r="D185" s="3">
        <v>53</v>
      </c>
      <c r="E185" s="4" t="s">
        <v>503</v>
      </c>
      <c r="F185" s="19" t="s">
        <v>417</v>
      </c>
      <c r="G185" s="10" t="s">
        <v>6</v>
      </c>
      <c r="H185" s="11">
        <v>2915</v>
      </c>
    </row>
    <row r="186" spans="1:8" ht="15" customHeight="1" x14ac:dyDescent="0.25">
      <c r="A186" s="51"/>
      <c r="B186" s="2">
        <v>45854</v>
      </c>
      <c r="C186" s="3">
        <v>351489615</v>
      </c>
      <c r="D186" s="3">
        <v>23</v>
      </c>
      <c r="E186" s="4" t="s">
        <v>74</v>
      </c>
      <c r="F186" s="19" t="s">
        <v>417</v>
      </c>
      <c r="G186" s="10" t="s">
        <v>6</v>
      </c>
      <c r="H186" s="11">
        <v>1265</v>
      </c>
    </row>
    <row r="187" spans="1:8" ht="15" customHeight="1" x14ac:dyDescent="0.25">
      <c r="A187" s="51"/>
      <c r="B187" s="2">
        <v>45854</v>
      </c>
      <c r="C187" s="3">
        <v>1851344054</v>
      </c>
      <c r="D187" s="3">
        <v>53</v>
      </c>
      <c r="E187" s="4" t="s">
        <v>475</v>
      </c>
      <c r="F187" s="19" t="s">
        <v>417</v>
      </c>
      <c r="G187" s="10" t="s">
        <v>6</v>
      </c>
      <c r="H187" s="11">
        <v>2915</v>
      </c>
    </row>
    <row r="188" spans="1:8" ht="15" customHeight="1" x14ac:dyDescent="0.25">
      <c r="A188" s="51"/>
      <c r="B188" s="2">
        <v>45854</v>
      </c>
      <c r="C188" s="3">
        <v>239488642</v>
      </c>
      <c r="D188" s="3">
        <v>58</v>
      </c>
      <c r="E188" s="4" t="s">
        <v>850</v>
      </c>
      <c r="F188" s="19" t="s">
        <v>417</v>
      </c>
      <c r="G188" s="10" t="s">
        <v>6</v>
      </c>
      <c r="H188" s="11">
        <v>3190</v>
      </c>
    </row>
    <row r="189" spans="1:8" ht="15" customHeight="1" x14ac:dyDescent="0.25">
      <c r="A189" s="51"/>
      <c r="B189" s="2">
        <v>45854</v>
      </c>
      <c r="C189" s="3">
        <v>344672745</v>
      </c>
      <c r="D189" s="3">
        <v>23</v>
      </c>
      <c r="E189" s="4" t="s">
        <v>476</v>
      </c>
      <c r="F189" s="19" t="s">
        <v>417</v>
      </c>
      <c r="G189" s="10" t="s">
        <v>6</v>
      </c>
      <c r="H189" s="11">
        <v>1265</v>
      </c>
    </row>
    <row r="190" spans="1:8" ht="15" customHeight="1" x14ac:dyDescent="0.25">
      <c r="A190" s="51"/>
      <c r="B190" s="2">
        <v>45854</v>
      </c>
      <c r="C190" s="3">
        <v>3142011110</v>
      </c>
      <c r="D190" s="3">
        <v>23</v>
      </c>
      <c r="E190" s="4" t="s">
        <v>851</v>
      </c>
      <c r="F190" s="19" t="s">
        <v>417</v>
      </c>
      <c r="G190" s="10" t="s">
        <v>6</v>
      </c>
      <c r="H190" s="11">
        <v>1265</v>
      </c>
    </row>
    <row r="191" spans="1:8" ht="15" customHeight="1" x14ac:dyDescent="0.25">
      <c r="A191" s="51"/>
      <c r="B191" s="2">
        <v>45854</v>
      </c>
      <c r="C191" s="3">
        <v>167527643</v>
      </c>
      <c r="D191" s="3">
        <v>54</v>
      </c>
      <c r="E191" s="4" t="s">
        <v>504</v>
      </c>
      <c r="F191" s="19" t="s">
        <v>417</v>
      </c>
      <c r="G191" s="10" t="s">
        <v>6</v>
      </c>
      <c r="H191" s="11">
        <v>2970</v>
      </c>
    </row>
    <row r="192" spans="1:8" ht="15" customHeight="1" x14ac:dyDescent="0.25">
      <c r="A192" s="51"/>
      <c r="B192" s="2">
        <v>45854</v>
      </c>
      <c r="C192" s="3">
        <v>100551391</v>
      </c>
      <c r="D192" s="3">
        <v>54</v>
      </c>
      <c r="E192" s="4" t="s">
        <v>852</v>
      </c>
      <c r="F192" s="19" t="s">
        <v>417</v>
      </c>
      <c r="G192" s="10" t="s">
        <v>6</v>
      </c>
      <c r="H192" s="11">
        <v>2970</v>
      </c>
    </row>
    <row r="193" spans="1:8" ht="15" customHeight="1" x14ac:dyDescent="0.25">
      <c r="A193" s="51"/>
      <c r="B193" s="2">
        <v>45854</v>
      </c>
      <c r="C193" s="3">
        <v>814760672</v>
      </c>
      <c r="D193" s="3">
        <v>23</v>
      </c>
      <c r="E193" s="4" t="s">
        <v>853</v>
      </c>
      <c r="F193" s="19" t="s">
        <v>417</v>
      </c>
      <c r="G193" s="10" t="s">
        <v>6</v>
      </c>
      <c r="H193" s="11">
        <v>1265</v>
      </c>
    </row>
    <row r="194" spans="1:8" ht="15" customHeight="1" x14ac:dyDescent="0.25">
      <c r="A194" s="51"/>
      <c r="B194" s="2">
        <v>45854</v>
      </c>
      <c r="C194" s="3">
        <v>4172628280</v>
      </c>
      <c r="D194" s="3">
        <v>23</v>
      </c>
      <c r="E194" s="4" t="s">
        <v>854</v>
      </c>
      <c r="F194" s="19" t="s">
        <v>417</v>
      </c>
      <c r="G194" s="10" t="s">
        <v>6</v>
      </c>
      <c r="H194" s="11">
        <v>1265</v>
      </c>
    </row>
    <row r="195" spans="1:8" ht="15" customHeight="1" x14ac:dyDescent="0.25">
      <c r="A195" s="51"/>
      <c r="B195" s="2">
        <v>45854</v>
      </c>
      <c r="C195" s="3">
        <v>4172628280</v>
      </c>
      <c r="D195" s="3">
        <v>54</v>
      </c>
      <c r="E195" s="4" t="s">
        <v>855</v>
      </c>
      <c r="F195" s="19" t="s">
        <v>417</v>
      </c>
      <c r="G195" s="10" t="s">
        <v>6</v>
      </c>
      <c r="H195" s="11">
        <v>2970</v>
      </c>
    </row>
    <row r="196" spans="1:8" ht="15" customHeight="1" x14ac:dyDescent="0.25">
      <c r="A196" s="51"/>
      <c r="B196" s="2">
        <v>45854</v>
      </c>
      <c r="C196" s="3">
        <v>3774435193</v>
      </c>
      <c r="D196" s="3">
        <v>32</v>
      </c>
      <c r="E196" s="4" t="s">
        <v>856</v>
      </c>
      <c r="F196" s="19" t="s">
        <v>417</v>
      </c>
      <c r="G196" s="10" t="s">
        <v>7</v>
      </c>
      <c r="H196" s="11">
        <v>1760</v>
      </c>
    </row>
    <row r="197" spans="1:8" ht="15" customHeight="1" x14ac:dyDescent="0.25">
      <c r="A197" s="51"/>
      <c r="B197" s="2">
        <v>45855</v>
      </c>
      <c r="C197" s="3">
        <v>716132263</v>
      </c>
      <c r="D197" s="3">
        <v>13</v>
      </c>
      <c r="E197" s="4" t="s">
        <v>857</v>
      </c>
      <c r="F197" s="19" t="s">
        <v>417</v>
      </c>
      <c r="G197" s="10" t="s">
        <v>6</v>
      </c>
      <c r="H197" s="11">
        <v>715</v>
      </c>
    </row>
    <row r="198" spans="1:8" ht="15" customHeight="1" x14ac:dyDescent="0.25">
      <c r="A198" s="51"/>
      <c r="B198" s="2">
        <v>45855</v>
      </c>
      <c r="C198" s="3">
        <v>2811908071</v>
      </c>
      <c r="D198" s="3">
        <v>50</v>
      </c>
      <c r="E198" s="4" t="s">
        <v>482</v>
      </c>
      <c r="F198" s="19" t="s">
        <v>417</v>
      </c>
      <c r="G198" s="10" t="s">
        <v>6</v>
      </c>
      <c r="H198" s="11">
        <v>2800</v>
      </c>
    </row>
    <row r="199" spans="1:8" ht="15" customHeight="1" x14ac:dyDescent="0.25">
      <c r="A199" s="51"/>
      <c r="B199" s="2">
        <v>45855</v>
      </c>
      <c r="C199" s="3">
        <v>2811908071</v>
      </c>
      <c r="D199" s="3">
        <v>3</v>
      </c>
      <c r="E199" s="4" t="s">
        <v>482</v>
      </c>
      <c r="F199" s="19" t="s">
        <v>417</v>
      </c>
      <c r="G199" s="10" t="s">
        <v>11</v>
      </c>
      <c r="H199" s="11">
        <v>114.9999</v>
      </c>
    </row>
    <row r="200" spans="1:8" ht="15" customHeight="1" x14ac:dyDescent="0.25">
      <c r="A200" s="51"/>
      <c r="B200" s="2">
        <v>45855</v>
      </c>
      <c r="C200" s="3">
        <v>1729381956</v>
      </c>
      <c r="D200" s="3">
        <v>63</v>
      </c>
      <c r="E200" s="4" t="s">
        <v>858</v>
      </c>
      <c r="F200" s="19" t="s">
        <v>417</v>
      </c>
      <c r="G200" s="10" t="s">
        <v>6</v>
      </c>
      <c r="H200" s="11">
        <v>3465</v>
      </c>
    </row>
    <row r="201" spans="1:8" ht="15" customHeight="1" x14ac:dyDescent="0.25">
      <c r="A201" s="51"/>
      <c r="B201" s="2">
        <v>45855</v>
      </c>
      <c r="C201" s="3">
        <v>2310098631</v>
      </c>
      <c r="D201" s="3">
        <v>53</v>
      </c>
      <c r="E201" s="4" t="s">
        <v>859</v>
      </c>
      <c r="F201" s="19" t="s">
        <v>417</v>
      </c>
      <c r="G201" s="10" t="s">
        <v>19</v>
      </c>
      <c r="H201" s="11">
        <v>2915</v>
      </c>
    </row>
    <row r="202" spans="1:8" ht="15" customHeight="1" x14ac:dyDescent="0.25">
      <c r="A202" s="51"/>
      <c r="B202" s="2">
        <v>45855</v>
      </c>
      <c r="C202" s="3">
        <v>913395516</v>
      </c>
      <c r="D202" s="3">
        <v>53</v>
      </c>
      <c r="E202" s="4" t="s">
        <v>758</v>
      </c>
      <c r="F202" s="19" t="s">
        <v>417</v>
      </c>
      <c r="G202" s="10" t="s">
        <v>10</v>
      </c>
      <c r="H202" s="11">
        <v>2915</v>
      </c>
    </row>
    <row r="203" spans="1:8" ht="15" customHeight="1" x14ac:dyDescent="0.25">
      <c r="A203" s="51"/>
      <c r="B203" s="2">
        <v>45855</v>
      </c>
      <c r="C203" s="3">
        <v>1410549655</v>
      </c>
      <c r="D203" s="3">
        <v>53</v>
      </c>
      <c r="E203" s="4" t="s">
        <v>860</v>
      </c>
      <c r="F203" s="19" t="s">
        <v>417</v>
      </c>
      <c r="G203" s="10" t="s">
        <v>7</v>
      </c>
      <c r="H203" s="11">
        <v>2915</v>
      </c>
    </row>
    <row r="204" spans="1:8" ht="15" customHeight="1" x14ac:dyDescent="0.25">
      <c r="A204" s="51"/>
      <c r="B204" s="2">
        <v>45855</v>
      </c>
      <c r="C204" s="3">
        <v>1929332186</v>
      </c>
      <c r="D204" s="3">
        <v>58</v>
      </c>
      <c r="E204" s="4" t="s">
        <v>861</v>
      </c>
      <c r="F204" s="19" t="s">
        <v>417</v>
      </c>
      <c r="G204" s="10" t="s">
        <v>6</v>
      </c>
      <c r="H204" s="11">
        <v>3190</v>
      </c>
    </row>
    <row r="205" spans="1:8" ht="15" customHeight="1" x14ac:dyDescent="0.25">
      <c r="A205" s="51"/>
      <c r="B205" s="2">
        <v>45855</v>
      </c>
      <c r="C205" s="3">
        <v>2330674304</v>
      </c>
      <c r="D205" s="3">
        <v>53</v>
      </c>
      <c r="E205" s="4" t="s">
        <v>862</v>
      </c>
      <c r="F205" s="19" t="s">
        <v>417</v>
      </c>
      <c r="G205" s="10" t="s">
        <v>6</v>
      </c>
      <c r="H205" s="11">
        <v>2915</v>
      </c>
    </row>
    <row r="206" spans="1:8" ht="15" customHeight="1" x14ac:dyDescent="0.25">
      <c r="A206" s="51"/>
      <c r="B206" s="2">
        <v>45855</v>
      </c>
      <c r="C206" s="3">
        <v>1524713638</v>
      </c>
      <c r="D206" s="3">
        <v>53</v>
      </c>
      <c r="E206" s="4" t="s">
        <v>679</v>
      </c>
      <c r="F206" s="19" t="s">
        <v>417</v>
      </c>
      <c r="G206" s="10" t="s">
        <v>7</v>
      </c>
      <c r="H206" s="11">
        <v>2915</v>
      </c>
    </row>
    <row r="207" spans="1:8" ht="15" customHeight="1" x14ac:dyDescent="0.25">
      <c r="A207" s="51"/>
      <c r="B207" s="2">
        <v>45855</v>
      </c>
      <c r="C207" s="3">
        <v>1418938797</v>
      </c>
      <c r="D207" s="3">
        <v>53</v>
      </c>
      <c r="E207" s="4" t="s">
        <v>863</v>
      </c>
      <c r="F207" s="19" t="s">
        <v>417</v>
      </c>
      <c r="G207" s="10" t="s">
        <v>6</v>
      </c>
      <c r="H207" s="11">
        <v>2915</v>
      </c>
    </row>
    <row r="208" spans="1:8" ht="15" customHeight="1" x14ac:dyDescent="0.25">
      <c r="A208" s="51"/>
      <c r="B208" s="2">
        <v>45855</v>
      </c>
      <c r="C208" s="3">
        <v>806633582</v>
      </c>
      <c r="D208" s="3">
        <v>23</v>
      </c>
      <c r="E208" s="4" t="s">
        <v>397</v>
      </c>
      <c r="F208" s="19" t="s">
        <v>417</v>
      </c>
      <c r="G208" s="10" t="s">
        <v>6</v>
      </c>
      <c r="H208" s="11">
        <v>1265</v>
      </c>
    </row>
    <row r="209" spans="1:8" ht="15" customHeight="1" x14ac:dyDescent="0.25">
      <c r="A209" s="51"/>
      <c r="B209" s="2">
        <v>45855</v>
      </c>
      <c r="C209" s="3">
        <v>1179143696</v>
      </c>
      <c r="D209" s="3">
        <v>53</v>
      </c>
      <c r="E209" s="4" t="s">
        <v>864</v>
      </c>
      <c r="F209" s="19" t="s">
        <v>417</v>
      </c>
      <c r="G209" s="10" t="s">
        <v>7</v>
      </c>
      <c r="H209" s="11">
        <v>2915</v>
      </c>
    </row>
    <row r="210" spans="1:8" ht="15" customHeight="1" x14ac:dyDescent="0.25">
      <c r="A210" s="51"/>
      <c r="B210" s="2">
        <v>45855</v>
      </c>
      <c r="C210" s="3">
        <v>25644293</v>
      </c>
      <c r="D210" s="3">
        <v>58</v>
      </c>
      <c r="E210" s="4" t="s">
        <v>865</v>
      </c>
      <c r="F210" s="19" t="s">
        <v>417</v>
      </c>
      <c r="G210" s="10" t="s">
        <v>6</v>
      </c>
      <c r="H210" s="11">
        <v>3190</v>
      </c>
    </row>
    <row r="211" spans="1:8" ht="15" customHeight="1" x14ac:dyDescent="0.25">
      <c r="A211" s="51"/>
      <c r="B211" s="2">
        <v>45855</v>
      </c>
      <c r="C211" s="3">
        <v>25644293</v>
      </c>
      <c r="D211" s="3">
        <v>53</v>
      </c>
      <c r="E211" s="4" t="s">
        <v>866</v>
      </c>
      <c r="F211" s="19" t="s">
        <v>417</v>
      </c>
      <c r="G211" s="5" t="s">
        <v>6</v>
      </c>
      <c r="H211" s="6">
        <v>2915</v>
      </c>
    </row>
    <row r="212" spans="1:8" ht="15" customHeight="1" x14ac:dyDescent="0.25">
      <c r="A212" s="51"/>
      <c r="B212" s="2">
        <v>45855</v>
      </c>
      <c r="C212" s="3">
        <v>1574783167</v>
      </c>
      <c r="D212" s="3">
        <v>53</v>
      </c>
      <c r="E212" s="4" t="s">
        <v>867</v>
      </c>
      <c r="F212" s="19" t="s">
        <v>417</v>
      </c>
      <c r="G212" s="5" t="s">
        <v>13</v>
      </c>
      <c r="H212" s="6">
        <v>2915</v>
      </c>
    </row>
    <row r="213" spans="1:8" ht="15" customHeight="1" x14ac:dyDescent="0.25">
      <c r="A213" s="51"/>
      <c r="B213" s="2">
        <v>45855</v>
      </c>
      <c r="C213" s="3">
        <v>1574783167</v>
      </c>
      <c r="D213" s="3">
        <v>23</v>
      </c>
      <c r="E213" s="4" t="s">
        <v>868</v>
      </c>
      <c r="F213" s="19" t="s">
        <v>417</v>
      </c>
      <c r="G213" s="5" t="s">
        <v>13</v>
      </c>
      <c r="H213" s="6">
        <v>1265</v>
      </c>
    </row>
    <row r="214" spans="1:8" ht="15" customHeight="1" x14ac:dyDescent="0.25">
      <c r="A214" s="51"/>
      <c r="B214" s="2">
        <v>45855</v>
      </c>
      <c r="C214" s="3">
        <v>194273743</v>
      </c>
      <c r="D214" s="3">
        <v>53</v>
      </c>
      <c r="E214" s="4" t="s">
        <v>359</v>
      </c>
      <c r="F214" s="19" t="s">
        <v>417</v>
      </c>
      <c r="G214" s="5" t="s">
        <v>6</v>
      </c>
      <c r="H214" s="6">
        <v>2915</v>
      </c>
    </row>
    <row r="215" spans="1:8" ht="15" customHeight="1" x14ac:dyDescent="0.25">
      <c r="A215" s="51"/>
      <c r="B215" s="2">
        <v>45855</v>
      </c>
      <c r="C215" s="3">
        <v>3968290313</v>
      </c>
      <c r="D215" s="3">
        <v>53</v>
      </c>
      <c r="E215" s="4" t="s">
        <v>869</v>
      </c>
      <c r="F215" s="19" t="s">
        <v>417</v>
      </c>
      <c r="G215" s="5" t="s">
        <v>6</v>
      </c>
      <c r="H215" s="6">
        <v>2915</v>
      </c>
    </row>
    <row r="216" spans="1:8" ht="15" customHeight="1" x14ac:dyDescent="0.25">
      <c r="A216" s="51"/>
      <c r="B216" s="2">
        <v>45855</v>
      </c>
      <c r="C216" s="3">
        <v>3483126078</v>
      </c>
      <c r="D216" s="3">
        <v>53</v>
      </c>
      <c r="E216" s="4" t="s">
        <v>185</v>
      </c>
      <c r="F216" s="19" t="s">
        <v>417</v>
      </c>
      <c r="G216" s="5" t="s">
        <v>6</v>
      </c>
      <c r="H216" s="6">
        <v>2915</v>
      </c>
    </row>
    <row r="217" spans="1:8" ht="15" customHeight="1" x14ac:dyDescent="0.25">
      <c r="A217" s="51"/>
      <c r="B217" s="2">
        <v>45855</v>
      </c>
      <c r="C217" s="3">
        <v>1101220943</v>
      </c>
      <c r="D217" s="3">
        <v>53</v>
      </c>
      <c r="E217" s="4" t="s">
        <v>812</v>
      </c>
      <c r="F217" s="19" t="s">
        <v>417</v>
      </c>
      <c r="G217" s="5" t="s">
        <v>6</v>
      </c>
      <c r="H217" s="6">
        <v>2915</v>
      </c>
    </row>
    <row r="218" spans="1:8" ht="15" customHeight="1" x14ac:dyDescent="0.25">
      <c r="A218" s="51"/>
      <c r="B218" s="2">
        <v>45855</v>
      </c>
      <c r="C218" s="3">
        <v>620382432</v>
      </c>
      <c r="D218" s="3">
        <v>50</v>
      </c>
      <c r="E218" s="4" t="s">
        <v>760</v>
      </c>
      <c r="F218" s="19" t="s">
        <v>417</v>
      </c>
      <c r="G218" s="5" t="s">
        <v>7</v>
      </c>
      <c r="H218" s="6">
        <v>2750</v>
      </c>
    </row>
    <row r="219" spans="1:8" ht="15" customHeight="1" x14ac:dyDescent="0.25">
      <c r="A219" s="51"/>
      <c r="B219" s="2">
        <v>45855</v>
      </c>
      <c r="C219" s="3">
        <v>3003138513</v>
      </c>
      <c r="D219" s="3">
        <v>23</v>
      </c>
      <c r="E219" s="4" t="s">
        <v>597</v>
      </c>
      <c r="F219" s="19" t="s">
        <v>417</v>
      </c>
      <c r="G219" s="5" t="s">
        <v>6</v>
      </c>
      <c r="H219" s="6">
        <v>1265</v>
      </c>
    </row>
    <row r="220" spans="1:8" ht="15" customHeight="1" x14ac:dyDescent="0.25">
      <c r="A220" s="51"/>
      <c r="B220" s="2">
        <v>45855</v>
      </c>
      <c r="C220" s="3">
        <v>3158786234</v>
      </c>
      <c r="D220" s="3">
        <v>53</v>
      </c>
      <c r="E220" s="4" t="s">
        <v>570</v>
      </c>
      <c r="F220" s="19" t="s">
        <v>417</v>
      </c>
      <c r="G220" s="5" t="s">
        <v>6</v>
      </c>
      <c r="H220" s="6">
        <v>2915</v>
      </c>
    </row>
    <row r="221" spans="1:8" ht="15" customHeight="1" x14ac:dyDescent="0.25">
      <c r="A221" s="51"/>
      <c r="B221" s="2">
        <v>45855</v>
      </c>
      <c r="C221" s="3">
        <v>230508113</v>
      </c>
      <c r="D221" s="3">
        <v>23</v>
      </c>
      <c r="E221" s="4" t="s">
        <v>870</v>
      </c>
      <c r="F221" s="19" t="s">
        <v>417</v>
      </c>
      <c r="G221" s="5" t="s">
        <v>6</v>
      </c>
      <c r="H221" s="6">
        <v>1265</v>
      </c>
    </row>
    <row r="222" spans="1:8" ht="15" customHeight="1" x14ac:dyDescent="0.25">
      <c r="A222" s="51"/>
      <c r="B222" s="2">
        <v>45855</v>
      </c>
      <c r="C222" s="3">
        <v>1548372445</v>
      </c>
      <c r="D222" s="3">
        <v>53</v>
      </c>
      <c r="E222" s="4" t="s">
        <v>871</v>
      </c>
      <c r="F222" s="19" t="s">
        <v>417</v>
      </c>
      <c r="G222" s="5" t="s">
        <v>7</v>
      </c>
      <c r="H222" s="6">
        <v>2915</v>
      </c>
    </row>
    <row r="223" spans="1:8" ht="15" customHeight="1" x14ac:dyDescent="0.25">
      <c r="A223" s="51"/>
      <c r="B223" s="2">
        <v>45855</v>
      </c>
      <c r="C223" s="3">
        <v>657475916</v>
      </c>
      <c r="D223" s="3">
        <v>53</v>
      </c>
      <c r="E223" s="4" t="s">
        <v>534</v>
      </c>
      <c r="F223" s="19" t="s">
        <v>417</v>
      </c>
      <c r="G223" s="5" t="s">
        <v>6</v>
      </c>
      <c r="H223" s="6">
        <v>2915</v>
      </c>
    </row>
    <row r="224" spans="1:8" ht="15" customHeight="1" x14ac:dyDescent="0.25">
      <c r="A224" s="51"/>
      <c r="B224" s="2">
        <v>45855</v>
      </c>
      <c r="C224" s="3">
        <v>1615282425</v>
      </c>
      <c r="D224" s="3">
        <v>53</v>
      </c>
      <c r="E224" s="4" t="s">
        <v>384</v>
      </c>
      <c r="F224" s="19" t="s">
        <v>417</v>
      </c>
      <c r="G224" s="5" t="s">
        <v>6</v>
      </c>
      <c r="H224" s="6">
        <v>2915</v>
      </c>
    </row>
    <row r="225" spans="1:8" ht="15" customHeight="1" x14ac:dyDescent="0.25">
      <c r="A225" s="51"/>
      <c r="B225" s="2">
        <v>45856</v>
      </c>
      <c r="C225" s="3">
        <v>1983531268</v>
      </c>
      <c r="D225" s="3">
        <v>18</v>
      </c>
      <c r="E225" s="4" t="s">
        <v>872</v>
      </c>
      <c r="F225" s="19" t="s">
        <v>417</v>
      </c>
      <c r="G225" s="5" t="s">
        <v>7</v>
      </c>
      <c r="H225" s="6">
        <v>990</v>
      </c>
    </row>
    <row r="226" spans="1:8" ht="15" customHeight="1" x14ac:dyDescent="0.25">
      <c r="A226" s="51"/>
      <c r="B226" s="2">
        <v>45856</v>
      </c>
      <c r="C226" s="3">
        <v>2341553735</v>
      </c>
      <c r="D226" s="3">
        <v>18</v>
      </c>
      <c r="E226" s="4" t="s">
        <v>872</v>
      </c>
      <c r="F226" s="19" t="s">
        <v>417</v>
      </c>
      <c r="G226" s="5" t="s">
        <v>7</v>
      </c>
      <c r="H226" s="6">
        <v>990</v>
      </c>
    </row>
    <row r="227" spans="1:8" ht="15" customHeight="1" x14ac:dyDescent="0.25">
      <c r="A227" s="51"/>
      <c r="B227" s="2">
        <v>45856</v>
      </c>
      <c r="C227" s="3">
        <v>3716105519</v>
      </c>
      <c r="D227" s="3">
        <v>14</v>
      </c>
      <c r="E227" s="4" t="s">
        <v>872</v>
      </c>
      <c r="F227" s="19" t="s">
        <v>417</v>
      </c>
      <c r="G227" s="5" t="s">
        <v>7</v>
      </c>
      <c r="H227" s="6">
        <v>770</v>
      </c>
    </row>
    <row r="228" spans="1:8" ht="15" customHeight="1" x14ac:dyDescent="0.25">
      <c r="A228" s="51"/>
      <c r="B228" s="2">
        <v>45859</v>
      </c>
      <c r="C228" s="3">
        <v>51332621</v>
      </c>
      <c r="D228" s="3">
        <v>38</v>
      </c>
      <c r="E228" s="4" t="s">
        <v>135</v>
      </c>
      <c r="F228" s="19" t="s">
        <v>417</v>
      </c>
      <c r="G228" s="5" t="s">
        <v>6</v>
      </c>
      <c r="H228" s="6">
        <v>2090</v>
      </c>
    </row>
    <row r="229" spans="1:8" ht="15" customHeight="1" x14ac:dyDescent="0.25">
      <c r="A229" s="51"/>
      <c r="B229" s="47">
        <v>45922</v>
      </c>
      <c r="C229" s="48">
        <v>1319781257</v>
      </c>
      <c r="D229" s="3">
        <v>100</v>
      </c>
      <c r="E229" s="28" t="s">
        <v>1011</v>
      </c>
      <c r="F229" s="28" t="s">
        <v>417</v>
      </c>
      <c r="G229" s="49" t="s">
        <v>7</v>
      </c>
      <c r="H229" s="6">
        <v>5500</v>
      </c>
    </row>
    <row r="230" spans="1:8" ht="15" customHeight="1" x14ac:dyDescent="0.25">
      <c r="A230" s="51"/>
      <c r="B230" s="47">
        <v>45922</v>
      </c>
      <c r="C230" s="48">
        <v>1319781257</v>
      </c>
      <c r="D230" s="3">
        <v>47</v>
      </c>
      <c r="E230" s="28" t="s">
        <v>1012</v>
      </c>
      <c r="F230" s="28" t="s">
        <v>417</v>
      </c>
      <c r="G230" s="49" t="s">
        <v>7</v>
      </c>
      <c r="H230" s="6">
        <v>2585</v>
      </c>
    </row>
    <row r="231" spans="1:8" ht="15" customHeight="1" x14ac:dyDescent="0.25">
      <c r="A231" s="51"/>
      <c r="B231" s="47">
        <v>45923</v>
      </c>
      <c r="C231" s="48">
        <v>1941915011</v>
      </c>
      <c r="D231" s="3">
        <v>50</v>
      </c>
      <c r="E231" s="28" t="s">
        <v>990</v>
      </c>
      <c r="F231" s="28" t="s">
        <v>417</v>
      </c>
      <c r="G231" s="49" t="s">
        <v>6</v>
      </c>
      <c r="H231" s="6">
        <v>2750</v>
      </c>
    </row>
    <row r="232" spans="1:8" ht="15" customHeight="1" x14ac:dyDescent="0.25">
      <c r="A232" s="51"/>
      <c r="B232" s="47">
        <v>45943</v>
      </c>
      <c r="C232" s="48">
        <v>1407927991</v>
      </c>
      <c r="D232" s="3">
        <v>34</v>
      </c>
      <c r="E232" s="28" t="s">
        <v>517</v>
      </c>
      <c r="F232" s="28" t="s">
        <v>417</v>
      </c>
      <c r="G232" s="49" t="s">
        <v>7</v>
      </c>
      <c r="H232" s="6">
        <v>1870</v>
      </c>
    </row>
    <row r="233" spans="1:8" ht="15" customHeight="1" x14ac:dyDescent="0.25">
      <c r="A233" s="51"/>
      <c r="B233" s="47">
        <v>45943</v>
      </c>
      <c r="C233" s="48">
        <v>1407927991</v>
      </c>
      <c r="D233" s="3">
        <v>1</v>
      </c>
      <c r="E233" s="28" t="s">
        <v>517</v>
      </c>
      <c r="F233" s="28" t="s">
        <v>417</v>
      </c>
      <c r="G233" s="49" t="s">
        <v>7</v>
      </c>
      <c r="H233" s="6">
        <v>65</v>
      </c>
    </row>
    <row r="234" spans="1:8" ht="15" customHeight="1" x14ac:dyDescent="0.25">
      <c r="A234" s="51"/>
      <c r="B234" s="47">
        <v>45978</v>
      </c>
      <c r="C234" s="48">
        <v>2929608375</v>
      </c>
      <c r="D234" s="3">
        <v>54</v>
      </c>
      <c r="E234" s="28" t="s">
        <v>443</v>
      </c>
      <c r="F234" s="28" t="s">
        <v>417</v>
      </c>
      <c r="G234" s="49" t="s">
        <v>19</v>
      </c>
      <c r="H234" s="6">
        <v>2970</v>
      </c>
    </row>
    <row r="235" spans="1:8" ht="15" customHeight="1" x14ac:dyDescent="0.25">
      <c r="A235" s="51"/>
      <c r="B235" s="47">
        <v>45978</v>
      </c>
      <c r="C235" s="48">
        <v>3371385137</v>
      </c>
      <c r="D235" s="3">
        <v>63</v>
      </c>
      <c r="E235" s="28" t="s">
        <v>460</v>
      </c>
      <c r="F235" s="28" t="s">
        <v>417</v>
      </c>
      <c r="G235" s="49" t="s">
        <v>7</v>
      </c>
      <c r="H235" s="6">
        <v>3465</v>
      </c>
    </row>
    <row r="236" spans="1:8" ht="15" customHeight="1" x14ac:dyDescent="0.25">
      <c r="A236" s="51"/>
      <c r="B236" s="47">
        <v>45979</v>
      </c>
      <c r="C236" s="48">
        <v>447499675</v>
      </c>
      <c r="D236" s="3">
        <v>41</v>
      </c>
      <c r="E236" s="28" t="s">
        <v>837</v>
      </c>
      <c r="F236" s="28" t="s">
        <v>417</v>
      </c>
      <c r="G236" s="49" t="s">
        <v>6</v>
      </c>
      <c r="H236" s="6">
        <v>2255</v>
      </c>
    </row>
    <row r="237" spans="1:8" ht="15" customHeight="1" x14ac:dyDescent="0.25">
      <c r="A237" s="51"/>
      <c r="B237" s="47">
        <v>45979</v>
      </c>
      <c r="C237" s="48">
        <v>1931953297</v>
      </c>
      <c r="D237" s="3">
        <v>56</v>
      </c>
      <c r="E237" s="28" t="s">
        <v>1157</v>
      </c>
      <c r="F237" s="28" t="s">
        <v>417</v>
      </c>
      <c r="G237" s="49" t="s">
        <v>11</v>
      </c>
      <c r="H237" s="6">
        <v>3080</v>
      </c>
    </row>
    <row r="238" spans="1:8" ht="15" customHeight="1" x14ac:dyDescent="0.25">
      <c r="A238" s="51"/>
      <c r="B238" s="47">
        <v>45979</v>
      </c>
      <c r="C238" s="48">
        <v>3869721900</v>
      </c>
      <c r="D238" s="3">
        <v>25</v>
      </c>
      <c r="E238" s="28" t="s">
        <v>1158</v>
      </c>
      <c r="F238" s="28" t="s">
        <v>417</v>
      </c>
      <c r="G238" s="49" t="s">
        <v>10</v>
      </c>
      <c r="H238" s="6">
        <v>1375</v>
      </c>
    </row>
    <row r="239" spans="1:8" ht="15" customHeight="1" x14ac:dyDescent="0.25">
      <c r="A239" s="51"/>
      <c r="B239" s="47">
        <v>45979</v>
      </c>
      <c r="C239" s="48">
        <v>458574899</v>
      </c>
      <c r="D239" s="3">
        <v>38</v>
      </c>
      <c r="E239" s="28" t="s">
        <v>1159</v>
      </c>
      <c r="F239" s="28" t="s">
        <v>417</v>
      </c>
      <c r="G239" s="49" t="s">
        <v>6</v>
      </c>
      <c r="H239" s="6">
        <v>2090</v>
      </c>
    </row>
    <row r="240" spans="1:8" ht="15" customHeight="1" x14ac:dyDescent="0.25">
      <c r="A240" s="51"/>
      <c r="B240" s="47">
        <v>45979</v>
      </c>
      <c r="C240" s="48">
        <v>592006422</v>
      </c>
      <c r="D240" s="3">
        <v>46</v>
      </c>
      <c r="E240" s="28" t="s">
        <v>416</v>
      </c>
      <c r="F240" s="28" t="s">
        <v>417</v>
      </c>
      <c r="G240" s="49" t="s">
        <v>11</v>
      </c>
      <c r="H240" s="6">
        <v>2530</v>
      </c>
    </row>
    <row r="241" spans="1:8" ht="15" customHeight="1" x14ac:dyDescent="0.25">
      <c r="A241" s="51"/>
      <c r="B241" s="47">
        <v>45979</v>
      </c>
      <c r="C241" s="48">
        <v>397165818</v>
      </c>
      <c r="D241" s="3">
        <v>38</v>
      </c>
      <c r="E241" s="28" t="s">
        <v>135</v>
      </c>
      <c r="F241" s="28" t="s">
        <v>417</v>
      </c>
      <c r="G241" s="49" t="s">
        <v>6</v>
      </c>
      <c r="H241" s="6">
        <v>2090</v>
      </c>
    </row>
    <row r="242" spans="1:8" ht="15" customHeight="1" x14ac:dyDescent="0.25">
      <c r="A242" s="51"/>
      <c r="B242" s="47">
        <v>45979</v>
      </c>
      <c r="C242" s="48">
        <v>920142255</v>
      </c>
      <c r="D242" s="3">
        <v>59</v>
      </c>
      <c r="E242" s="28" t="s">
        <v>185</v>
      </c>
      <c r="F242" s="28" t="s">
        <v>417</v>
      </c>
      <c r="G242" s="49" t="s">
        <v>6</v>
      </c>
      <c r="H242" s="6">
        <v>3245</v>
      </c>
    </row>
    <row r="243" spans="1:8" ht="15" customHeight="1" x14ac:dyDescent="0.25">
      <c r="A243" s="51"/>
      <c r="B243" s="47">
        <v>45979</v>
      </c>
      <c r="C243" s="48">
        <v>928729673</v>
      </c>
      <c r="D243" s="3">
        <v>59</v>
      </c>
      <c r="E243" s="28" t="s">
        <v>112</v>
      </c>
      <c r="F243" s="28" t="s">
        <v>417</v>
      </c>
      <c r="G243" s="49" t="s">
        <v>6</v>
      </c>
      <c r="H243" s="6">
        <v>3245</v>
      </c>
    </row>
    <row r="244" spans="1:8" ht="15" customHeight="1" x14ac:dyDescent="0.25">
      <c r="A244" s="51"/>
      <c r="B244" s="47">
        <v>45979</v>
      </c>
      <c r="C244" s="48">
        <v>3990939138</v>
      </c>
      <c r="D244" s="3">
        <v>48</v>
      </c>
      <c r="E244" s="28" t="s">
        <v>421</v>
      </c>
      <c r="F244" s="28" t="s">
        <v>417</v>
      </c>
      <c r="G244" s="49" t="s">
        <v>6</v>
      </c>
      <c r="H244" s="6">
        <v>2640</v>
      </c>
    </row>
    <row r="245" spans="1:8" ht="15" customHeight="1" x14ac:dyDescent="0.25">
      <c r="A245" s="51"/>
      <c r="B245" s="47">
        <v>45979</v>
      </c>
      <c r="C245" s="48">
        <v>665732024</v>
      </c>
      <c r="D245" s="3">
        <v>59</v>
      </c>
      <c r="E245" s="28" t="s">
        <v>821</v>
      </c>
      <c r="F245" s="28" t="s">
        <v>417</v>
      </c>
      <c r="G245" s="49" t="s">
        <v>6</v>
      </c>
      <c r="H245" s="6">
        <v>3245</v>
      </c>
    </row>
    <row r="246" spans="1:8" ht="15" customHeight="1" x14ac:dyDescent="0.25">
      <c r="A246" s="51"/>
      <c r="B246" s="47">
        <v>45979</v>
      </c>
      <c r="C246" s="48">
        <v>4259532484</v>
      </c>
      <c r="D246" s="3">
        <v>18</v>
      </c>
      <c r="E246" s="28" t="s">
        <v>1160</v>
      </c>
      <c r="F246" s="28" t="s">
        <v>417</v>
      </c>
      <c r="G246" s="49" t="s">
        <v>6</v>
      </c>
      <c r="H246" s="6">
        <v>990</v>
      </c>
    </row>
    <row r="247" spans="1:8" ht="15" customHeight="1" x14ac:dyDescent="0.25">
      <c r="A247" s="51"/>
      <c r="B247" s="47">
        <v>45979</v>
      </c>
      <c r="C247" s="48">
        <v>497044065</v>
      </c>
      <c r="D247" s="3">
        <v>38</v>
      </c>
      <c r="E247" s="28" t="s">
        <v>1134</v>
      </c>
      <c r="F247" s="28" t="s">
        <v>417</v>
      </c>
      <c r="G247" s="49" t="s">
        <v>6</v>
      </c>
      <c r="H247" s="6">
        <v>1596</v>
      </c>
    </row>
    <row r="248" spans="1:8" ht="15" customHeight="1" x14ac:dyDescent="0.25">
      <c r="A248" s="51"/>
      <c r="B248" s="47">
        <v>45979</v>
      </c>
      <c r="C248" s="48">
        <v>2548187818</v>
      </c>
      <c r="D248" s="3">
        <v>18</v>
      </c>
      <c r="E248" s="28" t="s">
        <v>1161</v>
      </c>
      <c r="F248" s="28" t="s">
        <v>417</v>
      </c>
      <c r="G248" s="49" t="s">
        <v>6</v>
      </c>
      <c r="H248" s="6">
        <v>990</v>
      </c>
    </row>
    <row r="249" spans="1:8" ht="15" customHeight="1" x14ac:dyDescent="0.25">
      <c r="A249" s="51"/>
      <c r="B249" s="47">
        <v>45979</v>
      </c>
      <c r="C249" s="48">
        <v>1807632934</v>
      </c>
      <c r="D249" s="3">
        <v>38</v>
      </c>
      <c r="E249" s="28" t="s">
        <v>572</v>
      </c>
      <c r="F249" s="28" t="s">
        <v>417</v>
      </c>
      <c r="G249" s="49" t="s">
        <v>6</v>
      </c>
      <c r="H249" s="6">
        <v>2090</v>
      </c>
    </row>
    <row r="250" spans="1:8" ht="15" customHeight="1" x14ac:dyDescent="0.25">
      <c r="A250" s="51"/>
      <c r="B250" s="47">
        <v>45979</v>
      </c>
      <c r="C250" s="48">
        <v>3061925236</v>
      </c>
      <c r="D250" s="3">
        <v>38</v>
      </c>
      <c r="E250" s="28" t="s">
        <v>402</v>
      </c>
      <c r="F250" s="28" t="s">
        <v>417</v>
      </c>
      <c r="G250" s="49" t="s">
        <v>6</v>
      </c>
      <c r="H250" s="6">
        <v>2090</v>
      </c>
    </row>
    <row r="251" spans="1:8" ht="15" customHeight="1" x14ac:dyDescent="0.25">
      <c r="A251" s="51"/>
      <c r="B251" s="47">
        <v>45979</v>
      </c>
      <c r="C251" s="48">
        <v>279923841</v>
      </c>
      <c r="D251" s="3">
        <v>38</v>
      </c>
      <c r="E251" s="28" t="s">
        <v>1162</v>
      </c>
      <c r="F251" s="28" t="s">
        <v>417</v>
      </c>
      <c r="G251" s="49" t="s">
        <v>6</v>
      </c>
      <c r="H251" s="6">
        <v>2090</v>
      </c>
    </row>
    <row r="252" spans="1:8" ht="15" customHeight="1" x14ac:dyDescent="0.25">
      <c r="A252" s="51"/>
      <c r="B252" s="47">
        <v>45979</v>
      </c>
      <c r="C252" s="48">
        <v>2914468089</v>
      </c>
      <c r="D252" s="3">
        <v>59</v>
      </c>
      <c r="E252" s="28" t="s">
        <v>1163</v>
      </c>
      <c r="F252" s="28" t="s">
        <v>417</v>
      </c>
      <c r="G252" s="49" t="s">
        <v>6</v>
      </c>
      <c r="H252" s="6">
        <v>3245</v>
      </c>
    </row>
    <row r="253" spans="1:8" ht="15" customHeight="1" x14ac:dyDescent="0.25">
      <c r="A253" s="51"/>
      <c r="B253" s="47">
        <v>45979</v>
      </c>
      <c r="C253" s="48">
        <v>3011006341</v>
      </c>
      <c r="D253" s="3">
        <v>13</v>
      </c>
      <c r="E253" s="28" t="s">
        <v>1164</v>
      </c>
      <c r="F253" s="28" t="s">
        <v>417</v>
      </c>
      <c r="G253" s="49" t="s">
        <v>6</v>
      </c>
      <c r="H253" s="6">
        <v>715</v>
      </c>
    </row>
    <row r="254" spans="1:8" ht="15" customHeight="1" x14ac:dyDescent="0.25">
      <c r="A254" s="51"/>
      <c r="B254" s="47">
        <v>45979</v>
      </c>
      <c r="C254" s="48">
        <v>3011006341</v>
      </c>
      <c r="D254" s="3">
        <v>63</v>
      </c>
      <c r="E254" s="28" t="s">
        <v>1165</v>
      </c>
      <c r="F254" s="28" t="s">
        <v>417</v>
      </c>
      <c r="G254" s="49" t="s">
        <v>6</v>
      </c>
      <c r="H254" s="6">
        <v>3465</v>
      </c>
    </row>
    <row r="255" spans="1:8" ht="15" customHeight="1" x14ac:dyDescent="0.25">
      <c r="A255" s="51"/>
      <c r="B255" s="47">
        <v>45979</v>
      </c>
      <c r="C255" s="48">
        <v>2108180692</v>
      </c>
      <c r="D255" s="3">
        <v>59</v>
      </c>
      <c r="E255" s="28" t="s">
        <v>1092</v>
      </c>
      <c r="F255" s="28" t="s">
        <v>417</v>
      </c>
      <c r="G255" s="49" t="s">
        <v>13</v>
      </c>
      <c r="H255" s="6">
        <v>3245</v>
      </c>
    </row>
    <row r="256" spans="1:8" ht="15" customHeight="1" x14ac:dyDescent="0.25">
      <c r="A256" s="51"/>
      <c r="B256" s="47">
        <v>45979</v>
      </c>
      <c r="C256" s="48">
        <v>1369131613</v>
      </c>
      <c r="D256" s="3">
        <v>59</v>
      </c>
      <c r="E256" s="28" t="s">
        <v>873</v>
      </c>
      <c r="F256" s="28" t="s">
        <v>417</v>
      </c>
      <c r="G256" s="49" t="s">
        <v>6</v>
      </c>
      <c r="H256" s="6">
        <v>3245</v>
      </c>
    </row>
    <row r="257" spans="1:8" ht="15" customHeight="1" x14ac:dyDescent="0.25">
      <c r="A257" s="51"/>
      <c r="B257" s="47">
        <v>45979</v>
      </c>
      <c r="C257" s="48">
        <v>34409884070</v>
      </c>
      <c r="D257" s="3">
        <v>59</v>
      </c>
      <c r="E257" s="28" t="s">
        <v>492</v>
      </c>
      <c r="F257" s="28" t="s">
        <v>417</v>
      </c>
      <c r="G257" s="49" t="s">
        <v>6</v>
      </c>
      <c r="H257" s="6">
        <v>3245</v>
      </c>
    </row>
    <row r="258" spans="1:8" ht="15" customHeight="1" x14ac:dyDescent="0.25">
      <c r="A258" s="51"/>
      <c r="B258" s="47">
        <v>45979</v>
      </c>
      <c r="C258" s="48">
        <v>1866483479</v>
      </c>
      <c r="D258" s="3">
        <v>38</v>
      </c>
      <c r="E258" s="28" t="s">
        <v>1093</v>
      </c>
      <c r="F258" s="28" t="s">
        <v>417</v>
      </c>
      <c r="G258" s="49" t="s">
        <v>6</v>
      </c>
      <c r="H258" s="6">
        <v>2090</v>
      </c>
    </row>
    <row r="259" spans="1:8" ht="15" customHeight="1" x14ac:dyDescent="0.25">
      <c r="A259" s="51"/>
      <c r="B259" s="47">
        <v>45979</v>
      </c>
      <c r="C259" s="48">
        <v>131615692</v>
      </c>
      <c r="D259" s="3">
        <v>59</v>
      </c>
      <c r="E259" s="28" t="s">
        <v>1166</v>
      </c>
      <c r="F259" s="28" t="s">
        <v>417</v>
      </c>
      <c r="G259" s="49" t="s">
        <v>6</v>
      </c>
      <c r="H259" s="6">
        <v>3245</v>
      </c>
    </row>
    <row r="260" spans="1:8" ht="15" customHeight="1" x14ac:dyDescent="0.25">
      <c r="A260" s="51"/>
      <c r="B260" s="47">
        <v>45979</v>
      </c>
      <c r="C260" s="48">
        <v>2233616179</v>
      </c>
      <c r="D260" s="3">
        <v>49</v>
      </c>
      <c r="E260" s="28" t="s">
        <v>1167</v>
      </c>
      <c r="F260" s="28" t="s">
        <v>417</v>
      </c>
      <c r="G260" s="49" t="s">
        <v>6</v>
      </c>
      <c r="H260" s="6">
        <v>2695</v>
      </c>
    </row>
    <row r="261" spans="1:8" ht="15" customHeight="1" x14ac:dyDescent="0.25">
      <c r="A261" s="51"/>
      <c r="B261" s="47">
        <v>45979</v>
      </c>
      <c r="C261" s="48">
        <v>2408337372</v>
      </c>
      <c r="D261" s="3">
        <v>61</v>
      </c>
      <c r="E261" s="28" t="s">
        <v>1168</v>
      </c>
      <c r="F261" s="28" t="s">
        <v>417</v>
      </c>
      <c r="G261" s="49" t="s">
        <v>6</v>
      </c>
      <c r="H261" s="6">
        <v>3355</v>
      </c>
    </row>
    <row r="262" spans="1:8" ht="15" customHeight="1" x14ac:dyDescent="0.25">
      <c r="A262" s="51"/>
      <c r="B262" s="47">
        <v>45979</v>
      </c>
      <c r="C262" s="48">
        <v>2408337372</v>
      </c>
      <c r="D262" s="3">
        <v>41</v>
      </c>
      <c r="E262" s="28" t="s">
        <v>430</v>
      </c>
      <c r="F262" s="28" t="s">
        <v>417</v>
      </c>
      <c r="G262" s="49" t="s">
        <v>6</v>
      </c>
      <c r="H262" s="6">
        <v>2255</v>
      </c>
    </row>
    <row r="263" spans="1:8" ht="15" customHeight="1" x14ac:dyDescent="0.25">
      <c r="A263" s="51"/>
      <c r="B263" s="47">
        <v>45979</v>
      </c>
      <c r="C263" s="48">
        <v>322127740</v>
      </c>
      <c r="D263" s="3">
        <v>40</v>
      </c>
      <c r="E263" s="28" t="s">
        <v>1169</v>
      </c>
      <c r="F263" s="28" t="s">
        <v>417</v>
      </c>
      <c r="G263" s="49" t="s">
        <v>6</v>
      </c>
      <c r="H263" s="6">
        <v>2200</v>
      </c>
    </row>
    <row r="264" spans="1:8" ht="15" customHeight="1" x14ac:dyDescent="0.25">
      <c r="A264" s="51"/>
      <c r="B264" s="47">
        <v>45979</v>
      </c>
      <c r="C264" s="48">
        <v>322127740</v>
      </c>
      <c r="D264" s="3">
        <v>35</v>
      </c>
      <c r="E264" s="28" t="s">
        <v>1170</v>
      </c>
      <c r="F264" s="28" t="s">
        <v>417</v>
      </c>
      <c r="G264" s="49" t="s">
        <v>6</v>
      </c>
      <c r="H264" s="6">
        <v>1925</v>
      </c>
    </row>
    <row r="265" spans="1:8" ht="15" customHeight="1" x14ac:dyDescent="0.25">
      <c r="A265" s="51"/>
      <c r="B265" s="47">
        <v>45979</v>
      </c>
      <c r="C265" s="48">
        <v>322127740</v>
      </c>
      <c r="D265" s="3">
        <v>38</v>
      </c>
      <c r="E265" s="28" t="s">
        <v>1171</v>
      </c>
      <c r="F265" s="28" t="s">
        <v>417</v>
      </c>
      <c r="G265" s="49" t="s">
        <v>6</v>
      </c>
      <c r="H265" s="6">
        <v>2090</v>
      </c>
    </row>
    <row r="266" spans="1:8" ht="15" customHeight="1" x14ac:dyDescent="0.25">
      <c r="A266" s="51"/>
      <c r="B266" s="47">
        <v>45979</v>
      </c>
      <c r="C266" s="48">
        <v>3721150506</v>
      </c>
      <c r="D266" s="3">
        <v>59</v>
      </c>
      <c r="E266" s="28" t="s">
        <v>1045</v>
      </c>
      <c r="F266" s="28" t="s">
        <v>417</v>
      </c>
      <c r="G266" s="49" t="s">
        <v>6</v>
      </c>
      <c r="H266" s="6">
        <v>3245</v>
      </c>
    </row>
    <row r="267" spans="1:8" ht="15" customHeight="1" x14ac:dyDescent="0.25">
      <c r="A267" s="51"/>
      <c r="B267" s="47">
        <v>45979</v>
      </c>
      <c r="C267" s="48">
        <v>2715174224</v>
      </c>
      <c r="D267" s="3">
        <v>48</v>
      </c>
      <c r="E267" s="28" t="s">
        <v>1172</v>
      </c>
      <c r="F267" s="28" t="s">
        <v>417</v>
      </c>
      <c r="G267" s="49" t="s">
        <v>6</v>
      </c>
      <c r="H267" s="6">
        <v>2640</v>
      </c>
    </row>
    <row r="268" spans="1:8" ht="15" customHeight="1" x14ac:dyDescent="0.25">
      <c r="A268" s="51"/>
      <c r="B268" s="47">
        <v>45980</v>
      </c>
      <c r="C268" s="48">
        <v>98713891</v>
      </c>
      <c r="D268" s="3">
        <v>55</v>
      </c>
      <c r="E268" s="28" t="s">
        <v>159</v>
      </c>
      <c r="F268" s="28" t="s">
        <v>417</v>
      </c>
      <c r="G268" s="49" t="s">
        <v>6</v>
      </c>
      <c r="H268" s="6">
        <v>3025</v>
      </c>
    </row>
    <row r="269" spans="1:8" ht="15" customHeight="1" x14ac:dyDescent="0.25">
      <c r="A269" s="51"/>
      <c r="B269" s="47">
        <v>45980</v>
      </c>
      <c r="C269" s="48">
        <v>3145092154</v>
      </c>
      <c r="D269" s="3">
        <v>63</v>
      </c>
      <c r="E269" s="28" t="s">
        <v>1173</v>
      </c>
      <c r="F269" s="28" t="s">
        <v>417</v>
      </c>
      <c r="G269" s="49" t="s">
        <v>6</v>
      </c>
      <c r="H269" s="6">
        <v>3465</v>
      </c>
    </row>
    <row r="270" spans="1:8" ht="15" customHeight="1" x14ac:dyDescent="0.25">
      <c r="A270" s="51"/>
      <c r="B270" s="47">
        <v>45980</v>
      </c>
      <c r="C270" s="48">
        <v>4181215653</v>
      </c>
      <c r="D270" s="3">
        <v>38</v>
      </c>
      <c r="E270" s="28" t="s">
        <v>1174</v>
      </c>
      <c r="F270" s="28" t="s">
        <v>417</v>
      </c>
      <c r="G270" s="49" t="s">
        <v>13</v>
      </c>
      <c r="H270" s="6">
        <v>2090</v>
      </c>
    </row>
    <row r="271" spans="1:8" ht="15" customHeight="1" x14ac:dyDescent="0.25">
      <c r="A271" s="51"/>
      <c r="B271" s="47">
        <v>45980</v>
      </c>
      <c r="C271" s="48">
        <v>623856542</v>
      </c>
      <c r="D271" s="3">
        <v>45</v>
      </c>
      <c r="E271" s="28" t="s">
        <v>1175</v>
      </c>
      <c r="F271" s="28" t="s">
        <v>417</v>
      </c>
      <c r="G271" s="49" t="s">
        <v>6</v>
      </c>
      <c r="H271" s="6">
        <v>2475</v>
      </c>
    </row>
    <row r="272" spans="1:8" ht="15" customHeight="1" x14ac:dyDescent="0.25">
      <c r="A272" s="51"/>
      <c r="B272" s="47">
        <v>45980</v>
      </c>
      <c r="C272" s="48">
        <v>2285258730</v>
      </c>
      <c r="D272" s="3">
        <v>38</v>
      </c>
      <c r="E272" s="28" t="s">
        <v>830</v>
      </c>
      <c r="F272" s="28" t="s">
        <v>417</v>
      </c>
      <c r="G272" s="49" t="s">
        <v>6</v>
      </c>
      <c r="H272" s="6">
        <v>2090</v>
      </c>
    </row>
    <row r="273" spans="1:8" ht="15" customHeight="1" x14ac:dyDescent="0.25">
      <c r="A273" s="51"/>
      <c r="B273" s="47">
        <v>45980</v>
      </c>
      <c r="C273" s="48">
        <v>3051572387</v>
      </c>
      <c r="D273" s="3">
        <v>59</v>
      </c>
      <c r="E273" s="28" t="s">
        <v>1176</v>
      </c>
      <c r="F273" s="28" t="s">
        <v>417</v>
      </c>
      <c r="G273" s="49" t="s">
        <v>7</v>
      </c>
      <c r="H273" s="6">
        <v>3245</v>
      </c>
    </row>
    <row r="274" spans="1:8" ht="15" customHeight="1" x14ac:dyDescent="0.25">
      <c r="A274" s="51"/>
      <c r="B274" s="47">
        <v>45980</v>
      </c>
      <c r="C274" s="48">
        <v>3810412618</v>
      </c>
      <c r="D274" s="3">
        <v>38</v>
      </c>
      <c r="E274" s="28" t="s">
        <v>487</v>
      </c>
      <c r="F274" s="28" t="s">
        <v>417</v>
      </c>
      <c r="G274" s="49" t="s">
        <v>6</v>
      </c>
      <c r="H274" s="6">
        <v>2090</v>
      </c>
    </row>
    <row r="275" spans="1:8" ht="15" customHeight="1" x14ac:dyDescent="0.25">
      <c r="A275" s="51"/>
      <c r="B275" s="47">
        <v>45980</v>
      </c>
      <c r="C275" s="48">
        <v>274812463</v>
      </c>
      <c r="D275" s="3">
        <v>38</v>
      </c>
      <c r="E275" s="28" t="s">
        <v>869</v>
      </c>
      <c r="F275" s="28" t="s">
        <v>417</v>
      </c>
      <c r="G275" s="49" t="s">
        <v>6</v>
      </c>
      <c r="H275" s="6">
        <v>2090</v>
      </c>
    </row>
    <row r="276" spans="1:8" ht="15" customHeight="1" x14ac:dyDescent="0.25">
      <c r="A276" s="51"/>
      <c r="B276" s="47">
        <v>45980</v>
      </c>
      <c r="C276" s="48">
        <v>4252517489</v>
      </c>
      <c r="D276" s="3">
        <v>44</v>
      </c>
      <c r="E276" s="28" t="s">
        <v>1177</v>
      </c>
      <c r="F276" s="28" t="s">
        <v>417</v>
      </c>
      <c r="G276" s="49" t="s">
        <v>7</v>
      </c>
      <c r="H276" s="6">
        <v>2420</v>
      </c>
    </row>
    <row r="277" spans="1:8" ht="15" customHeight="1" x14ac:dyDescent="0.25">
      <c r="A277" s="51"/>
      <c r="B277" s="47">
        <v>45980</v>
      </c>
      <c r="C277" s="48">
        <v>4252517489</v>
      </c>
      <c r="D277" s="3">
        <v>59</v>
      </c>
      <c r="E277" s="28" t="s">
        <v>1100</v>
      </c>
      <c r="F277" s="28" t="s">
        <v>417</v>
      </c>
      <c r="G277" s="49" t="s">
        <v>7</v>
      </c>
      <c r="H277" s="6">
        <v>3245</v>
      </c>
    </row>
    <row r="278" spans="1:8" ht="15" customHeight="1" x14ac:dyDescent="0.25">
      <c r="A278" s="51"/>
      <c r="B278" s="47">
        <v>45980</v>
      </c>
      <c r="C278" s="48">
        <v>3312140798</v>
      </c>
      <c r="D278" s="3">
        <v>63</v>
      </c>
      <c r="E278" s="28" t="s">
        <v>415</v>
      </c>
      <c r="F278" s="28" t="s">
        <v>417</v>
      </c>
      <c r="G278" s="49" t="s">
        <v>6</v>
      </c>
      <c r="H278" s="6">
        <v>3465</v>
      </c>
    </row>
    <row r="279" spans="1:8" ht="15" customHeight="1" x14ac:dyDescent="0.25">
      <c r="A279" s="51"/>
      <c r="B279" s="47">
        <v>45980</v>
      </c>
      <c r="C279" s="48">
        <v>904217736</v>
      </c>
      <c r="D279" s="3">
        <v>23</v>
      </c>
      <c r="E279" s="28" t="s">
        <v>464</v>
      </c>
      <c r="F279" s="28" t="s">
        <v>417</v>
      </c>
      <c r="G279" s="49" t="s">
        <v>6</v>
      </c>
      <c r="H279" s="6">
        <v>1265</v>
      </c>
    </row>
    <row r="280" spans="1:8" ht="15" customHeight="1" x14ac:dyDescent="0.25">
      <c r="A280" s="51"/>
      <c r="B280" s="47">
        <v>45980</v>
      </c>
      <c r="C280" s="48">
        <v>2042840578</v>
      </c>
      <c r="D280" s="3">
        <v>21</v>
      </c>
      <c r="E280" s="28" t="s">
        <v>1178</v>
      </c>
      <c r="F280" s="28" t="s">
        <v>417</v>
      </c>
      <c r="G280" s="49" t="s">
        <v>6</v>
      </c>
      <c r="H280" s="6">
        <v>1155</v>
      </c>
    </row>
    <row r="281" spans="1:8" ht="15" customHeight="1" x14ac:dyDescent="0.25">
      <c r="A281" s="51"/>
      <c r="B281" s="47">
        <v>45980</v>
      </c>
      <c r="C281" s="48">
        <v>836389768</v>
      </c>
      <c r="D281" s="3">
        <v>38</v>
      </c>
      <c r="E281" s="28" t="s">
        <v>1179</v>
      </c>
      <c r="F281" s="28" t="s">
        <v>417</v>
      </c>
      <c r="G281" s="49" t="s">
        <v>7</v>
      </c>
      <c r="H281" s="6">
        <v>2090</v>
      </c>
    </row>
    <row r="282" spans="1:8" ht="15" customHeight="1" x14ac:dyDescent="0.25">
      <c r="A282" s="51"/>
      <c r="B282" s="47">
        <v>45980</v>
      </c>
      <c r="C282" s="48">
        <v>220416778</v>
      </c>
      <c r="D282" s="3">
        <v>59</v>
      </c>
      <c r="E282" s="28" t="s">
        <v>351</v>
      </c>
      <c r="F282" s="28" t="s">
        <v>417</v>
      </c>
      <c r="G282" s="49" t="s">
        <v>6</v>
      </c>
      <c r="H282" s="6">
        <v>3245</v>
      </c>
    </row>
    <row r="283" spans="1:8" ht="15" customHeight="1" x14ac:dyDescent="0.25">
      <c r="A283" s="51"/>
      <c r="B283" s="47">
        <v>45980</v>
      </c>
      <c r="C283" s="48">
        <v>302466425</v>
      </c>
      <c r="D283" s="3">
        <v>59</v>
      </c>
      <c r="E283" s="28" t="s">
        <v>1180</v>
      </c>
      <c r="F283" s="28" t="s">
        <v>417</v>
      </c>
      <c r="G283" s="49" t="s">
        <v>6</v>
      </c>
      <c r="H283" s="6">
        <v>3245</v>
      </c>
    </row>
    <row r="284" spans="1:8" ht="15" customHeight="1" x14ac:dyDescent="0.25">
      <c r="A284" s="51"/>
      <c r="B284" s="47">
        <v>45980</v>
      </c>
      <c r="C284" s="48">
        <v>3454158644</v>
      </c>
      <c r="D284" s="3">
        <v>45</v>
      </c>
      <c r="E284" s="28" t="s">
        <v>534</v>
      </c>
      <c r="F284" s="28" t="s">
        <v>417</v>
      </c>
      <c r="G284" s="49" t="s">
        <v>6</v>
      </c>
      <c r="H284" s="6">
        <v>2475</v>
      </c>
    </row>
    <row r="285" spans="1:8" ht="15" customHeight="1" x14ac:dyDescent="0.25">
      <c r="A285" s="51"/>
      <c r="B285" s="47">
        <v>45980</v>
      </c>
      <c r="C285" s="48">
        <v>4253433981</v>
      </c>
      <c r="D285" s="3">
        <v>38</v>
      </c>
      <c r="E285" s="28" t="s">
        <v>427</v>
      </c>
      <c r="F285" s="28" t="s">
        <v>417</v>
      </c>
      <c r="G285" s="49" t="s">
        <v>6</v>
      </c>
      <c r="H285" s="6">
        <v>2090</v>
      </c>
    </row>
    <row r="286" spans="1:8" ht="15" customHeight="1" x14ac:dyDescent="0.25">
      <c r="A286" s="51"/>
      <c r="B286" s="47">
        <v>45980</v>
      </c>
      <c r="C286" s="48">
        <v>443959083</v>
      </c>
      <c r="D286" s="3">
        <v>63</v>
      </c>
      <c r="E286" s="28" t="s">
        <v>459</v>
      </c>
      <c r="F286" s="28" t="s">
        <v>417</v>
      </c>
      <c r="G286" s="49" t="s">
        <v>6</v>
      </c>
      <c r="H286" s="6">
        <v>3465</v>
      </c>
    </row>
    <row r="287" spans="1:8" ht="15" customHeight="1" x14ac:dyDescent="0.25">
      <c r="A287" s="51"/>
      <c r="B287" s="47">
        <v>45980</v>
      </c>
      <c r="C287" s="48">
        <v>3384168390</v>
      </c>
      <c r="D287" s="3">
        <v>38</v>
      </c>
      <c r="E287" s="28" t="s">
        <v>1181</v>
      </c>
      <c r="F287" s="28" t="s">
        <v>417</v>
      </c>
      <c r="G287" s="49" t="s">
        <v>6</v>
      </c>
      <c r="H287" s="6">
        <v>2090</v>
      </c>
    </row>
    <row r="288" spans="1:8" ht="15" customHeight="1" x14ac:dyDescent="0.25">
      <c r="A288" s="51"/>
      <c r="B288" s="47">
        <v>45980</v>
      </c>
      <c r="C288" s="48">
        <v>988300739</v>
      </c>
      <c r="D288" s="3">
        <v>18</v>
      </c>
      <c r="E288" s="28" t="s">
        <v>419</v>
      </c>
      <c r="F288" s="28" t="s">
        <v>417</v>
      </c>
      <c r="G288" s="49" t="s">
        <v>6</v>
      </c>
      <c r="H288" s="6">
        <v>990</v>
      </c>
    </row>
    <row r="289" spans="1:8" ht="15" customHeight="1" x14ac:dyDescent="0.25">
      <c r="A289" s="51"/>
      <c r="B289" s="47">
        <v>45980</v>
      </c>
      <c r="C289" s="48">
        <v>1188122040</v>
      </c>
      <c r="D289" s="3">
        <v>59</v>
      </c>
      <c r="E289" s="28" t="s">
        <v>1182</v>
      </c>
      <c r="F289" s="28" t="s">
        <v>417</v>
      </c>
      <c r="G289" s="49" t="s">
        <v>13</v>
      </c>
      <c r="H289" s="6">
        <v>3245</v>
      </c>
    </row>
    <row r="290" spans="1:8" ht="15" customHeight="1" x14ac:dyDescent="0.25">
      <c r="A290" s="51"/>
      <c r="B290" s="47">
        <v>45980</v>
      </c>
      <c r="C290" s="48">
        <v>2885308083</v>
      </c>
      <c r="D290" s="3">
        <v>59</v>
      </c>
      <c r="E290" s="28" t="s">
        <v>1183</v>
      </c>
      <c r="F290" s="28" t="s">
        <v>417</v>
      </c>
      <c r="G290" s="49" t="s">
        <v>6</v>
      </c>
      <c r="H290" s="6">
        <v>3245</v>
      </c>
    </row>
    <row r="291" spans="1:8" ht="15" customHeight="1" x14ac:dyDescent="0.25">
      <c r="A291" s="51"/>
      <c r="B291" s="47">
        <v>45980</v>
      </c>
      <c r="C291" s="48">
        <v>3937881467</v>
      </c>
      <c r="D291" s="3">
        <v>59</v>
      </c>
      <c r="E291" s="28" t="s">
        <v>860</v>
      </c>
      <c r="F291" s="28" t="s">
        <v>417</v>
      </c>
      <c r="G291" s="49" t="s">
        <v>7</v>
      </c>
      <c r="H291" s="6">
        <v>3245</v>
      </c>
    </row>
    <row r="292" spans="1:8" ht="15" customHeight="1" x14ac:dyDescent="0.25">
      <c r="A292" s="51"/>
      <c r="B292" s="47">
        <v>45980</v>
      </c>
      <c r="C292" s="48">
        <v>3774369721</v>
      </c>
      <c r="D292" s="3">
        <v>20</v>
      </c>
      <c r="E292" s="28" t="s">
        <v>1184</v>
      </c>
      <c r="F292" s="28" t="s">
        <v>417</v>
      </c>
      <c r="G292" s="49" t="s">
        <v>6</v>
      </c>
      <c r="H292" s="6">
        <v>1100</v>
      </c>
    </row>
    <row r="293" spans="1:8" ht="15" customHeight="1" x14ac:dyDescent="0.25">
      <c r="A293" s="51"/>
      <c r="B293" s="47">
        <v>45980</v>
      </c>
      <c r="C293" s="48">
        <v>1941193071</v>
      </c>
      <c r="D293" s="3">
        <v>38</v>
      </c>
      <c r="E293" s="28" t="s">
        <v>1185</v>
      </c>
      <c r="F293" s="28" t="s">
        <v>417</v>
      </c>
      <c r="G293" s="49" t="s">
        <v>7</v>
      </c>
      <c r="H293" s="6">
        <v>2090</v>
      </c>
    </row>
    <row r="294" spans="1:8" ht="15" customHeight="1" x14ac:dyDescent="0.25">
      <c r="A294" s="51"/>
      <c r="B294" s="47">
        <v>45980</v>
      </c>
      <c r="C294" s="48">
        <v>3396750367</v>
      </c>
      <c r="D294" s="3">
        <v>38</v>
      </c>
      <c r="E294" s="28" t="s">
        <v>1186</v>
      </c>
      <c r="F294" s="28" t="s">
        <v>417</v>
      </c>
      <c r="G294" s="49" t="s">
        <v>6</v>
      </c>
      <c r="H294" s="6">
        <v>2090</v>
      </c>
    </row>
    <row r="295" spans="1:8" ht="15" customHeight="1" x14ac:dyDescent="0.25">
      <c r="A295" s="51"/>
      <c r="B295" s="47">
        <v>45980</v>
      </c>
      <c r="C295" s="48">
        <v>3790685039</v>
      </c>
      <c r="D295" s="3">
        <v>38</v>
      </c>
      <c r="E295" s="28" t="s">
        <v>436</v>
      </c>
      <c r="F295" s="28" t="s">
        <v>417</v>
      </c>
      <c r="G295" s="49" t="s">
        <v>6</v>
      </c>
      <c r="H295" s="6">
        <v>2090</v>
      </c>
    </row>
    <row r="296" spans="1:8" ht="15" customHeight="1" x14ac:dyDescent="0.25">
      <c r="A296" s="51"/>
      <c r="B296" s="47">
        <v>45980</v>
      </c>
      <c r="C296" s="48">
        <v>4223289263</v>
      </c>
      <c r="D296" s="3">
        <v>20</v>
      </c>
      <c r="E296" s="28" t="s">
        <v>609</v>
      </c>
      <c r="F296" s="28" t="s">
        <v>417</v>
      </c>
      <c r="G296" s="49" t="s">
        <v>6</v>
      </c>
      <c r="H296" s="6">
        <v>1100</v>
      </c>
    </row>
    <row r="297" spans="1:8" ht="15" customHeight="1" x14ac:dyDescent="0.25">
      <c r="A297" s="51"/>
      <c r="B297" s="47">
        <v>45980</v>
      </c>
      <c r="C297" s="48">
        <v>2760853158</v>
      </c>
      <c r="D297" s="3">
        <v>18</v>
      </c>
      <c r="E297" s="28" t="s">
        <v>850</v>
      </c>
      <c r="F297" s="28" t="s">
        <v>417</v>
      </c>
      <c r="G297" s="49" t="s">
        <v>6</v>
      </c>
      <c r="H297" s="6">
        <v>990</v>
      </c>
    </row>
    <row r="298" spans="1:8" ht="15" customHeight="1" x14ac:dyDescent="0.25">
      <c r="A298" s="51"/>
      <c r="B298" s="47">
        <v>45980</v>
      </c>
      <c r="C298" s="48">
        <v>1871661686</v>
      </c>
      <c r="D298" s="3">
        <v>63</v>
      </c>
      <c r="E298" s="28" t="s">
        <v>433</v>
      </c>
      <c r="F298" s="28" t="s">
        <v>417</v>
      </c>
      <c r="G298" s="49" t="s">
        <v>6</v>
      </c>
      <c r="H298" s="6">
        <v>3465</v>
      </c>
    </row>
    <row r="299" spans="1:8" ht="15" customHeight="1" x14ac:dyDescent="0.25">
      <c r="A299" s="51"/>
      <c r="B299" s="47">
        <v>45980</v>
      </c>
      <c r="C299" s="48">
        <v>1871661686</v>
      </c>
      <c r="D299" s="3">
        <v>63</v>
      </c>
      <c r="E299" s="28" t="s">
        <v>1187</v>
      </c>
      <c r="F299" s="28" t="s">
        <v>417</v>
      </c>
      <c r="G299" s="49" t="s">
        <v>6</v>
      </c>
      <c r="H299" s="6">
        <v>3465</v>
      </c>
    </row>
    <row r="300" spans="1:8" ht="15" customHeight="1" x14ac:dyDescent="0.25">
      <c r="A300" s="51"/>
      <c r="B300" s="47">
        <v>45980</v>
      </c>
      <c r="C300" s="48">
        <v>3434893046</v>
      </c>
      <c r="D300" s="3">
        <v>59</v>
      </c>
      <c r="E300" s="28" t="s">
        <v>1188</v>
      </c>
      <c r="F300" s="28" t="s">
        <v>417</v>
      </c>
      <c r="G300" s="49" t="s">
        <v>6</v>
      </c>
      <c r="H300" s="6">
        <v>3245</v>
      </c>
    </row>
    <row r="301" spans="1:8" ht="15" customHeight="1" x14ac:dyDescent="0.25">
      <c r="A301" s="51"/>
      <c r="B301" s="47">
        <v>45980</v>
      </c>
      <c r="C301" s="48">
        <v>3434893046</v>
      </c>
      <c r="D301" s="3">
        <v>63</v>
      </c>
      <c r="E301" s="28" t="s">
        <v>857</v>
      </c>
      <c r="F301" s="28" t="s">
        <v>417</v>
      </c>
      <c r="G301" s="49" t="s">
        <v>7</v>
      </c>
      <c r="H301" s="6">
        <v>3465</v>
      </c>
    </row>
    <row r="302" spans="1:8" ht="15" customHeight="1" x14ac:dyDescent="0.25">
      <c r="A302" s="51"/>
      <c r="B302" s="47">
        <v>45980</v>
      </c>
      <c r="C302" s="48">
        <v>2789819141</v>
      </c>
      <c r="D302" s="3">
        <v>53</v>
      </c>
      <c r="E302" s="28" t="s">
        <v>1189</v>
      </c>
      <c r="F302" s="28" t="s">
        <v>417</v>
      </c>
      <c r="G302" s="49" t="s">
        <v>6</v>
      </c>
      <c r="H302" s="6">
        <v>2915</v>
      </c>
    </row>
    <row r="303" spans="1:8" ht="15" customHeight="1" x14ac:dyDescent="0.25">
      <c r="A303" s="51"/>
      <c r="B303" s="47">
        <v>45980</v>
      </c>
      <c r="C303" s="48">
        <v>3373223609</v>
      </c>
      <c r="D303" s="3">
        <v>35</v>
      </c>
      <c r="E303" s="28" t="s">
        <v>1190</v>
      </c>
      <c r="F303" s="28" t="s">
        <v>417</v>
      </c>
      <c r="G303" s="49" t="s">
        <v>6</v>
      </c>
      <c r="H303" s="6">
        <v>1925</v>
      </c>
    </row>
    <row r="304" spans="1:8" ht="15" customHeight="1" x14ac:dyDescent="0.25">
      <c r="A304" s="51"/>
      <c r="B304" s="47">
        <v>45980</v>
      </c>
      <c r="C304" s="48">
        <v>3924250193</v>
      </c>
      <c r="D304" s="3">
        <v>38</v>
      </c>
      <c r="E304" s="28" t="s">
        <v>474</v>
      </c>
      <c r="F304" s="28" t="s">
        <v>417</v>
      </c>
      <c r="G304" s="49" t="s">
        <v>6</v>
      </c>
      <c r="H304" s="6">
        <v>2090</v>
      </c>
    </row>
    <row r="305" spans="1:8" ht="15" customHeight="1" x14ac:dyDescent="0.25">
      <c r="A305" s="51"/>
      <c r="B305" s="47">
        <v>45980</v>
      </c>
      <c r="C305" s="48">
        <v>3323873181</v>
      </c>
      <c r="D305" s="3">
        <v>33</v>
      </c>
      <c r="E305" s="28" t="s">
        <v>1191</v>
      </c>
      <c r="F305" s="28" t="s">
        <v>417</v>
      </c>
      <c r="G305" s="49" t="s">
        <v>6</v>
      </c>
      <c r="H305" s="6">
        <v>1815</v>
      </c>
    </row>
    <row r="306" spans="1:8" ht="15" customHeight="1" x14ac:dyDescent="0.25">
      <c r="A306" s="51"/>
      <c r="B306" s="47">
        <v>45980</v>
      </c>
      <c r="C306" s="48">
        <v>195838202</v>
      </c>
      <c r="D306" s="3">
        <v>60</v>
      </c>
      <c r="E306" s="28" t="s">
        <v>505</v>
      </c>
      <c r="F306" s="28" t="s">
        <v>417</v>
      </c>
      <c r="G306" s="49" t="s">
        <v>6</v>
      </c>
      <c r="H306" s="6">
        <v>3300</v>
      </c>
    </row>
    <row r="307" spans="1:8" ht="15" customHeight="1" x14ac:dyDescent="0.25">
      <c r="A307" s="51"/>
      <c r="B307" s="47">
        <v>45980</v>
      </c>
      <c r="C307" s="48">
        <v>195838202</v>
      </c>
      <c r="D307" s="3">
        <v>43</v>
      </c>
      <c r="E307" s="28" t="s">
        <v>504</v>
      </c>
      <c r="F307" s="28" t="s">
        <v>417</v>
      </c>
      <c r="G307" s="49" t="s">
        <v>6</v>
      </c>
      <c r="H307" s="6">
        <v>2365</v>
      </c>
    </row>
    <row r="308" spans="1:8" ht="15" customHeight="1" x14ac:dyDescent="0.25">
      <c r="A308" s="51"/>
      <c r="B308" s="47">
        <v>45980</v>
      </c>
      <c r="C308" s="48">
        <v>195838202</v>
      </c>
      <c r="D308" s="3">
        <v>43</v>
      </c>
      <c r="E308" s="28" t="s">
        <v>1192</v>
      </c>
      <c r="F308" s="28" t="s">
        <v>417</v>
      </c>
      <c r="G308" s="49" t="s">
        <v>6</v>
      </c>
      <c r="H308" s="6">
        <v>2365</v>
      </c>
    </row>
    <row r="309" spans="1:8" ht="15" customHeight="1" x14ac:dyDescent="0.25">
      <c r="A309" s="51"/>
      <c r="B309" s="47">
        <v>45980</v>
      </c>
      <c r="C309" s="48">
        <v>3632746262</v>
      </c>
      <c r="D309" s="3">
        <v>21</v>
      </c>
      <c r="E309" s="28" t="s">
        <v>854</v>
      </c>
      <c r="F309" s="28" t="s">
        <v>417</v>
      </c>
      <c r="G309" s="49" t="s">
        <v>6</v>
      </c>
      <c r="H309" s="6">
        <v>1155</v>
      </c>
    </row>
    <row r="310" spans="1:8" ht="15" customHeight="1" x14ac:dyDescent="0.25">
      <c r="A310" s="51"/>
      <c r="B310" s="47">
        <v>45980</v>
      </c>
      <c r="C310" s="48">
        <v>3786428073</v>
      </c>
      <c r="D310" s="3">
        <v>38</v>
      </c>
      <c r="E310" s="28" t="s">
        <v>506</v>
      </c>
      <c r="F310" s="28" t="s">
        <v>417</v>
      </c>
      <c r="G310" s="49" t="s">
        <v>6</v>
      </c>
      <c r="H310" s="6">
        <v>2090</v>
      </c>
    </row>
    <row r="311" spans="1:8" ht="15" customHeight="1" x14ac:dyDescent="0.25">
      <c r="A311" s="51"/>
      <c r="B311" s="47">
        <v>45980</v>
      </c>
      <c r="C311" s="48">
        <v>3493872074</v>
      </c>
      <c r="D311" s="3">
        <v>59</v>
      </c>
      <c r="E311" s="28" t="s">
        <v>489</v>
      </c>
      <c r="F311" s="28" t="s">
        <v>417</v>
      </c>
      <c r="G311" s="49" t="s">
        <v>6</v>
      </c>
      <c r="H311" s="6">
        <v>3245</v>
      </c>
    </row>
    <row r="312" spans="1:8" ht="15" customHeight="1" x14ac:dyDescent="0.25">
      <c r="A312" s="51"/>
      <c r="B312" s="47">
        <v>45980</v>
      </c>
      <c r="C312" s="48">
        <v>3246342983</v>
      </c>
      <c r="D312" s="3">
        <v>48</v>
      </c>
      <c r="E312" s="28" t="s">
        <v>475</v>
      </c>
      <c r="F312" s="28" t="s">
        <v>417</v>
      </c>
      <c r="G312" s="49" t="s">
        <v>11</v>
      </c>
      <c r="H312" s="6">
        <v>2640</v>
      </c>
    </row>
    <row r="313" spans="1:8" ht="15" customHeight="1" x14ac:dyDescent="0.25">
      <c r="A313" s="51"/>
      <c r="B313" s="47">
        <v>45981</v>
      </c>
      <c r="C313" s="48">
        <v>1074545494</v>
      </c>
      <c r="D313" s="3">
        <v>38</v>
      </c>
      <c r="E313" s="28" t="s">
        <v>1193</v>
      </c>
      <c r="F313" s="28" t="s">
        <v>417</v>
      </c>
      <c r="G313" s="49" t="s">
        <v>10</v>
      </c>
      <c r="H313" s="6">
        <v>2090</v>
      </c>
    </row>
    <row r="314" spans="1:8" ht="15" customHeight="1" x14ac:dyDescent="0.25">
      <c r="A314" s="51"/>
      <c r="B314" s="47">
        <v>45981</v>
      </c>
      <c r="C314" s="48">
        <v>1160858698</v>
      </c>
      <c r="D314" s="3">
        <v>63</v>
      </c>
      <c r="E314" s="28" t="s">
        <v>1194</v>
      </c>
      <c r="F314" s="28" t="s">
        <v>417</v>
      </c>
      <c r="G314" s="49" t="s">
        <v>6</v>
      </c>
      <c r="H314" s="6">
        <v>3465</v>
      </c>
    </row>
    <row r="315" spans="1:8" ht="15" customHeight="1" x14ac:dyDescent="0.25">
      <c r="A315" s="51"/>
      <c r="B315" s="47">
        <v>45981</v>
      </c>
      <c r="C315" s="48">
        <v>2005681728</v>
      </c>
      <c r="D315" s="3">
        <v>43</v>
      </c>
      <c r="E315" s="28" t="s">
        <v>422</v>
      </c>
      <c r="F315" s="28" t="s">
        <v>417</v>
      </c>
      <c r="G315" s="49" t="s">
        <v>6</v>
      </c>
      <c r="H315" s="6">
        <v>2365</v>
      </c>
    </row>
    <row r="316" spans="1:8" ht="15" customHeight="1" x14ac:dyDescent="0.25">
      <c r="A316" s="51"/>
      <c r="B316" s="47">
        <v>45981</v>
      </c>
      <c r="C316" s="48">
        <v>2221100689</v>
      </c>
      <c r="D316" s="3">
        <v>59</v>
      </c>
      <c r="E316" s="28" t="s">
        <v>1195</v>
      </c>
      <c r="F316" s="28" t="s">
        <v>417</v>
      </c>
      <c r="G316" s="49" t="s">
        <v>6</v>
      </c>
      <c r="H316" s="6">
        <v>3245</v>
      </c>
    </row>
    <row r="317" spans="1:8" ht="15" customHeight="1" x14ac:dyDescent="0.25">
      <c r="A317" s="51"/>
      <c r="B317" s="47">
        <v>45981</v>
      </c>
      <c r="C317" s="48">
        <v>3417394446</v>
      </c>
      <c r="D317" s="3">
        <v>14</v>
      </c>
      <c r="E317" s="28" t="s">
        <v>1196</v>
      </c>
      <c r="F317" s="28" t="s">
        <v>417</v>
      </c>
      <c r="G317" s="49" t="s">
        <v>6</v>
      </c>
      <c r="H317" s="6">
        <v>770</v>
      </c>
    </row>
    <row r="318" spans="1:8" ht="15" customHeight="1" x14ac:dyDescent="0.25">
      <c r="A318" s="51"/>
      <c r="B318" s="47">
        <v>45981</v>
      </c>
      <c r="C318" s="48">
        <v>4281223024</v>
      </c>
      <c r="D318" s="3">
        <v>59</v>
      </c>
      <c r="E318" s="28" t="s">
        <v>796</v>
      </c>
      <c r="F318" s="28" t="s">
        <v>417</v>
      </c>
      <c r="G318" s="49" t="s">
        <v>6</v>
      </c>
      <c r="H318" s="6">
        <v>3245</v>
      </c>
    </row>
    <row r="319" spans="1:8" ht="15" customHeight="1" x14ac:dyDescent="0.25">
      <c r="A319" s="51"/>
      <c r="B319" s="47">
        <v>45981</v>
      </c>
      <c r="C319" s="48">
        <v>53889678</v>
      </c>
      <c r="D319" s="3">
        <v>43</v>
      </c>
      <c r="E319" s="28" t="s">
        <v>426</v>
      </c>
      <c r="F319" s="28" t="s">
        <v>417</v>
      </c>
      <c r="G319" s="49" t="s">
        <v>6</v>
      </c>
      <c r="H319" s="6">
        <v>2365</v>
      </c>
    </row>
    <row r="320" spans="1:8" ht="15" customHeight="1" x14ac:dyDescent="0.25">
      <c r="A320" s="51"/>
      <c r="B320" s="47">
        <v>45981</v>
      </c>
      <c r="C320" s="48">
        <v>851132713</v>
      </c>
      <c r="D320" s="3">
        <v>59</v>
      </c>
      <c r="E320" s="28" t="s">
        <v>1197</v>
      </c>
      <c r="F320" s="28" t="s">
        <v>417</v>
      </c>
      <c r="G320" s="49" t="s">
        <v>6</v>
      </c>
      <c r="H320" s="6">
        <v>3245</v>
      </c>
    </row>
    <row r="321" spans="1:8" ht="15" customHeight="1" x14ac:dyDescent="0.25">
      <c r="A321" s="51"/>
      <c r="B321" s="47">
        <v>45981</v>
      </c>
      <c r="C321" s="48">
        <v>864372725</v>
      </c>
      <c r="D321" s="3">
        <v>38</v>
      </c>
      <c r="E321" s="28" t="s">
        <v>447</v>
      </c>
      <c r="F321" s="28" t="s">
        <v>417</v>
      </c>
      <c r="G321" s="49" t="s">
        <v>6</v>
      </c>
      <c r="H321" s="6">
        <v>2090</v>
      </c>
    </row>
    <row r="322" spans="1:8" ht="15" customHeight="1" x14ac:dyDescent="0.25">
      <c r="A322" s="51"/>
      <c r="B322" s="47">
        <v>45981</v>
      </c>
      <c r="C322" s="48">
        <v>3436466057</v>
      </c>
      <c r="D322" s="3">
        <v>13</v>
      </c>
      <c r="E322" s="28" t="s">
        <v>464</v>
      </c>
      <c r="F322" s="28" t="s">
        <v>417</v>
      </c>
      <c r="G322" s="49" t="s">
        <v>6</v>
      </c>
      <c r="H322" s="6">
        <v>715</v>
      </c>
    </row>
    <row r="323" spans="1:8" ht="15" customHeight="1" x14ac:dyDescent="0.25">
      <c r="A323" s="51"/>
      <c r="B323" s="47">
        <v>45981</v>
      </c>
      <c r="C323" s="48">
        <v>2492548940</v>
      </c>
      <c r="D323" s="3">
        <v>38</v>
      </c>
      <c r="E323" s="28" t="s">
        <v>1198</v>
      </c>
      <c r="F323" s="28" t="s">
        <v>417</v>
      </c>
      <c r="G323" s="49" t="s">
        <v>6</v>
      </c>
      <c r="H323" s="6">
        <v>2090</v>
      </c>
    </row>
    <row r="324" spans="1:8" ht="15" customHeight="1" x14ac:dyDescent="0.25">
      <c r="A324" s="51"/>
      <c r="B324" s="47">
        <v>45981</v>
      </c>
      <c r="C324" s="48">
        <v>1109346052</v>
      </c>
      <c r="D324" s="3">
        <v>40</v>
      </c>
      <c r="E324" s="28" t="s">
        <v>819</v>
      </c>
      <c r="F324" s="28" t="s">
        <v>417</v>
      </c>
      <c r="G324" s="49" t="s">
        <v>11</v>
      </c>
      <c r="H324" s="6">
        <v>2200</v>
      </c>
    </row>
    <row r="325" spans="1:8" ht="15" customHeight="1" x14ac:dyDescent="0.25">
      <c r="A325" s="51"/>
      <c r="B325" s="47">
        <v>45981</v>
      </c>
      <c r="C325" s="48">
        <v>1688945244</v>
      </c>
      <c r="D325" s="3">
        <v>18</v>
      </c>
      <c r="E325" s="28" t="s">
        <v>828</v>
      </c>
      <c r="F325" s="28" t="s">
        <v>417</v>
      </c>
      <c r="G325" s="49" t="s">
        <v>6</v>
      </c>
      <c r="H325" s="6">
        <v>990</v>
      </c>
    </row>
    <row r="326" spans="1:8" ht="15" customHeight="1" x14ac:dyDescent="0.25">
      <c r="A326" s="51"/>
      <c r="B326" s="47">
        <v>45981</v>
      </c>
      <c r="C326" s="48">
        <v>1813793245</v>
      </c>
      <c r="D326" s="3">
        <v>38</v>
      </c>
      <c r="E326" s="28" t="s">
        <v>1199</v>
      </c>
      <c r="F326" s="28" t="s">
        <v>417</v>
      </c>
      <c r="G326" s="49" t="s">
        <v>6</v>
      </c>
      <c r="H326" s="6">
        <v>2090</v>
      </c>
    </row>
    <row r="327" spans="1:8" ht="15" customHeight="1" x14ac:dyDescent="0.25">
      <c r="A327" s="51"/>
      <c r="B327" s="47">
        <v>45981</v>
      </c>
      <c r="C327" s="48">
        <v>2360624074</v>
      </c>
      <c r="D327" s="3">
        <v>38</v>
      </c>
      <c r="E327" s="28" t="s">
        <v>1200</v>
      </c>
      <c r="F327" s="28" t="s">
        <v>417</v>
      </c>
      <c r="G327" s="49" t="s">
        <v>6</v>
      </c>
      <c r="H327" s="6">
        <v>2090</v>
      </c>
    </row>
    <row r="328" spans="1:8" ht="15" customHeight="1" x14ac:dyDescent="0.25">
      <c r="A328" s="51"/>
      <c r="B328" s="47">
        <v>45981</v>
      </c>
      <c r="C328" s="48">
        <v>3210036868</v>
      </c>
      <c r="D328" s="3">
        <v>38</v>
      </c>
      <c r="E328" s="28" t="s">
        <v>1201</v>
      </c>
      <c r="F328" s="28" t="s">
        <v>417</v>
      </c>
      <c r="G328" s="49" t="s">
        <v>6</v>
      </c>
      <c r="H328" s="6">
        <v>2090</v>
      </c>
    </row>
    <row r="329" spans="1:8" ht="15" customHeight="1" x14ac:dyDescent="0.25">
      <c r="A329" s="51"/>
      <c r="B329" s="47">
        <v>45981</v>
      </c>
      <c r="C329" s="48">
        <v>2435993251</v>
      </c>
      <c r="D329" s="3">
        <v>63</v>
      </c>
      <c r="E329" s="28" t="s">
        <v>420</v>
      </c>
      <c r="F329" s="28" t="s">
        <v>417</v>
      </c>
      <c r="G329" s="49" t="s">
        <v>6</v>
      </c>
      <c r="H329" s="6">
        <v>3465</v>
      </c>
    </row>
    <row r="330" spans="1:8" ht="15" customHeight="1" x14ac:dyDescent="0.25">
      <c r="A330" s="51"/>
      <c r="B330" s="47">
        <v>45981</v>
      </c>
      <c r="C330" s="48">
        <v>3306179488</v>
      </c>
      <c r="D330" s="3">
        <v>21</v>
      </c>
      <c r="E330" s="28" t="s">
        <v>689</v>
      </c>
      <c r="F330" s="28" t="s">
        <v>417</v>
      </c>
      <c r="G330" s="49" t="s">
        <v>6</v>
      </c>
      <c r="H330" s="6">
        <v>1155</v>
      </c>
    </row>
    <row r="331" spans="1:8" ht="15" customHeight="1" x14ac:dyDescent="0.25">
      <c r="A331" s="51"/>
      <c r="B331" s="47">
        <v>45981</v>
      </c>
      <c r="C331" s="48">
        <v>876695177</v>
      </c>
      <c r="D331" s="3">
        <v>56</v>
      </c>
      <c r="E331" s="28" t="s">
        <v>1202</v>
      </c>
      <c r="F331" s="28" t="s">
        <v>417</v>
      </c>
      <c r="G331" s="49" t="s">
        <v>6</v>
      </c>
      <c r="H331" s="6">
        <v>3080</v>
      </c>
    </row>
    <row r="332" spans="1:8" ht="15" customHeight="1" x14ac:dyDescent="0.25">
      <c r="A332" s="51"/>
      <c r="B332" s="47">
        <v>45981</v>
      </c>
      <c r="C332" s="48">
        <v>3723117844</v>
      </c>
      <c r="D332" s="3">
        <v>59</v>
      </c>
      <c r="E332" s="28" t="s">
        <v>472</v>
      </c>
      <c r="F332" s="28" t="s">
        <v>417</v>
      </c>
      <c r="G332" s="49" t="s">
        <v>6</v>
      </c>
      <c r="H332" s="6">
        <v>2478</v>
      </c>
    </row>
    <row r="333" spans="1:8" ht="15" customHeight="1" x14ac:dyDescent="0.25">
      <c r="A333" s="51"/>
      <c r="B333" s="47">
        <v>45981</v>
      </c>
      <c r="C333" s="48">
        <v>1610631355</v>
      </c>
      <c r="D333" s="3">
        <v>18</v>
      </c>
      <c r="E333" s="28" t="s">
        <v>1203</v>
      </c>
      <c r="F333" s="28" t="s">
        <v>417</v>
      </c>
      <c r="G333" s="49" t="s">
        <v>6</v>
      </c>
      <c r="H333" s="6">
        <v>990</v>
      </c>
    </row>
    <row r="334" spans="1:8" ht="15" customHeight="1" x14ac:dyDescent="0.25">
      <c r="A334" s="51"/>
      <c r="B334" s="47">
        <v>45981</v>
      </c>
      <c r="C334" s="48">
        <v>3677111660</v>
      </c>
      <c r="D334" s="3">
        <v>38</v>
      </c>
      <c r="E334" s="28" t="s">
        <v>1204</v>
      </c>
      <c r="F334" s="28" t="s">
        <v>417</v>
      </c>
      <c r="G334" s="49" t="s">
        <v>6</v>
      </c>
      <c r="H334" s="6">
        <v>2090</v>
      </c>
    </row>
    <row r="335" spans="1:8" ht="15" customHeight="1" x14ac:dyDescent="0.25">
      <c r="A335" s="51"/>
      <c r="B335" s="47">
        <v>45981</v>
      </c>
      <c r="C335" s="48">
        <v>3677111660</v>
      </c>
      <c r="D335" s="3">
        <v>59</v>
      </c>
      <c r="E335" s="28" t="s">
        <v>1205</v>
      </c>
      <c r="F335" s="28" t="s">
        <v>417</v>
      </c>
      <c r="G335" s="49" t="s">
        <v>6</v>
      </c>
      <c r="H335" s="6">
        <v>3245</v>
      </c>
    </row>
    <row r="336" spans="1:8" ht="15" customHeight="1" x14ac:dyDescent="0.25">
      <c r="A336" s="51"/>
      <c r="B336" s="47">
        <v>45981</v>
      </c>
      <c r="C336" s="48">
        <v>245843585</v>
      </c>
      <c r="D336" s="3">
        <v>18</v>
      </c>
      <c r="E336" s="28" t="s">
        <v>1206</v>
      </c>
      <c r="F336" s="28" t="s">
        <v>417</v>
      </c>
      <c r="G336" s="49" t="s">
        <v>6</v>
      </c>
      <c r="H336" s="6">
        <v>999.99989999999991</v>
      </c>
    </row>
    <row r="337" spans="1:8" ht="15" customHeight="1" x14ac:dyDescent="0.25">
      <c r="A337" s="51"/>
      <c r="B337" s="47">
        <v>45981</v>
      </c>
      <c r="C337" s="48">
        <v>245843585</v>
      </c>
      <c r="D337" s="3">
        <v>31</v>
      </c>
      <c r="E337" s="28" t="s">
        <v>1206</v>
      </c>
      <c r="F337" s="28" t="s">
        <v>417</v>
      </c>
      <c r="G337" s="49" t="s">
        <v>7</v>
      </c>
      <c r="H337" s="6">
        <v>1694.9993999999999</v>
      </c>
    </row>
    <row r="338" spans="1:8" ht="15" customHeight="1" x14ac:dyDescent="0.25">
      <c r="A338" s="51"/>
      <c r="B338" s="47">
        <v>45981</v>
      </c>
      <c r="C338" s="48">
        <v>4063052122</v>
      </c>
      <c r="D338" s="3">
        <v>35</v>
      </c>
      <c r="E338" s="28" t="s">
        <v>1207</v>
      </c>
      <c r="F338" s="28" t="s">
        <v>417</v>
      </c>
      <c r="G338" s="49" t="s">
        <v>6</v>
      </c>
      <c r="H338" s="6">
        <v>1925</v>
      </c>
    </row>
    <row r="339" spans="1:8" ht="15" customHeight="1" x14ac:dyDescent="0.25">
      <c r="A339" s="51"/>
      <c r="B339" s="47">
        <v>45981</v>
      </c>
      <c r="C339" s="48">
        <v>1585596794</v>
      </c>
      <c r="D339" s="3">
        <v>59</v>
      </c>
      <c r="E339" s="28" t="s">
        <v>1208</v>
      </c>
      <c r="F339" s="28" t="s">
        <v>417</v>
      </c>
      <c r="G339" s="49" t="s">
        <v>6</v>
      </c>
      <c r="H339" s="6">
        <v>3245</v>
      </c>
    </row>
    <row r="340" spans="1:8" ht="15" customHeight="1" x14ac:dyDescent="0.25">
      <c r="A340" s="51"/>
      <c r="B340" s="47">
        <v>45981</v>
      </c>
      <c r="C340" s="48">
        <v>3819261097</v>
      </c>
      <c r="D340" s="3">
        <v>59</v>
      </c>
      <c r="E340" s="28" t="s">
        <v>1209</v>
      </c>
      <c r="F340" s="28" t="s">
        <v>417</v>
      </c>
      <c r="G340" s="49" t="s">
        <v>6</v>
      </c>
      <c r="H340" s="6">
        <v>3245</v>
      </c>
    </row>
    <row r="341" spans="1:8" ht="15" customHeight="1" x14ac:dyDescent="0.25">
      <c r="A341" s="51"/>
      <c r="B341" s="47">
        <v>45981</v>
      </c>
      <c r="C341" s="48">
        <v>262687825</v>
      </c>
      <c r="D341" s="3">
        <v>38</v>
      </c>
      <c r="E341" s="28" t="s">
        <v>1210</v>
      </c>
      <c r="F341" s="28" t="s">
        <v>417</v>
      </c>
      <c r="G341" s="49" t="s">
        <v>6</v>
      </c>
      <c r="H341" s="6">
        <v>2090</v>
      </c>
    </row>
    <row r="342" spans="1:8" ht="15" customHeight="1" x14ac:dyDescent="0.25">
      <c r="A342" s="51"/>
      <c r="B342" s="47">
        <v>45981</v>
      </c>
      <c r="C342" s="48">
        <v>1658994691</v>
      </c>
      <c r="D342" s="3">
        <v>18</v>
      </c>
      <c r="E342" s="28" t="s">
        <v>1211</v>
      </c>
      <c r="F342" s="28" t="s">
        <v>417</v>
      </c>
      <c r="G342" s="49" t="s">
        <v>6</v>
      </c>
      <c r="H342" s="6">
        <v>990</v>
      </c>
    </row>
    <row r="343" spans="1:8" ht="15" customHeight="1" x14ac:dyDescent="0.25">
      <c r="A343" s="51"/>
      <c r="B343" s="47">
        <v>45981</v>
      </c>
      <c r="C343" s="48">
        <v>3011461236</v>
      </c>
      <c r="D343" s="3">
        <v>59</v>
      </c>
      <c r="E343" s="28" t="s">
        <v>349</v>
      </c>
      <c r="F343" s="28" t="s">
        <v>417</v>
      </c>
      <c r="G343" s="49" t="s">
        <v>6</v>
      </c>
      <c r="H343" s="6">
        <v>3245</v>
      </c>
    </row>
    <row r="344" spans="1:8" ht="15" customHeight="1" x14ac:dyDescent="0.25">
      <c r="A344" s="51"/>
      <c r="B344" s="47">
        <v>45981</v>
      </c>
      <c r="C344" s="48">
        <v>1930119610</v>
      </c>
      <c r="D344" s="3">
        <v>38</v>
      </c>
      <c r="E344" s="28" t="s">
        <v>1212</v>
      </c>
      <c r="F344" s="28" t="s">
        <v>417</v>
      </c>
      <c r="G344" s="49" t="s">
        <v>6</v>
      </c>
      <c r="H344" s="6">
        <v>2090</v>
      </c>
    </row>
    <row r="345" spans="1:8" ht="15" customHeight="1" x14ac:dyDescent="0.25">
      <c r="A345" s="51"/>
      <c r="B345" s="47">
        <v>45981</v>
      </c>
      <c r="C345" s="48">
        <v>1930119610</v>
      </c>
      <c r="D345" s="3">
        <v>88</v>
      </c>
      <c r="E345" s="28" t="s">
        <v>483</v>
      </c>
      <c r="F345" s="28" t="s">
        <v>417</v>
      </c>
      <c r="G345" s="49" t="s">
        <v>6</v>
      </c>
      <c r="H345" s="6">
        <v>4840</v>
      </c>
    </row>
    <row r="346" spans="1:8" ht="15" customHeight="1" x14ac:dyDescent="0.25">
      <c r="A346" s="51"/>
      <c r="B346" s="47">
        <v>45981</v>
      </c>
      <c r="C346" s="48">
        <v>3138994542</v>
      </c>
      <c r="D346" s="3">
        <v>59</v>
      </c>
      <c r="E346" s="28" t="s">
        <v>467</v>
      </c>
      <c r="F346" s="28" t="s">
        <v>417</v>
      </c>
      <c r="G346" s="49" t="s">
        <v>6</v>
      </c>
      <c r="H346" s="6">
        <v>3245</v>
      </c>
    </row>
    <row r="347" spans="1:8" ht="15" customHeight="1" x14ac:dyDescent="0.25">
      <c r="A347" s="51"/>
      <c r="B347" s="47">
        <v>45981</v>
      </c>
      <c r="C347" s="48">
        <v>2257733287</v>
      </c>
      <c r="D347" s="3">
        <v>63</v>
      </c>
      <c r="E347" s="28" t="s">
        <v>473</v>
      </c>
      <c r="F347" s="28" t="s">
        <v>417</v>
      </c>
      <c r="G347" s="49" t="s">
        <v>6</v>
      </c>
      <c r="H347" s="6">
        <v>3465</v>
      </c>
    </row>
    <row r="348" spans="1:8" ht="15" customHeight="1" x14ac:dyDescent="0.25">
      <c r="A348" s="51"/>
      <c r="B348" s="47">
        <v>45981</v>
      </c>
      <c r="C348" s="48">
        <v>2534493509</v>
      </c>
      <c r="D348" s="3">
        <v>38</v>
      </c>
      <c r="E348" s="28" t="s">
        <v>293</v>
      </c>
      <c r="F348" s="28" t="s">
        <v>417</v>
      </c>
      <c r="G348" s="49" t="s">
        <v>6</v>
      </c>
      <c r="H348" s="6">
        <v>2090</v>
      </c>
    </row>
    <row r="349" spans="1:8" ht="15" customHeight="1" x14ac:dyDescent="0.25">
      <c r="A349" s="51"/>
      <c r="B349" s="47">
        <v>45981</v>
      </c>
      <c r="C349" s="48">
        <v>1673285051</v>
      </c>
      <c r="D349" s="3">
        <v>59</v>
      </c>
      <c r="E349" s="28" t="s">
        <v>1213</v>
      </c>
      <c r="F349" s="28" t="s">
        <v>417</v>
      </c>
      <c r="G349" s="49" t="s">
        <v>6</v>
      </c>
      <c r="H349" s="6">
        <v>3245</v>
      </c>
    </row>
    <row r="350" spans="1:8" ht="15" customHeight="1" x14ac:dyDescent="0.25">
      <c r="A350" s="51"/>
      <c r="B350" s="47">
        <v>45981</v>
      </c>
      <c r="C350" s="48">
        <v>1608139050</v>
      </c>
      <c r="D350" s="3">
        <v>30</v>
      </c>
      <c r="E350" s="28" t="s">
        <v>494</v>
      </c>
      <c r="F350" s="28" t="s">
        <v>417</v>
      </c>
      <c r="G350" s="49" t="s">
        <v>6</v>
      </c>
      <c r="H350" s="6">
        <v>1650</v>
      </c>
    </row>
    <row r="351" spans="1:8" ht="15" customHeight="1" x14ac:dyDescent="0.25">
      <c r="A351" s="51"/>
      <c r="B351" s="47">
        <v>45981</v>
      </c>
      <c r="C351" s="48">
        <v>2476756910</v>
      </c>
      <c r="D351" s="3">
        <v>59</v>
      </c>
      <c r="E351" s="28" t="s">
        <v>1214</v>
      </c>
      <c r="F351" s="28" t="s">
        <v>417</v>
      </c>
      <c r="G351" s="49" t="s">
        <v>6</v>
      </c>
      <c r="H351" s="6">
        <v>3245</v>
      </c>
    </row>
    <row r="352" spans="1:8" ht="15" customHeight="1" x14ac:dyDescent="0.25">
      <c r="A352" s="51"/>
      <c r="B352" s="47">
        <v>45981</v>
      </c>
      <c r="C352" s="48">
        <v>1304510814</v>
      </c>
      <c r="D352" s="3">
        <v>59</v>
      </c>
      <c r="E352" s="28" t="s">
        <v>500</v>
      </c>
      <c r="F352" s="28" t="s">
        <v>417</v>
      </c>
      <c r="G352" s="49" t="s">
        <v>6</v>
      </c>
      <c r="H352" s="6">
        <v>3245</v>
      </c>
    </row>
    <row r="353" spans="1:8" ht="15" customHeight="1" x14ac:dyDescent="0.25">
      <c r="A353" s="51"/>
      <c r="B353" s="47">
        <v>45981</v>
      </c>
      <c r="C353" s="48">
        <v>1304510814</v>
      </c>
      <c r="D353" s="3">
        <v>21</v>
      </c>
      <c r="E353" s="28" t="s">
        <v>500</v>
      </c>
      <c r="F353" s="28" t="s">
        <v>417</v>
      </c>
      <c r="G353" s="49" t="s">
        <v>6</v>
      </c>
      <c r="H353" s="6">
        <v>1155</v>
      </c>
    </row>
    <row r="354" spans="1:8" ht="15" customHeight="1" x14ac:dyDescent="0.25">
      <c r="A354" s="51"/>
      <c r="B354" s="47">
        <v>45981</v>
      </c>
      <c r="C354" s="48">
        <v>2689157027</v>
      </c>
      <c r="D354" s="3">
        <v>45</v>
      </c>
      <c r="E354" s="28" t="s">
        <v>1215</v>
      </c>
      <c r="F354" s="28" t="s">
        <v>417</v>
      </c>
      <c r="G354" s="49" t="s">
        <v>6</v>
      </c>
      <c r="H354" s="6">
        <v>2475</v>
      </c>
    </row>
    <row r="355" spans="1:8" ht="15" customHeight="1" x14ac:dyDescent="0.25">
      <c r="A355" s="51"/>
      <c r="B355" s="47">
        <v>45981</v>
      </c>
      <c r="C355" s="48">
        <v>1420183033</v>
      </c>
      <c r="D355" s="3">
        <v>28</v>
      </c>
      <c r="E355" s="28" t="s">
        <v>316</v>
      </c>
      <c r="F355" s="28" t="s">
        <v>417</v>
      </c>
      <c r="G355" s="49" t="s">
        <v>6</v>
      </c>
      <c r="H355" s="6">
        <v>1540</v>
      </c>
    </row>
    <row r="356" spans="1:8" ht="15" customHeight="1" x14ac:dyDescent="0.25">
      <c r="A356" s="51"/>
      <c r="B356" s="47">
        <v>45981</v>
      </c>
      <c r="C356" s="48">
        <v>3239791831</v>
      </c>
      <c r="D356" s="3">
        <v>60</v>
      </c>
      <c r="E356" s="28" t="s">
        <v>297</v>
      </c>
      <c r="F356" s="28" t="s">
        <v>417</v>
      </c>
      <c r="G356" s="49" t="s">
        <v>6</v>
      </c>
      <c r="H356" s="6">
        <v>3300</v>
      </c>
    </row>
    <row r="357" spans="1:8" ht="15" customHeight="1" x14ac:dyDescent="0.25">
      <c r="A357" s="51"/>
      <c r="B357" s="47">
        <v>45981</v>
      </c>
      <c r="C357" s="48">
        <v>978341848</v>
      </c>
      <c r="D357" s="3">
        <v>18</v>
      </c>
      <c r="E357" s="28" t="s">
        <v>1216</v>
      </c>
      <c r="F357" s="28" t="s">
        <v>417</v>
      </c>
      <c r="G357" s="49" t="s">
        <v>7</v>
      </c>
      <c r="H357" s="6">
        <v>990</v>
      </c>
    </row>
    <row r="358" spans="1:8" ht="15" customHeight="1" x14ac:dyDescent="0.25">
      <c r="A358" s="51"/>
      <c r="B358" s="47">
        <v>45982</v>
      </c>
      <c r="C358" s="48">
        <v>3906618118</v>
      </c>
      <c r="D358" s="3">
        <v>24</v>
      </c>
      <c r="E358" s="28" t="s">
        <v>1217</v>
      </c>
      <c r="F358" s="28" t="s">
        <v>417</v>
      </c>
      <c r="G358" s="49" t="s">
        <v>19</v>
      </c>
      <c r="H358" s="6">
        <v>1320</v>
      </c>
    </row>
    <row r="359" spans="1:8" ht="15" customHeight="1" x14ac:dyDescent="0.25">
      <c r="A359" s="51"/>
      <c r="B359" s="47">
        <v>45982</v>
      </c>
      <c r="C359" s="48">
        <v>3506585861</v>
      </c>
      <c r="D359" s="3">
        <v>29</v>
      </c>
      <c r="E359" s="28" t="s">
        <v>458</v>
      </c>
      <c r="F359" s="28" t="s">
        <v>417</v>
      </c>
      <c r="G359" s="49" t="s">
        <v>11</v>
      </c>
      <c r="H359" s="6">
        <v>1599.9996000000001</v>
      </c>
    </row>
    <row r="360" spans="1:8" ht="15" customHeight="1" x14ac:dyDescent="0.25">
      <c r="A360" s="51"/>
      <c r="B360" s="47">
        <v>45982</v>
      </c>
      <c r="C360" s="48">
        <v>3506585861</v>
      </c>
      <c r="D360" s="3">
        <v>9</v>
      </c>
      <c r="E360" s="28" t="s">
        <v>458</v>
      </c>
      <c r="F360" s="28" t="s">
        <v>417</v>
      </c>
      <c r="G360" s="49" t="s">
        <v>10</v>
      </c>
      <c r="H360" s="6">
        <v>489.99600000000004</v>
      </c>
    </row>
    <row r="361" spans="1:8" ht="15" customHeight="1" x14ac:dyDescent="0.25">
      <c r="A361" s="51"/>
      <c r="B361" s="47">
        <v>45982</v>
      </c>
      <c r="C361" s="48">
        <v>3047178865</v>
      </c>
      <c r="D361" s="3">
        <v>21</v>
      </c>
      <c r="E361" s="28" t="s">
        <v>848</v>
      </c>
      <c r="F361" s="28" t="s">
        <v>417</v>
      </c>
      <c r="G361" s="49" t="s">
        <v>6</v>
      </c>
      <c r="H361" s="6">
        <v>1155</v>
      </c>
    </row>
    <row r="362" spans="1:8" ht="15" customHeight="1" x14ac:dyDescent="0.25">
      <c r="A362" s="51"/>
      <c r="B362" s="47">
        <v>45982</v>
      </c>
      <c r="C362" s="48">
        <v>579749710</v>
      </c>
      <c r="D362" s="3">
        <v>21</v>
      </c>
      <c r="E362" s="28" t="s">
        <v>1218</v>
      </c>
      <c r="F362" s="28" t="s">
        <v>417</v>
      </c>
      <c r="G362" s="49" t="s">
        <v>6</v>
      </c>
      <c r="H362" s="6">
        <v>1155</v>
      </c>
    </row>
    <row r="363" spans="1:8" ht="15" customHeight="1" x14ac:dyDescent="0.25">
      <c r="A363" s="51"/>
      <c r="B363" s="47">
        <v>45986</v>
      </c>
      <c r="C363" s="48">
        <v>836977182</v>
      </c>
      <c r="D363" s="3">
        <v>25</v>
      </c>
      <c r="E363" s="28" t="s">
        <v>301</v>
      </c>
      <c r="F363" s="28" t="s">
        <v>417</v>
      </c>
      <c r="G363" s="49" t="s">
        <v>6</v>
      </c>
      <c r="H363" s="6">
        <v>1375</v>
      </c>
    </row>
    <row r="364" spans="1:8" ht="15" customHeight="1" x14ac:dyDescent="0.25">
      <c r="A364" s="51"/>
      <c r="B364" s="47">
        <v>45988</v>
      </c>
      <c r="C364" s="48">
        <v>2763738691</v>
      </c>
      <c r="D364" s="3">
        <v>59</v>
      </c>
      <c r="E364" s="28" t="s">
        <v>1219</v>
      </c>
      <c r="F364" s="28" t="s">
        <v>417</v>
      </c>
      <c r="G364" s="49" t="s">
        <v>19</v>
      </c>
      <c r="H364" s="6">
        <v>3245</v>
      </c>
    </row>
    <row r="365" spans="1:8" ht="20.100000000000001" customHeight="1" x14ac:dyDescent="0.25">
      <c r="A365" s="52"/>
      <c r="B365" s="13"/>
      <c r="C365" s="14"/>
      <c r="D365" s="14"/>
      <c r="E365" s="14" t="s">
        <v>5</v>
      </c>
      <c r="F365" s="15"/>
      <c r="G365" s="16"/>
      <c r="H365" s="17">
        <f>SUM(H3:H364)</f>
        <v>843486.98406000005</v>
      </c>
    </row>
    <row r="366" spans="1:8" ht="20.100000000000001" customHeight="1" x14ac:dyDescent="0.25">
      <c r="F366"/>
    </row>
    <row r="367" spans="1:8" x14ac:dyDescent="0.25">
      <c r="F367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5"/>
  <dimension ref="A1:H6"/>
  <sheetViews>
    <sheetView workbookViewId="0">
      <selection sqref="A1:A4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9" t="s">
        <v>61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80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80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6">
        <v>0</v>
      </c>
    </row>
    <row r="4" spans="1:8" ht="20.100000000000001" customHeight="1" x14ac:dyDescent="0.25">
      <c r="A4" s="81"/>
      <c r="B4" s="13"/>
      <c r="C4" s="14"/>
      <c r="D4" s="14"/>
      <c r="E4" s="14" t="s">
        <v>5</v>
      </c>
      <c r="F4" s="15"/>
      <c r="G4" s="16"/>
      <c r="H4" s="39">
        <f>SUM(H3:H3)</f>
        <v>0</v>
      </c>
    </row>
    <row r="5" spans="1:8" ht="20.100000000000001" customHeight="1" x14ac:dyDescent="0.25">
      <c r="F5"/>
    </row>
    <row r="6" spans="1:8" x14ac:dyDescent="0.25">
      <c r="F6"/>
    </row>
  </sheetData>
  <autoFilter ref="A1:H4" xr:uid="{00000000-0009-0000-0000-000023000000}"/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6"/>
  <dimension ref="A1:H10"/>
  <sheetViews>
    <sheetView workbookViewId="0">
      <pane ySplit="2" topLeftCell="A3" activePane="bottomLeft" state="frozen"/>
      <selection pane="bottomLeft" activeCell="E12" sqref="E12:E13"/>
    </sheetView>
  </sheetViews>
  <sheetFormatPr baseColWidth="10" defaultColWidth="9.140625" defaultRowHeight="15" x14ac:dyDescent="0.25"/>
  <cols>
    <col min="1" max="1" width="20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49.5" customHeight="1" x14ac:dyDescent="0.25">
      <c r="A1" s="76" t="s">
        <v>75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54"/>
      <c r="B3" s="2">
        <v>45699</v>
      </c>
      <c r="C3" s="3">
        <v>74205240</v>
      </c>
      <c r="D3" s="3">
        <v>1</v>
      </c>
      <c r="E3" s="4" t="s">
        <v>322</v>
      </c>
      <c r="F3" s="19" t="s">
        <v>75</v>
      </c>
      <c r="G3" s="10" t="s">
        <v>6</v>
      </c>
      <c r="H3" s="11">
        <v>215</v>
      </c>
    </row>
    <row r="4" spans="1:8" ht="15" customHeight="1" x14ac:dyDescent="0.25">
      <c r="A4" s="54"/>
      <c r="B4" s="2">
        <v>45818</v>
      </c>
      <c r="C4" s="3">
        <v>2018528804</v>
      </c>
      <c r="D4" s="3">
        <v>1</v>
      </c>
      <c r="E4" s="4" t="s">
        <v>146</v>
      </c>
      <c r="F4" s="19" t="s">
        <v>75</v>
      </c>
      <c r="G4" s="10" t="s">
        <v>6</v>
      </c>
      <c r="H4" s="11">
        <v>215</v>
      </c>
    </row>
    <row r="5" spans="1:8" ht="15" customHeight="1" x14ac:dyDescent="0.25">
      <c r="A5" s="54"/>
      <c r="B5" s="2">
        <v>45831</v>
      </c>
      <c r="C5" s="3">
        <v>3797240125</v>
      </c>
      <c r="D5" s="3">
        <v>1</v>
      </c>
      <c r="E5" s="4" t="s">
        <v>719</v>
      </c>
      <c r="F5" s="19" t="s">
        <v>75</v>
      </c>
      <c r="G5" s="10" t="s">
        <v>6</v>
      </c>
      <c r="H5" s="11">
        <v>215</v>
      </c>
    </row>
    <row r="6" spans="1:8" ht="15" customHeight="1" x14ac:dyDescent="0.25">
      <c r="A6" s="54"/>
      <c r="B6" s="2">
        <v>45840</v>
      </c>
      <c r="C6" s="3">
        <v>3509668118</v>
      </c>
      <c r="D6" s="3">
        <v>1</v>
      </c>
      <c r="E6" s="4" t="s">
        <v>530</v>
      </c>
      <c r="F6" s="19" t="s">
        <v>75</v>
      </c>
      <c r="G6" s="10" t="s">
        <v>19</v>
      </c>
      <c r="H6" s="11">
        <v>834</v>
      </c>
    </row>
    <row r="7" spans="1:8" ht="15" customHeight="1" x14ac:dyDescent="0.25">
      <c r="A7" s="54"/>
      <c r="B7" s="2">
        <v>45972</v>
      </c>
      <c r="C7" s="3">
        <v>4080093855</v>
      </c>
      <c r="D7" s="3">
        <v>1</v>
      </c>
      <c r="E7" s="4" t="s">
        <v>786</v>
      </c>
      <c r="F7" s="19" t="s">
        <v>75</v>
      </c>
      <c r="G7" s="10" t="s">
        <v>19</v>
      </c>
      <c r="H7" s="11">
        <v>800</v>
      </c>
    </row>
    <row r="8" spans="1:8" ht="20.100000000000001" customHeight="1" x14ac:dyDescent="0.25">
      <c r="A8" s="55"/>
      <c r="B8" s="13"/>
      <c r="C8" s="14"/>
      <c r="D8" s="14"/>
      <c r="E8" s="14" t="s">
        <v>5</v>
      </c>
      <c r="F8" s="15"/>
      <c r="G8" s="16"/>
      <c r="H8" s="39">
        <f>SUM(H3:H7)</f>
        <v>2279</v>
      </c>
    </row>
    <row r="9" spans="1:8" ht="20.100000000000001" customHeight="1" x14ac:dyDescent="0.25">
      <c r="F9"/>
    </row>
    <row r="10" spans="1:8" x14ac:dyDescent="0.25">
      <c r="F10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7"/>
  <dimension ref="A1:H6"/>
  <sheetViews>
    <sheetView workbookViewId="0">
      <pane ySplit="2" topLeftCell="A3" activePane="bottomLeft" state="frozen"/>
      <selection pane="bottomLeft" activeCell="B4" sqref="B4:H4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63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54"/>
      <c r="B3" s="2">
        <v>45720</v>
      </c>
      <c r="C3" s="3">
        <v>1008093920</v>
      </c>
      <c r="D3" s="3">
        <v>1</v>
      </c>
      <c r="E3" s="4" t="s">
        <v>514</v>
      </c>
      <c r="F3" s="19" t="s">
        <v>63</v>
      </c>
      <c r="G3" s="5" t="s">
        <v>11</v>
      </c>
      <c r="H3" s="6">
        <v>350</v>
      </c>
    </row>
    <row r="4" spans="1:8" ht="20.100000000000001" customHeight="1" x14ac:dyDescent="0.25">
      <c r="A4" s="54"/>
      <c r="B4" s="47">
        <v>45931</v>
      </c>
      <c r="C4" s="48">
        <v>1623343542</v>
      </c>
      <c r="D4" s="3">
        <v>1</v>
      </c>
      <c r="E4" s="28" t="s">
        <v>1074</v>
      </c>
      <c r="F4" s="28" t="s">
        <v>63</v>
      </c>
      <c r="G4" s="49" t="s">
        <v>1075</v>
      </c>
      <c r="H4" s="6">
        <v>350</v>
      </c>
    </row>
    <row r="5" spans="1:8" ht="20.100000000000001" customHeight="1" x14ac:dyDescent="0.25">
      <c r="A5" s="55"/>
      <c r="B5" s="13"/>
      <c r="C5" s="14"/>
      <c r="D5" s="14"/>
      <c r="E5" s="14" t="s">
        <v>5</v>
      </c>
      <c r="F5" s="15"/>
      <c r="G5" s="16"/>
      <c r="H5" s="17">
        <f>SUM(H3:H4)</f>
        <v>700</v>
      </c>
    </row>
    <row r="6" spans="1:8" ht="20.100000000000001" customHeight="1" x14ac:dyDescent="0.25">
      <c r="A6" s="7"/>
      <c r="B6" s="8"/>
      <c r="C6" s="8"/>
      <c r="D6" s="8"/>
      <c r="E6" s="8"/>
      <c r="F6" s="12"/>
      <c r="G6" s="8"/>
      <c r="H6" s="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8"/>
  <dimension ref="A1:H6"/>
  <sheetViews>
    <sheetView workbookViewId="0">
      <pane ySplit="2" topLeftCell="A3" activePane="bottomLeft" state="frozen"/>
      <selection pane="bottomLeft" sqref="A1:A4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64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77"/>
      <c r="B3" s="2">
        <v>45789</v>
      </c>
      <c r="C3" s="3">
        <v>1534545575</v>
      </c>
      <c r="D3" s="3">
        <v>1</v>
      </c>
      <c r="E3" s="4" t="s">
        <v>405</v>
      </c>
      <c r="F3" s="19" t="s">
        <v>733</v>
      </c>
      <c r="G3" s="5" t="s">
        <v>7</v>
      </c>
      <c r="H3" s="6">
        <v>300</v>
      </c>
    </row>
    <row r="4" spans="1:8" ht="20.100000000000001" customHeight="1" x14ac:dyDescent="0.25">
      <c r="A4" s="78"/>
      <c r="B4" s="13"/>
      <c r="C4" s="14"/>
      <c r="D4" s="14"/>
      <c r="E4" s="14" t="s">
        <v>5</v>
      </c>
      <c r="F4" s="15"/>
      <c r="G4" s="16"/>
      <c r="H4" s="17">
        <f>SUM(H3:H3)</f>
        <v>300</v>
      </c>
    </row>
    <row r="5" spans="1:8" ht="20.100000000000001" customHeight="1" x14ac:dyDescent="0.25">
      <c r="F5"/>
    </row>
    <row r="6" spans="1:8" x14ac:dyDescent="0.25">
      <c r="F6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39"/>
  <dimension ref="A1:H59"/>
  <sheetViews>
    <sheetView workbookViewId="0">
      <pane ySplit="2" topLeftCell="A33" activePane="bottomLeft" state="frozen"/>
      <selection pane="bottomLeft" activeCell="E44" sqref="E44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9" t="s">
        <v>66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80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80"/>
      <c r="B3" s="2">
        <v>45666</v>
      </c>
      <c r="C3" s="3">
        <v>739526846</v>
      </c>
      <c r="D3" s="3">
        <v>1</v>
      </c>
      <c r="E3" s="4" t="s">
        <v>146</v>
      </c>
      <c r="F3" s="19" t="s">
        <v>68</v>
      </c>
      <c r="G3" s="10" t="s">
        <v>7</v>
      </c>
      <c r="H3" s="11">
        <v>500</v>
      </c>
    </row>
    <row r="4" spans="1:8" ht="20.100000000000001" customHeight="1" x14ac:dyDescent="0.25">
      <c r="A4" s="80"/>
      <c r="B4" s="2">
        <v>45670</v>
      </c>
      <c r="C4" s="3">
        <v>905790537</v>
      </c>
      <c r="D4" s="3">
        <v>5</v>
      </c>
      <c r="E4" s="4" t="s">
        <v>186</v>
      </c>
      <c r="F4" s="19" t="s">
        <v>68</v>
      </c>
      <c r="G4" s="10" t="s">
        <v>6</v>
      </c>
      <c r="H4" s="11">
        <v>2500</v>
      </c>
    </row>
    <row r="5" spans="1:8" ht="20.100000000000001" customHeight="1" x14ac:dyDescent="0.25">
      <c r="A5" s="80"/>
      <c r="B5" s="2">
        <v>45672</v>
      </c>
      <c r="C5" s="3">
        <v>45565309</v>
      </c>
      <c r="D5" s="3">
        <v>1</v>
      </c>
      <c r="E5" s="4" t="s">
        <v>166</v>
      </c>
      <c r="F5" s="19" t="s">
        <v>187</v>
      </c>
      <c r="G5" s="10" t="s">
        <v>7</v>
      </c>
      <c r="H5" s="11">
        <v>250</v>
      </c>
    </row>
    <row r="6" spans="1:8" ht="20.100000000000001" customHeight="1" x14ac:dyDescent="0.25">
      <c r="A6" s="80"/>
      <c r="B6" s="2">
        <v>45681</v>
      </c>
      <c r="C6" s="3">
        <v>3918743687</v>
      </c>
      <c r="D6" s="3">
        <v>2</v>
      </c>
      <c r="E6" s="4" t="s">
        <v>188</v>
      </c>
      <c r="F6" s="19" t="s">
        <v>68</v>
      </c>
      <c r="G6" s="10" t="s">
        <v>11</v>
      </c>
      <c r="H6" s="11">
        <v>1000</v>
      </c>
    </row>
    <row r="7" spans="1:8" ht="20.100000000000001" customHeight="1" x14ac:dyDescent="0.25">
      <c r="A7" s="80"/>
      <c r="B7" s="2">
        <v>45712</v>
      </c>
      <c r="C7" s="3">
        <v>3022865855</v>
      </c>
      <c r="D7" s="3">
        <v>10</v>
      </c>
      <c r="E7" s="4" t="s">
        <v>323</v>
      </c>
      <c r="F7" s="19" t="s">
        <v>68</v>
      </c>
      <c r="G7" s="10" t="s">
        <v>7</v>
      </c>
      <c r="H7" s="11">
        <v>5000</v>
      </c>
    </row>
    <row r="8" spans="1:8" ht="20.100000000000001" customHeight="1" x14ac:dyDescent="0.25">
      <c r="A8" s="80"/>
      <c r="B8" s="2">
        <v>45756</v>
      </c>
      <c r="C8" s="3">
        <v>1936019003</v>
      </c>
      <c r="D8" s="3">
        <v>6</v>
      </c>
      <c r="E8" s="4" t="s">
        <v>576</v>
      </c>
      <c r="F8" s="19" t="s">
        <v>68</v>
      </c>
      <c r="G8" s="10" t="s">
        <v>7</v>
      </c>
      <c r="H8" s="11">
        <v>3000</v>
      </c>
    </row>
    <row r="9" spans="1:8" ht="20.100000000000001" customHeight="1" x14ac:dyDescent="0.25">
      <c r="A9" s="80"/>
      <c r="B9" s="2">
        <v>45776</v>
      </c>
      <c r="C9" s="3">
        <v>995378395</v>
      </c>
      <c r="D9" s="3">
        <v>4</v>
      </c>
      <c r="E9" s="4" t="s">
        <v>577</v>
      </c>
      <c r="F9" s="19" t="s">
        <v>68</v>
      </c>
      <c r="G9" s="10" t="s">
        <v>6</v>
      </c>
      <c r="H9" s="11">
        <v>2000</v>
      </c>
    </row>
    <row r="10" spans="1:8" ht="15.75" x14ac:dyDescent="0.25">
      <c r="A10" s="80"/>
      <c r="B10" s="2">
        <v>45776</v>
      </c>
      <c r="C10" s="3">
        <v>2809219912</v>
      </c>
      <c r="D10" s="3">
        <v>5</v>
      </c>
      <c r="E10" s="4" t="s">
        <v>578</v>
      </c>
      <c r="F10" s="19" t="s">
        <v>68</v>
      </c>
      <c r="G10" s="10" t="s">
        <v>7</v>
      </c>
      <c r="H10" s="11">
        <v>2500</v>
      </c>
    </row>
    <row r="11" spans="1:8" ht="20.100000000000001" customHeight="1" x14ac:dyDescent="0.25">
      <c r="A11" s="80"/>
      <c r="B11" s="2">
        <v>45803</v>
      </c>
      <c r="C11" s="3">
        <v>287264058</v>
      </c>
      <c r="D11" s="3">
        <v>4</v>
      </c>
      <c r="E11" s="4" t="s">
        <v>720</v>
      </c>
      <c r="F11" s="19" t="s">
        <v>68</v>
      </c>
      <c r="G11" s="10" t="s">
        <v>11</v>
      </c>
      <c r="H11" s="11">
        <v>2000</v>
      </c>
    </row>
    <row r="12" spans="1:8" ht="20.100000000000001" customHeight="1" x14ac:dyDescent="0.25">
      <c r="A12" s="80"/>
      <c r="B12" s="2">
        <v>45804</v>
      </c>
      <c r="C12" s="3">
        <v>2699905112</v>
      </c>
      <c r="D12" s="3">
        <v>5</v>
      </c>
      <c r="E12" s="4" t="s">
        <v>721</v>
      </c>
      <c r="F12" s="19" t="s">
        <v>68</v>
      </c>
      <c r="G12" s="10" t="s">
        <v>19</v>
      </c>
      <c r="H12" s="11">
        <v>2500</v>
      </c>
    </row>
    <row r="13" spans="1:8" ht="20.100000000000001" customHeight="1" x14ac:dyDescent="0.25">
      <c r="A13" s="80"/>
      <c r="B13" s="2">
        <v>45810</v>
      </c>
      <c r="C13" s="3">
        <v>1718570249</v>
      </c>
      <c r="D13" s="3">
        <v>5</v>
      </c>
      <c r="E13" s="4" t="s">
        <v>722</v>
      </c>
      <c r="F13" s="19" t="s">
        <v>723</v>
      </c>
      <c r="G13" s="10" t="s">
        <v>6</v>
      </c>
      <c r="H13" s="11">
        <v>2500</v>
      </c>
    </row>
    <row r="14" spans="1:8" ht="20.100000000000001" customHeight="1" x14ac:dyDescent="0.25">
      <c r="A14" s="80"/>
      <c r="B14" s="2">
        <v>45810</v>
      </c>
      <c r="C14" s="3">
        <v>3128247891</v>
      </c>
      <c r="D14" s="3">
        <v>5</v>
      </c>
      <c r="E14" s="4" t="s">
        <v>628</v>
      </c>
      <c r="F14" s="19" t="s">
        <v>723</v>
      </c>
      <c r="G14" s="10" t="s">
        <v>7</v>
      </c>
      <c r="H14" s="11">
        <v>2500</v>
      </c>
    </row>
    <row r="15" spans="1:8" ht="20.100000000000001" customHeight="1" x14ac:dyDescent="0.25">
      <c r="A15" s="80"/>
      <c r="B15" s="2">
        <v>45810</v>
      </c>
      <c r="C15" s="3">
        <v>2274314099</v>
      </c>
      <c r="D15" s="3">
        <v>2</v>
      </c>
      <c r="E15" s="4" t="s">
        <v>724</v>
      </c>
      <c r="F15" s="19" t="s">
        <v>723</v>
      </c>
      <c r="G15" s="10" t="s">
        <v>6</v>
      </c>
      <c r="H15" s="11">
        <v>1000</v>
      </c>
    </row>
    <row r="16" spans="1:8" ht="20.100000000000001" customHeight="1" x14ac:dyDescent="0.25">
      <c r="A16" s="80"/>
      <c r="B16" s="2">
        <v>45819</v>
      </c>
      <c r="C16" s="3">
        <v>305483539</v>
      </c>
      <c r="D16" s="3">
        <v>6</v>
      </c>
      <c r="E16" s="4" t="s">
        <v>643</v>
      </c>
      <c r="F16" s="19" t="s">
        <v>68</v>
      </c>
      <c r="G16" s="10" t="s">
        <v>6</v>
      </c>
      <c r="H16" s="11">
        <v>3000</v>
      </c>
    </row>
    <row r="17" spans="1:8" ht="20.100000000000001" customHeight="1" x14ac:dyDescent="0.25">
      <c r="A17" s="80"/>
      <c r="B17" s="2">
        <v>45826</v>
      </c>
      <c r="C17" s="3">
        <v>4149824284</v>
      </c>
      <c r="D17" s="3">
        <v>5</v>
      </c>
      <c r="E17" s="4" t="s">
        <v>705</v>
      </c>
      <c r="F17" s="19" t="s">
        <v>68</v>
      </c>
      <c r="G17" s="10" t="s">
        <v>7</v>
      </c>
      <c r="H17" s="11">
        <v>2500</v>
      </c>
    </row>
    <row r="18" spans="1:8" ht="20.100000000000001" customHeight="1" x14ac:dyDescent="0.25">
      <c r="A18" s="80"/>
      <c r="B18" s="2">
        <v>45835</v>
      </c>
      <c r="C18" s="3">
        <v>2470071876</v>
      </c>
      <c r="D18" s="3">
        <v>5</v>
      </c>
      <c r="E18" s="4" t="s">
        <v>312</v>
      </c>
      <c r="F18" s="19" t="s">
        <v>68</v>
      </c>
      <c r="G18" s="10" t="s">
        <v>19</v>
      </c>
      <c r="H18" s="11">
        <v>2500</v>
      </c>
    </row>
    <row r="19" spans="1:8" ht="20.100000000000001" customHeight="1" x14ac:dyDescent="0.25">
      <c r="A19" s="80"/>
      <c r="B19" s="2">
        <v>45852</v>
      </c>
      <c r="C19" s="3">
        <v>2383888716</v>
      </c>
      <c r="D19" s="3">
        <v>10</v>
      </c>
      <c r="E19" s="4" t="s">
        <v>749</v>
      </c>
      <c r="F19" s="19" t="s">
        <v>68</v>
      </c>
      <c r="G19" s="10" t="s">
        <v>10</v>
      </c>
      <c r="H19" s="11">
        <v>5000</v>
      </c>
    </row>
    <row r="20" spans="1:8" ht="20.100000000000001" customHeight="1" x14ac:dyDescent="0.25">
      <c r="A20" s="80"/>
      <c r="B20" s="2">
        <v>45855</v>
      </c>
      <c r="C20" s="3">
        <v>3902361099</v>
      </c>
      <c r="D20" s="3">
        <v>3</v>
      </c>
      <c r="E20" s="4" t="s">
        <v>873</v>
      </c>
      <c r="F20" s="19" t="s">
        <v>68</v>
      </c>
      <c r="G20" s="10" t="s">
        <v>10</v>
      </c>
      <c r="H20" s="11">
        <v>1500</v>
      </c>
    </row>
    <row r="21" spans="1:8" ht="20.100000000000001" customHeight="1" x14ac:dyDescent="0.25">
      <c r="A21" s="80"/>
      <c r="B21" s="2">
        <v>45881</v>
      </c>
      <c r="C21" s="3">
        <v>1834369444</v>
      </c>
      <c r="D21" s="3">
        <v>10</v>
      </c>
      <c r="E21" s="4" t="s">
        <v>924</v>
      </c>
      <c r="F21" s="4" t="s">
        <v>68</v>
      </c>
      <c r="G21" s="5" t="s">
        <v>6</v>
      </c>
      <c r="H21" s="6">
        <v>5000</v>
      </c>
    </row>
    <row r="22" spans="1:8" ht="20.100000000000001" customHeight="1" x14ac:dyDescent="0.25">
      <c r="A22" s="80"/>
      <c r="B22" s="2">
        <v>45881</v>
      </c>
      <c r="C22" s="3">
        <v>1149518204</v>
      </c>
      <c r="D22" s="3">
        <v>5</v>
      </c>
      <c r="E22" s="4" t="s">
        <v>925</v>
      </c>
      <c r="F22" s="4" t="s">
        <v>68</v>
      </c>
      <c r="G22" s="5" t="s">
        <v>7</v>
      </c>
      <c r="H22" s="6">
        <v>2500</v>
      </c>
    </row>
    <row r="23" spans="1:8" ht="20.100000000000001" customHeight="1" x14ac:dyDescent="0.25">
      <c r="A23" s="80"/>
      <c r="B23" s="2">
        <v>45882</v>
      </c>
      <c r="C23" s="3">
        <v>320490447</v>
      </c>
      <c r="D23" s="3">
        <v>5</v>
      </c>
      <c r="E23" s="4" t="s">
        <v>931</v>
      </c>
      <c r="F23" s="4" t="s">
        <v>68</v>
      </c>
      <c r="G23" s="5" t="s">
        <v>7</v>
      </c>
      <c r="H23" s="6">
        <v>2500</v>
      </c>
    </row>
    <row r="24" spans="1:8" ht="20.100000000000001" customHeight="1" x14ac:dyDescent="0.25">
      <c r="A24" s="80"/>
      <c r="B24" s="2">
        <v>45887</v>
      </c>
      <c r="C24" s="3">
        <v>217925739</v>
      </c>
      <c r="D24" s="3">
        <v>6</v>
      </c>
      <c r="E24" s="4" t="s">
        <v>932</v>
      </c>
      <c r="F24" s="4" t="s">
        <v>68</v>
      </c>
      <c r="G24" s="5" t="s">
        <v>10</v>
      </c>
      <c r="H24" s="6">
        <v>3000</v>
      </c>
    </row>
    <row r="25" spans="1:8" ht="20.100000000000001" customHeight="1" x14ac:dyDescent="0.25">
      <c r="A25" s="80"/>
      <c r="B25" s="2">
        <v>45888</v>
      </c>
      <c r="C25" s="3">
        <v>1500728333</v>
      </c>
      <c r="D25" s="3">
        <v>6</v>
      </c>
      <c r="E25" s="4" t="s">
        <v>933</v>
      </c>
      <c r="F25" s="4" t="s">
        <v>68</v>
      </c>
      <c r="G25" s="5" t="s">
        <v>19</v>
      </c>
      <c r="H25" s="6">
        <v>3000</v>
      </c>
    </row>
    <row r="26" spans="1:8" ht="20.100000000000001" customHeight="1" x14ac:dyDescent="0.25">
      <c r="A26" s="80"/>
      <c r="B26" s="2">
        <v>45894</v>
      </c>
      <c r="C26" s="3">
        <v>3849536817</v>
      </c>
      <c r="D26" s="3">
        <v>5</v>
      </c>
      <c r="E26" s="4" t="s">
        <v>934</v>
      </c>
      <c r="F26" s="4" t="s">
        <v>68</v>
      </c>
      <c r="G26" s="5" t="s">
        <v>6</v>
      </c>
      <c r="H26" s="6">
        <v>2500</v>
      </c>
    </row>
    <row r="27" spans="1:8" ht="20.100000000000001" customHeight="1" x14ac:dyDescent="0.25">
      <c r="A27" s="80"/>
      <c r="B27" s="2">
        <v>45894</v>
      </c>
      <c r="C27" s="3">
        <v>2782875436</v>
      </c>
      <c r="D27" s="3">
        <v>6</v>
      </c>
      <c r="E27" s="4" t="s">
        <v>935</v>
      </c>
      <c r="F27" s="4" t="s">
        <v>68</v>
      </c>
      <c r="G27" s="5" t="s">
        <v>7</v>
      </c>
      <c r="H27" s="6">
        <v>3000</v>
      </c>
    </row>
    <row r="28" spans="1:8" ht="20.100000000000001" customHeight="1" x14ac:dyDescent="0.25">
      <c r="A28" s="80"/>
      <c r="B28" s="2">
        <v>45896</v>
      </c>
      <c r="C28" s="3">
        <v>3884401090</v>
      </c>
      <c r="D28" s="3">
        <v>5</v>
      </c>
      <c r="E28" s="4" t="s">
        <v>936</v>
      </c>
      <c r="F28" s="4" t="s">
        <v>68</v>
      </c>
      <c r="G28" s="5" t="s">
        <v>7</v>
      </c>
      <c r="H28" s="6">
        <v>2500</v>
      </c>
    </row>
    <row r="29" spans="1:8" ht="20.100000000000001" customHeight="1" x14ac:dyDescent="0.25">
      <c r="A29" s="80"/>
      <c r="B29" s="47">
        <v>45902</v>
      </c>
      <c r="C29" s="48">
        <v>602030791</v>
      </c>
      <c r="D29" s="3">
        <v>6</v>
      </c>
      <c r="E29" s="28" t="s">
        <v>997</v>
      </c>
      <c r="F29" s="28" t="s">
        <v>68</v>
      </c>
      <c r="G29" s="49" t="s">
        <v>6</v>
      </c>
      <c r="H29" s="6">
        <v>3000</v>
      </c>
    </row>
    <row r="30" spans="1:8" ht="20.100000000000001" customHeight="1" x14ac:dyDescent="0.25">
      <c r="A30" s="80"/>
      <c r="B30" s="47">
        <v>45908</v>
      </c>
      <c r="C30" s="48">
        <v>1331250052</v>
      </c>
      <c r="D30" s="3">
        <v>5</v>
      </c>
      <c r="E30" s="28" t="s">
        <v>1013</v>
      </c>
      <c r="F30" s="28" t="s">
        <v>68</v>
      </c>
      <c r="G30" s="49" t="s">
        <v>6</v>
      </c>
      <c r="H30" s="6">
        <v>2500</v>
      </c>
    </row>
    <row r="31" spans="1:8" ht="20.100000000000001" customHeight="1" x14ac:dyDescent="0.25">
      <c r="A31" s="80"/>
      <c r="B31" s="47">
        <v>45912</v>
      </c>
      <c r="C31" s="48">
        <v>1249723795</v>
      </c>
      <c r="D31" s="3">
        <v>4</v>
      </c>
      <c r="E31" s="28" t="s">
        <v>1014</v>
      </c>
      <c r="F31" s="28" t="s">
        <v>68</v>
      </c>
      <c r="G31" s="49" t="s">
        <v>6</v>
      </c>
      <c r="H31" s="6">
        <v>2000</v>
      </c>
    </row>
    <row r="32" spans="1:8" ht="20.100000000000001" customHeight="1" x14ac:dyDescent="0.25">
      <c r="A32" s="80"/>
      <c r="B32" s="47">
        <v>45916</v>
      </c>
      <c r="C32" s="48">
        <v>2515025969</v>
      </c>
      <c r="D32" s="3">
        <v>6</v>
      </c>
      <c r="E32" s="28" t="s">
        <v>1015</v>
      </c>
      <c r="F32" s="28" t="s">
        <v>68</v>
      </c>
      <c r="G32" s="49" t="s">
        <v>7</v>
      </c>
      <c r="H32" s="6">
        <v>3000</v>
      </c>
    </row>
    <row r="33" spans="1:8" ht="20.100000000000001" customHeight="1" x14ac:dyDescent="0.25">
      <c r="A33" s="80"/>
      <c r="B33" s="47">
        <v>45917</v>
      </c>
      <c r="C33" s="48">
        <v>1629635569</v>
      </c>
      <c r="D33" s="3">
        <v>5</v>
      </c>
      <c r="E33" s="28" t="s">
        <v>1016</v>
      </c>
      <c r="F33" s="28" t="s">
        <v>68</v>
      </c>
      <c r="G33" s="49" t="s">
        <v>10</v>
      </c>
      <c r="H33" s="6">
        <v>2500</v>
      </c>
    </row>
    <row r="34" spans="1:8" ht="20.100000000000001" customHeight="1" x14ac:dyDescent="0.25">
      <c r="A34" s="80"/>
      <c r="B34" s="47">
        <v>45919</v>
      </c>
      <c r="C34" s="48">
        <v>4085599445</v>
      </c>
      <c r="D34" s="3">
        <v>6</v>
      </c>
      <c r="E34" s="28" t="s">
        <v>1017</v>
      </c>
      <c r="F34" s="28" t="s">
        <v>68</v>
      </c>
      <c r="G34" s="49" t="s">
        <v>6</v>
      </c>
      <c r="H34" s="6">
        <v>3000</v>
      </c>
    </row>
    <row r="35" spans="1:8" ht="20.100000000000001" customHeight="1" x14ac:dyDescent="0.25">
      <c r="A35" s="80"/>
      <c r="B35" s="47">
        <v>45925</v>
      </c>
      <c r="C35" s="48">
        <v>1279806578</v>
      </c>
      <c r="D35" s="3">
        <v>4</v>
      </c>
      <c r="E35" s="28" t="s">
        <v>986</v>
      </c>
      <c r="F35" s="28" t="s">
        <v>68</v>
      </c>
      <c r="G35" s="49" t="s">
        <v>7</v>
      </c>
      <c r="H35" s="6">
        <v>2000</v>
      </c>
    </row>
    <row r="36" spans="1:8" ht="20.100000000000001" customHeight="1" x14ac:dyDescent="0.25">
      <c r="A36" s="80"/>
      <c r="B36" s="47">
        <v>45930</v>
      </c>
      <c r="C36" s="48">
        <v>3580314771</v>
      </c>
      <c r="D36" s="3">
        <v>3</v>
      </c>
      <c r="E36" s="28" t="s">
        <v>1018</v>
      </c>
      <c r="F36" s="28" t="s">
        <v>68</v>
      </c>
      <c r="G36" s="49" t="s">
        <v>19</v>
      </c>
      <c r="H36" s="6">
        <v>1500</v>
      </c>
    </row>
    <row r="37" spans="1:8" ht="20.100000000000001" customHeight="1" x14ac:dyDescent="0.25">
      <c r="A37" s="80"/>
      <c r="B37" s="47">
        <v>45930</v>
      </c>
      <c r="C37" s="48">
        <v>2290829128</v>
      </c>
      <c r="D37" s="3">
        <v>4</v>
      </c>
      <c r="E37" s="28" t="s">
        <v>1019</v>
      </c>
      <c r="F37" s="28" t="s">
        <v>68</v>
      </c>
      <c r="G37" s="49" t="s">
        <v>11</v>
      </c>
      <c r="H37" s="6">
        <v>2000</v>
      </c>
    </row>
    <row r="38" spans="1:8" ht="20.100000000000001" customHeight="1" x14ac:dyDescent="0.25">
      <c r="A38" s="80"/>
      <c r="B38" s="47">
        <v>45931</v>
      </c>
      <c r="C38" s="48">
        <v>3305456048</v>
      </c>
      <c r="D38" s="3">
        <v>3</v>
      </c>
      <c r="E38" s="28" t="s">
        <v>1015</v>
      </c>
      <c r="F38" s="28" t="s">
        <v>68</v>
      </c>
      <c r="G38" s="49" t="s">
        <v>6</v>
      </c>
      <c r="H38" s="6">
        <v>1500</v>
      </c>
    </row>
    <row r="39" spans="1:8" ht="20.100000000000001" customHeight="1" x14ac:dyDescent="0.25">
      <c r="A39" s="80"/>
      <c r="B39" s="47">
        <v>45936</v>
      </c>
      <c r="C39" s="48">
        <v>1045053830</v>
      </c>
      <c r="D39" s="3">
        <v>2</v>
      </c>
      <c r="E39" s="28" t="s">
        <v>1076</v>
      </c>
      <c r="F39" s="28" t="s">
        <v>68</v>
      </c>
      <c r="G39" s="49" t="s">
        <v>11</v>
      </c>
      <c r="H39" s="6">
        <v>1000</v>
      </c>
    </row>
    <row r="40" spans="1:8" ht="20.100000000000001" customHeight="1" x14ac:dyDescent="0.25">
      <c r="A40" s="80"/>
      <c r="B40" s="47">
        <v>45945</v>
      </c>
      <c r="C40" s="48">
        <v>552553161</v>
      </c>
      <c r="D40" s="3">
        <v>2</v>
      </c>
      <c r="E40" s="28" t="s">
        <v>1076</v>
      </c>
      <c r="F40" s="28" t="s">
        <v>68</v>
      </c>
      <c r="G40" s="49" t="s">
        <v>7</v>
      </c>
      <c r="H40" s="6">
        <v>1000</v>
      </c>
    </row>
    <row r="41" spans="1:8" ht="20.100000000000001" customHeight="1" x14ac:dyDescent="0.25">
      <c r="A41" s="80"/>
      <c r="B41" s="47">
        <v>45946</v>
      </c>
      <c r="C41" s="48">
        <v>1453279566</v>
      </c>
      <c r="D41" s="3">
        <v>3</v>
      </c>
      <c r="E41" s="28" t="s">
        <v>1013</v>
      </c>
      <c r="F41" s="28" t="s">
        <v>68</v>
      </c>
      <c r="G41" s="49" t="s">
        <v>6</v>
      </c>
      <c r="H41" s="6">
        <v>1500</v>
      </c>
    </row>
    <row r="42" spans="1:8" ht="20.100000000000001" customHeight="1" x14ac:dyDescent="0.25">
      <c r="A42" s="80"/>
      <c r="B42" s="47">
        <v>45954</v>
      </c>
      <c r="C42" s="48">
        <v>1260995276</v>
      </c>
      <c r="D42" s="3">
        <v>5</v>
      </c>
      <c r="E42" s="28" t="s">
        <v>188</v>
      </c>
      <c r="F42" s="28" t="s">
        <v>68</v>
      </c>
      <c r="G42" s="49" t="s">
        <v>7</v>
      </c>
      <c r="H42" s="6">
        <v>2500</v>
      </c>
    </row>
    <row r="43" spans="1:8" ht="20.100000000000001" customHeight="1" x14ac:dyDescent="0.25">
      <c r="A43" s="80"/>
      <c r="B43" s="47">
        <v>45957</v>
      </c>
      <c r="C43" s="48">
        <v>3636743796</v>
      </c>
      <c r="D43" s="3">
        <v>4</v>
      </c>
      <c r="E43" s="28" t="s">
        <v>577</v>
      </c>
      <c r="F43" s="28" t="s">
        <v>68</v>
      </c>
      <c r="G43" s="49" t="s">
        <v>6</v>
      </c>
      <c r="H43" s="6">
        <v>2000</v>
      </c>
    </row>
    <row r="44" spans="1:8" ht="20.100000000000001" customHeight="1" x14ac:dyDescent="0.25">
      <c r="A44" s="80"/>
      <c r="B44" s="47">
        <v>45957</v>
      </c>
      <c r="C44" s="48">
        <v>912281188</v>
      </c>
      <c r="D44" s="3">
        <v>3</v>
      </c>
      <c r="E44" s="28" t="s">
        <v>1077</v>
      </c>
      <c r="F44" s="28" t="s">
        <v>68</v>
      </c>
      <c r="G44" s="49" t="s">
        <v>7</v>
      </c>
      <c r="H44" s="6">
        <v>1500</v>
      </c>
    </row>
    <row r="45" spans="1:8" ht="20.100000000000001" customHeight="1" x14ac:dyDescent="0.25">
      <c r="A45" s="80"/>
      <c r="B45" s="2">
        <v>45964</v>
      </c>
      <c r="C45" s="3">
        <v>3014542956</v>
      </c>
      <c r="D45" s="3">
        <v>6</v>
      </c>
      <c r="E45" s="4" t="s">
        <v>1220</v>
      </c>
      <c r="F45" s="19" t="s">
        <v>68</v>
      </c>
      <c r="G45" s="10" t="s">
        <v>7</v>
      </c>
      <c r="H45" s="11">
        <v>3000</v>
      </c>
    </row>
    <row r="46" spans="1:8" ht="20.100000000000001" customHeight="1" x14ac:dyDescent="0.25">
      <c r="A46" s="80"/>
      <c r="B46" s="2">
        <v>45964</v>
      </c>
      <c r="C46" s="3">
        <v>1119895777</v>
      </c>
      <c r="D46" s="3">
        <v>4</v>
      </c>
      <c r="E46" s="4" t="s">
        <v>1221</v>
      </c>
      <c r="F46" s="19" t="s">
        <v>68</v>
      </c>
      <c r="G46" s="10" t="s">
        <v>11</v>
      </c>
      <c r="H46" s="11">
        <v>2000</v>
      </c>
    </row>
    <row r="47" spans="1:8" ht="20.100000000000001" customHeight="1" x14ac:dyDescent="0.25">
      <c r="A47" s="80"/>
      <c r="B47" s="2">
        <v>45971</v>
      </c>
      <c r="C47" s="3">
        <v>279136306</v>
      </c>
      <c r="D47" s="3">
        <v>3</v>
      </c>
      <c r="E47" s="4" t="s">
        <v>1222</v>
      </c>
      <c r="F47" s="19" t="s">
        <v>68</v>
      </c>
      <c r="G47" s="10" t="s">
        <v>6</v>
      </c>
      <c r="H47" s="11">
        <v>1500</v>
      </c>
    </row>
    <row r="48" spans="1:8" ht="20.100000000000001" customHeight="1" x14ac:dyDescent="0.25">
      <c r="A48" s="80"/>
      <c r="B48" s="2">
        <v>45978</v>
      </c>
      <c r="C48" s="3">
        <v>3996077165</v>
      </c>
      <c r="D48" s="3">
        <v>4</v>
      </c>
      <c r="E48" s="4" t="s">
        <v>1223</v>
      </c>
      <c r="F48" s="19" t="s">
        <v>68</v>
      </c>
      <c r="G48" s="10" t="s">
        <v>7</v>
      </c>
      <c r="H48" s="11">
        <v>2000</v>
      </c>
    </row>
    <row r="49" spans="1:8" ht="20.100000000000001" customHeight="1" x14ac:dyDescent="0.25">
      <c r="A49" s="80"/>
      <c r="B49" s="2">
        <v>45980</v>
      </c>
      <c r="C49" s="3">
        <v>2442874735</v>
      </c>
      <c r="D49" s="3">
        <v>5</v>
      </c>
      <c r="E49" s="4" t="s">
        <v>1224</v>
      </c>
      <c r="F49" s="19" t="s">
        <v>68</v>
      </c>
      <c r="G49" s="10" t="s">
        <v>7</v>
      </c>
      <c r="H49" s="11">
        <v>2500</v>
      </c>
    </row>
    <row r="50" spans="1:8" ht="20.100000000000001" customHeight="1" x14ac:dyDescent="0.25">
      <c r="A50" s="80"/>
      <c r="B50" s="2">
        <v>45992</v>
      </c>
      <c r="C50" s="3">
        <v>649085232</v>
      </c>
      <c r="D50" s="3">
        <v>6</v>
      </c>
      <c r="E50" s="4" t="s">
        <v>1268</v>
      </c>
      <c r="F50" s="19" t="s">
        <v>68</v>
      </c>
      <c r="G50" s="10" t="s">
        <v>7</v>
      </c>
      <c r="H50" s="11">
        <v>3000</v>
      </c>
    </row>
    <row r="51" spans="1:8" ht="20.100000000000001" customHeight="1" x14ac:dyDescent="0.25">
      <c r="A51" s="80"/>
      <c r="B51" s="2">
        <v>45992</v>
      </c>
      <c r="C51" s="3">
        <v>1665550484</v>
      </c>
      <c r="D51" s="3">
        <v>6</v>
      </c>
      <c r="E51" s="4" t="s">
        <v>1263</v>
      </c>
      <c r="F51" s="19" t="s">
        <v>68</v>
      </c>
      <c r="G51" s="10" t="s">
        <v>6</v>
      </c>
      <c r="H51" s="11">
        <v>3000</v>
      </c>
    </row>
    <row r="52" spans="1:8" ht="20.100000000000001" customHeight="1" x14ac:dyDescent="0.25">
      <c r="A52" s="80"/>
      <c r="B52" s="2">
        <v>45994</v>
      </c>
      <c r="C52" s="3">
        <v>1810714350</v>
      </c>
      <c r="D52" s="3">
        <v>3</v>
      </c>
      <c r="E52" s="4" t="s">
        <v>1269</v>
      </c>
      <c r="F52" s="19" t="s">
        <v>68</v>
      </c>
      <c r="G52" s="10" t="s">
        <v>6</v>
      </c>
      <c r="H52" s="11">
        <v>1500</v>
      </c>
    </row>
    <row r="53" spans="1:8" ht="20.100000000000001" customHeight="1" x14ac:dyDescent="0.25">
      <c r="A53" s="80"/>
      <c r="B53" s="2">
        <v>45996</v>
      </c>
      <c r="C53" s="3">
        <v>70534104</v>
      </c>
      <c r="D53" s="3">
        <v>5</v>
      </c>
      <c r="E53" s="4" t="s">
        <v>397</v>
      </c>
      <c r="F53" s="19" t="s">
        <v>68</v>
      </c>
      <c r="G53" s="10" t="s">
        <v>6</v>
      </c>
      <c r="H53" s="11">
        <v>2500</v>
      </c>
    </row>
    <row r="54" spans="1:8" ht="20.100000000000001" customHeight="1" x14ac:dyDescent="0.25">
      <c r="A54" s="80"/>
      <c r="B54" s="2">
        <v>46002</v>
      </c>
      <c r="C54" s="3">
        <v>369705254</v>
      </c>
      <c r="D54" s="3">
        <v>4</v>
      </c>
      <c r="E54" s="4" t="s">
        <v>1270</v>
      </c>
      <c r="F54" s="19" t="s">
        <v>68</v>
      </c>
      <c r="G54" s="10" t="s">
        <v>6</v>
      </c>
      <c r="H54" s="11">
        <v>2000</v>
      </c>
    </row>
    <row r="55" spans="1:8" ht="20.100000000000001" customHeight="1" x14ac:dyDescent="0.25">
      <c r="A55" s="80"/>
      <c r="B55" s="2">
        <v>46007</v>
      </c>
      <c r="C55" s="3">
        <v>3212722488</v>
      </c>
      <c r="D55" s="3">
        <v>5</v>
      </c>
      <c r="E55" s="4" t="s">
        <v>542</v>
      </c>
      <c r="F55" s="19" t="s">
        <v>68</v>
      </c>
      <c r="G55" s="10" t="s">
        <v>6</v>
      </c>
      <c r="H55" s="11">
        <v>2500</v>
      </c>
    </row>
    <row r="56" spans="1:8" ht="20.100000000000001" customHeight="1" x14ac:dyDescent="0.25">
      <c r="A56" s="80"/>
      <c r="B56" s="2">
        <v>46010</v>
      </c>
      <c r="C56" s="3">
        <v>4063840383</v>
      </c>
      <c r="D56" s="3">
        <v>4</v>
      </c>
      <c r="E56" s="4" t="s">
        <v>1262</v>
      </c>
      <c r="F56" s="19" t="s">
        <v>68</v>
      </c>
      <c r="G56" s="10" t="s">
        <v>6</v>
      </c>
      <c r="H56" s="11">
        <v>2000</v>
      </c>
    </row>
    <row r="57" spans="1:8" ht="20.100000000000001" customHeight="1" x14ac:dyDescent="0.25">
      <c r="A57" s="81"/>
      <c r="B57" s="13"/>
      <c r="C57" s="14"/>
      <c r="D57" s="14"/>
      <c r="E57" s="14" t="s">
        <v>5</v>
      </c>
      <c r="F57" s="15"/>
      <c r="G57" s="16"/>
      <c r="H57" s="17">
        <f>SUM(H3:H56)</f>
        <v>125750</v>
      </c>
    </row>
    <row r="58" spans="1:8" ht="20.100000000000001" customHeight="1" x14ac:dyDescent="0.25">
      <c r="F58"/>
    </row>
    <row r="59" spans="1:8" x14ac:dyDescent="0.25">
      <c r="F5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0"/>
  <dimension ref="A1:H70"/>
  <sheetViews>
    <sheetView workbookViewId="0">
      <pane ySplit="2" topLeftCell="A23" activePane="bottomLeft" state="frozen"/>
      <selection pane="bottomLeft" sqref="A1:A68"/>
    </sheetView>
  </sheetViews>
  <sheetFormatPr baseColWidth="10" defaultColWidth="9.140625" defaultRowHeight="15" x14ac:dyDescent="0.25"/>
  <cols>
    <col min="1" max="1" width="13.7109375" customWidth="1"/>
    <col min="2" max="2" width="12.7109375" bestFit="1" customWidth="1"/>
    <col min="3" max="3" width="17.42578125" customWidth="1"/>
    <col min="4" max="4" width="11" customWidth="1"/>
    <col min="5" max="5" width="35" bestFit="1" customWidth="1"/>
    <col min="6" max="6" width="22.425781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69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77"/>
      <c r="B3" s="2">
        <v>45663</v>
      </c>
      <c r="C3" s="3">
        <v>3837808205</v>
      </c>
      <c r="D3" s="3">
        <v>1</v>
      </c>
      <c r="E3" s="4" t="s">
        <v>179</v>
      </c>
      <c r="F3" s="19" t="s">
        <v>70</v>
      </c>
      <c r="G3" s="10" t="s">
        <v>19</v>
      </c>
      <c r="H3" s="11">
        <v>700</v>
      </c>
    </row>
    <row r="4" spans="1:8" ht="20.100000000000001" customHeight="1" x14ac:dyDescent="0.25">
      <c r="A4" s="77"/>
      <c r="B4" s="2">
        <v>45663</v>
      </c>
      <c r="C4" s="3">
        <v>823017476</v>
      </c>
      <c r="D4" s="3">
        <v>3</v>
      </c>
      <c r="E4" s="4" t="s">
        <v>180</v>
      </c>
      <c r="F4" s="19" t="s">
        <v>70</v>
      </c>
      <c r="G4" s="10" t="s">
        <v>19</v>
      </c>
      <c r="H4" s="11">
        <v>2250</v>
      </c>
    </row>
    <row r="5" spans="1:8" ht="20.100000000000001" customHeight="1" x14ac:dyDescent="0.25">
      <c r="A5" s="77"/>
      <c r="B5" s="2">
        <v>45673</v>
      </c>
      <c r="C5" s="3">
        <v>2309900924</v>
      </c>
      <c r="D5" s="3">
        <v>3</v>
      </c>
      <c r="E5" s="4" t="s">
        <v>167</v>
      </c>
      <c r="F5" s="19" t="s">
        <v>70</v>
      </c>
      <c r="G5" s="10" t="s">
        <v>7</v>
      </c>
      <c r="H5" s="11">
        <v>2100</v>
      </c>
    </row>
    <row r="6" spans="1:8" ht="20.100000000000001" customHeight="1" x14ac:dyDescent="0.25">
      <c r="A6" s="77"/>
      <c r="B6" s="2">
        <v>45673</v>
      </c>
      <c r="C6" s="3">
        <v>1633439171</v>
      </c>
      <c r="D6" s="3">
        <v>1</v>
      </c>
      <c r="E6" s="4" t="s">
        <v>133</v>
      </c>
      <c r="F6" s="19" t="s">
        <v>70</v>
      </c>
      <c r="G6" s="10" t="s">
        <v>6</v>
      </c>
      <c r="H6" s="11">
        <v>750</v>
      </c>
    </row>
    <row r="7" spans="1:8" ht="20.100000000000001" customHeight="1" x14ac:dyDescent="0.25">
      <c r="A7" s="77"/>
      <c r="B7" s="2">
        <v>45673</v>
      </c>
      <c r="C7" s="3">
        <v>3707455606</v>
      </c>
      <c r="D7" s="3">
        <v>1</v>
      </c>
      <c r="E7" s="4" t="s">
        <v>148</v>
      </c>
      <c r="F7" s="19" t="s">
        <v>70</v>
      </c>
      <c r="G7" s="10" t="s">
        <v>11</v>
      </c>
      <c r="H7" s="11">
        <v>750</v>
      </c>
    </row>
    <row r="8" spans="1:8" ht="20.100000000000001" customHeight="1" x14ac:dyDescent="0.25">
      <c r="A8" s="77"/>
      <c r="B8" s="2">
        <v>45679</v>
      </c>
      <c r="C8" s="3">
        <v>1126647214</v>
      </c>
      <c r="D8" s="3">
        <v>1</v>
      </c>
      <c r="E8" s="4" t="s">
        <v>182</v>
      </c>
      <c r="F8" s="19" t="s">
        <v>70</v>
      </c>
      <c r="G8" s="10" t="s">
        <v>6</v>
      </c>
      <c r="H8" s="11">
        <v>750</v>
      </c>
    </row>
    <row r="9" spans="1:8" ht="20.100000000000001" customHeight="1" x14ac:dyDescent="0.25">
      <c r="A9" s="77"/>
      <c r="B9" s="2">
        <v>45679</v>
      </c>
      <c r="C9" s="3">
        <v>1377846786</v>
      </c>
      <c r="D9" s="3">
        <v>1</v>
      </c>
      <c r="E9" s="4" t="s">
        <v>183</v>
      </c>
      <c r="F9" s="19" t="s">
        <v>70</v>
      </c>
      <c r="G9" s="10" t="s">
        <v>11</v>
      </c>
      <c r="H9" s="11">
        <v>700</v>
      </c>
    </row>
    <row r="10" spans="1:8" ht="20.100000000000001" customHeight="1" x14ac:dyDescent="0.25">
      <c r="A10" s="77"/>
      <c r="B10" s="2">
        <v>45680</v>
      </c>
      <c r="C10" s="3">
        <v>2118011843</v>
      </c>
      <c r="D10" s="3">
        <v>1</v>
      </c>
      <c r="E10" s="4" t="s">
        <v>134</v>
      </c>
      <c r="F10" s="19" t="s">
        <v>70</v>
      </c>
      <c r="G10" s="10" t="s">
        <v>6</v>
      </c>
      <c r="H10" s="11">
        <v>700</v>
      </c>
    </row>
    <row r="11" spans="1:8" ht="20.100000000000001" customHeight="1" x14ac:dyDescent="0.25">
      <c r="A11" s="77"/>
      <c r="B11" s="2">
        <v>45687</v>
      </c>
      <c r="C11" s="3">
        <v>2001814206</v>
      </c>
      <c r="D11" s="3">
        <v>1</v>
      </c>
      <c r="E11" s="4" t="s">
        <v>122</v>
      </c>
      <c r="F11" s="19" t="s">
        <v>70</v>
      </c>
      <c r="G11" s="10" t="s">
        <v>6</v>
      </c>
      <c r="H11" s="11">
        <v>750</v>
      </c>
    </row>
    <row r="12" spans="1:8" ht="20.100000000000001" customHeight="1" x14ac:dyDescent="0.25">
      <c r="A12" s="77"/>
      <c r="B12" s="2">
        <v>45693</v>
      </c>
      <c r="C12" s="3">
        <v>477317611</v>
      </c>
      <c r="D12" s="3">
        <v>1</v>
      </c>
      <c r="E12" s="4" t="s">
        <v>311</v>
      </c>
      <c r="F12" s="19" t="s">
        <v>70</v>
      </c>
      <c r="G12" s="10" t="s">
        <v>6</v>
      </c>
      <c r="H12" s="11">
        <v>750</v>
      </c>
    </row>
    <row r="13" spans="1:8" ht="20.100000000000001" customHeight="1" x14ac:dyDescent="0.25">
      <c r="A13" s="77"/>
      <c r="B13" s="2">
        <v>45693</v>
      </c>
      <c r="C13" s="3">
        <v>2090221636</v>
      </c>
      <c r="D13" s="3">
        <v>1</v>
      </c>
      <c r="E13" s="4" t="s">
        <v>312</v>
      </c>
      <c r="F13" s="19" t="s">
        <v>70</v>
      </c>
      <c r="G13" s="10" t="s">
        <v>6</v>
      </c>
      <c r="H13" s="11">
        <v>750</v>
      </c>
    </row>
    <row r="14" spans="1:8" ht="20.100000000000001" customHeight="1" x14ac:dyDescent="0.25">
      <c r="A14" s="77"/>
      <c r="B14" s="2">
        <v>45707</v>
      </c>
      <c r="C14" s="3">
        <v>1478705960</v>
      </c>
      <c r="D14" s="3">
        <v>1</v>
      </c>
      <c r="E14" s="4" t="s">
        <v>83</v>
      </c>
      <c r="F14" s="19" t="s">
        <v>70</v>
      </c>
      <c r="G14" s="10" t="s">
        <v>19</v>
      </c>
      <c r="H14" s="11">
        <v>750</v>
      </c>
    </row>
    <row r="15" spans="1:8" ht="20.100000000000001" customHeight="1" x14ac:dyDescent="0.25">
      <c r="A15" s="77"/>
      <c r="B15" s="2">
        <v>45709</v>
      </c>
      <c r="C15" s="3">
        <v>1327448982</v>
      </c>
      <c r="D15" s="3">
        <v>1</v>
      </c>
      <c r="E15" s="4" t="s">
        <v>170</v>
      </c>
      <c r="F15" s="19" t="s">
        <v>70</v>
      </c>
      <c r="G15" s="10" t="s">
        <v>6</v>
      </c>
      <c r="H15" s="11">
        <v>750</v>
      </c>
    </row>
    <row r="16" spans="1:8" ht="20.100000000000001" customHeight="1" x14ac:dyDescent="0.25">
      <c r="A16" s="77"/>
      <c r="B16" s="2">
        <v>45712</v>
      </c>
      <c r="C16" s="3">
        <v>3299885312</v>
      </c>
      <c r="D16" s="3">
        <v>1</v>
      </c>
      <c r="E16" s="4" t="s">
        <v>316</v>
      </c>
      <c r="F16" s="19" t="s">
        <v>70</v>
      </c>
      <c r="G16" s="10" t="s">
        <v>6</v>
      </c>
      <c r="H16" s="11">
        <v>665</v>
      </c>
    </row>
    <row r="17" spans="1:8" ht="20.100000000000001" customHeight="1" x14ac:dyDescent="0.25">
      <c r="A17" s="77"/>
      <c r="B17" s="2">
        <v>45715</v>
      </c>
      <c r="C17" s="3">
        <v>2967487130</v>
      </c>
      <c r="D17" s="3">
        <v>1</v>
      </c>
      <c r="E17" s="4" t="s">
        <v>324</v>
      </c>
      <c r="F17" s="19" t="s">
        <v>70</v>
      </c>
      <c r="G17" s="10" t="s">
        <v>7</v>
      </c>
      <c r="H17" s="11">
        <v>750</v>
      </c>
    </row>
    <row r="18" spans="1:8" ht="20.100000000000001" customHeight="1" x14ac:dyDescent="0.25">
      <c r="A18" s="77"/>
      <c r="B18" s="2">
        <v>45721</v>
      </c>
      <c r="C18" s="3">
        <v>805782337</v>
      </c>
      <c r="D18" s="3">
        <v>1</v>
      </c>
      <c r="E18" s="4" t="s">
        <v>477</v>
      </c>
      <c r="F18" s="19" t="s">
        <v>70</v>
      </c>
      <c r="G18" s="10" t="s">
        <v>7</v>
      </c>
      <c r="H18" s="11">
        <v>750</v>
      </c>
    </row>
    <row r="19" spans="1:8" ht="20.100000000000001" customHeight="1" x14ac:dyDescent="0.25">
      <c r="A19" s="77"/>
      <c r="B19" s="2">
        <v>45726</v>
      </c>
      <c r="C19" s="3">
        <v>3723444608</v>
      </c>
      <c r="D19" s="3">
        <v>1</v>
      </c>
      <c r="E19" s="4" t="s">
        <v>202</v>
      </c>
      <c r="F19" s="19" t="s">
        <v>70</v>
      </c>
      <c r="G19" s="10" t="s">
        <v>6</v>
      </c>
      <c r="H19" s="11">
        <v>750</v>
      </c>
    </row>
    <row r="20" spans="1:8" ht="20.100000000000001" customHeight="1" x14ac:dyDescent="0.25">
      <c r="A20" s="77"/>
      <c r="B20" s="2">
        <v>45736</v>
      </c>
      <c r="C20" s="3">
        <v>3255258489</v>
      </c>
      <c r="D20" s="3">
        <v>1</v>
      </c>
      <c r="E20" s="4" t="s">
        <v>345</v>
      </c>
      <c r="F20" s="19" t="s">
        <v>70</v>
      </c>
      <c r="G20" s="10" t="s">
        <v>6</v>
      </c>
      <c r="H20" s="11">
        <v>750</v>
      </c>
    </row>
    <row r="21" spans="1:8" ht="20.100000000000001" customHeight="1" x14ac:dyDescent="0.25">
      <c r="A21" s="77"/>
      <c r="B21" s="2">
        <v>45737</v>
      </c>
      <c r="C21" s="3">
        <v>2298430293</v>
      </c>
      <c r="D21" s="3">
        <v>1</v>
      </c>
      <c r="E21" s="4" t="s">
        <v>349</v>
      </c>
      <c r="F21" s="19" t="s">
        <v>70</v>
      </c>
      <c r="G21" s="10" t="s">
        <v>6</v>
      </c>
      <c r="H21" s="11">
        <v>750</v>
      </c>
    </row>
    <row r="22" spans="1:8" ht="20.100000000000001" customHeight="1" x14ac:dyDescent="0.25">
      <c r="A22" s="77"/>
      <c r="B22" s="2">
        <v>45747</v>
      </c>
      <c r="C22" s="3">
        <v>3429321548</v>
      </c>
      <c r="D22" s="3">
        <v>1</v>
      </c>
      <c r="E22" s="4" t="s">
        <v>407</v>
      </c>
      <c r="F22" s="19" t="s">
        <v>70</v>
      </c>
      <c r="G22" s="10" t="s">
        <v>13</v>
      </c>
      <c r="H22" s="11">
        <v>750</v>
      </c>
    </row>
    <row r="23" spans="1:8" ht="20.100000000000001" customHeight="1" x14ac:dyDescent="0.25">
      <c r="A23" s="77"/>
      <c r="B23" s="2">
        <v>45754</v>
      </c>
      <c r="C23" s="3">
        <v>1796558173</v>
      </c>
      <c r="D23" s="3">
        <v>1</v>
      </c>
      <c r="E23" s="4" t="s">
        <v>202</v>
      </c>
      <c r="F23" s="19" t="s">
        <v>70</v>
      </c>
      <c r="G23" s="10" t="s">
        <v>6</v>
      </c>
      <c r="H23" s="11">
        <v>750</v>
      </c>
    </row>
    <row r="24" spans="1:8" ht="20.100000000000001" customHeight="1" x14ac:dyDescent="0.25">
      <c r="A24" s="77"/>
      <c r="B24" s="2">
        <v>45775</v>
      </c>
      <c r="C24" s="3">
        <v>4071313104</v>
      </c>
      <c r="D24" s="3">
        <v>1</v>
      </c>
      <c r="E24" s="4" t="s">
        <v>105</v>
      </c>
      <c r="F24" s="19" t="s">
        <v>70</v>
      </c>
      <c r="G24" s="10" t="s">
        <v>13</v>
      </c>
      <c r="H24" s="11">
        <v>750</v>
      </c>
    </row>
    <row r="25" spans="1:8" ht="20.100000000000001" customHeight="1" x14ac:dyDescent="0.25">
      <c r="A25" s="77"/>
      <c r="B25" s="2">
        <v>45776</v>
      </c>
      <c r="C25" s="3">
        <v>548094901</v>
      </c>
      <c r="D25" s="3">
        <v>1</v>
      </c>
      <c r="E25" s="4" t="s">
        <v>521</v>
      </c>
      <c r="F25" s="19" t="s">
        <v>70</v>
      </c>
      <c r="G25" s="10" t="s">
        <v>7</v>
      </c>
      <c r="H25" s="11">
        <v>750</v>
      </c>
    </row>
    <row r="26" spans="1:8" ht="20.100000000000001" customHeight="1" x14ac:dyDescent="0.25">
      <c r="A26" s="77"/>
      <c r="B26" s="2">
        <v>45777</v>
      </c>
      <c r="C26" s="3">
        <v>2560573581</v>
      </c>
      <c r="D26" s="3">
        <v>3</v>
      </c>
      <c r="E26" s="4" t="s">
        <v>397</v>
      </c>
      <c r="F26" s="19" t="s">
        <v>70</v>
      </c>
      <c r="G26" s="10" t="s">
        <v>11</v>
      </c>
      <c r="H26" s="11">
        <v>2250</v>
      </c>
    </row>
    <row r="27" spans="1:8" ht="20.100000000000001" customHeight="1" x14ac:dyDescent="0.25">
      <c r="A27" s="77"/>
      <c r="B27" s="2">
        <v>45785</v>
      </c>
      <c r="C27" s="3">
        <v>2367637955</v>
      </c>
      <c r="D27" s="3">
        <v>1</v>
      </c>
      <c r="E27" s="4" t="s">
        <v>725</v>
      </c>
      <c r="F27" s="19" t="s">
        <v>70</v>
      </c>
      <c r="G27" s="10" t="s">
        <v>6</v>
      </c>
      <c r="H27" s="11">
        <v>750</v>
      </c>
    </row>
    <row r="28" spans="1:8" ht="20.100000000000001" customHeight="1" x14ac:dyDescent="0.25">
      <c r="A28" s="77"/>
      <c r="B28" s="2">
        <v>45792</v>
      </c>
      <c r="C28" s="3">
        <v>2275494329</v>
      </c>
      <c r="D28" s="3">
        <v>1</v>
      </c>
      <c r="E28" s="4" t="s">
        <v>667</v>
      </c>
      <c r="F28" s="19" t="s">
        <v>70</v>
      </c>
      <c r="G28" s="10" t="s">
        <v>6</v>
      </c>
      <c r="H28" s="11">
        <v>750</v>
      </c>
    </row>
    <row r="29" spans="1:8" ht="20.100000000000001" customHeight="1" x14ac:dyDescent="0.25">
      <c r="A29" s="77"/>
      <c r="B29" s="2">
        <v>45800</v>
      </c>
      <c r="C29" s="3">
        <v>343689690</v>
      </c>
      <c r="D29" s="3">
        <v>4</v>
      </c>
      <c r="E29" s="4" t="s">
        <v>133</v>
      </c>
      <c r="F29" s="19" t="s">
        <v>70</v>
      </c>
      <c r="G29" s="10" t="s">
        <v>19</v>
      </c>
      <c r="H29" s="11">
        <v>2800</v>
      </c>
    </row>
    <row r="30" spans="1:8" ht="20.100000000000001" customHeight="1" x14ac:dyDescent="0.25">
      <c r="A30" s="77"/>
      <c r="B30" s="2">
        <v>45806</v>
      </c>
      <c r="C30" s="3">
        <v>4011936327</v>
      </c>
      <c r="D30" s="3">
        <v>1</v>
      </c>
      <c r="E30" s="4" t="s">
        <v>105</v>
      </c>
      <c r="F30" s="19" t="s">
        <v>70</v>
      </c>
      <c r="G30" s="10" t="s">
        <v>13</v>
      </c>
      <c r="H30" s="11">
        <v>750</v>
      </c>
    </row>
    <row r="31" spans="1:8" ht="20.100000000000001" customHeight="1" x14ac:dyDescent="0.25">
      <c r="A31" s="77"/>
      <c r="B31" s="2">
        <v>45812</v>
      </c>
      <c r="C31" s="3">
        <v>888358634</v>
      </c>
      <c r="D31" s="3">
        <v>1</v>
      </c>
      <c r="E31" s="4" t="s">
        <v>637</v>
      </c>
      <c r="F31" s="19" t="s">
        <v>70</v>
      </c>
      <c r="G31" s="10" t="s">
        <v>6</v>
      </c>
      <c r="H31" s="11">
        <v>700</v>
      </c>
    </row>
    <row r="32" spans="1:8" ht="20.100000000000001" customHeight="1" x14ac:dyDescent="0.25">
      <c r="A32" s="77"/>
      <c r="B32" s="2">
        <v>45813</v>
      </c>
      <c r="C32" s="3">
        <v>178277846</v>
      </c>
      <c r="D32" s="3">
        <v>1</v>
      </c>
      <c r="E32" s="4" t="s">
        <v>726</v>
      </c>
      <c r="F32" s="19" t="s">
        <v>70</v>
      </c>
      <c r="G32" s="10" t="s">
        <v>6</v>
      </c>
      <c r="H32" s="11">
        <v>750</v>
      </c>
    </row>
    <row r="33" spans="1:8" ht="20.100000000000001" customHeight="1" x14ac:dyDescent="0.25">
      <c r="A33" s="77"/>
      <c r="B33" s="2">
        <v>45813</v>
      </c>
      <c r="C33" s="3">
        <v>178277846</v>
      </c>
      <c r="D33" s="3">
        <v>1</v>
      </c>
      <c r="E33" s="4" t="s">
        <v>228</v>
      </c>
      <c r="F33" s="19" t="s">
        <v>70</v>
      </c>
      <c r="G33" s="10" t="s">
        <v>6</v>
      </c>
      <c r="H33" s="11">
        <v>750</v>
      </c>
    </row>
    <row r="34" spans="1:8" ht="20.100000000000001" customHeight="1" x14ac:dyDescent="0.25">
      <c r="A34" s="77"/>
      <c r="B34" s="2">
        <v>45820</v>
      </c>
      <c r="C34" s="3">
        <v>2583184228</v>
      </c>
      <c r="D34" s="3">
        <v>3</v>
      </c>
      <c r="E34" s="4" t="s">
        <v>622</v>
      </c>
      <c r="F34" s="19" t="s">
        <v>70</v>
      </c>
      <c r="G34" s="10" t="s">
        <v>10</v>
      </c>
      <c r="H34" s="11">
        <v>2100</v>
      </c>
    </row>
    <row r="35" spans="1:8" ht="20.100000000000001" customHeight="1" x14ac:dyDescent="0.25">
      <c r="A35" s="77"/>
      <c r="B35" s="2">
        <v>45824</v>
      </c>
      <c r="C35" s="3">
        <v>237325930</v>
      </c>
      <c r="D35" s="3">
        <v>1</v>
      </c>
      <c r="E35" s="4" t="s">
        <v>202</v>
      </c>
      <c r="F35" s="19" t="s">
        <v>70</v>
      </c>
      <c r="G35" s="10" t="s">
        <v>6</v>
      </c>
      <c r="H35" s="11">
        <v>750</v>
      </c>
    </row>
    <row r="36" spans="1:8" ht="20.100000000000001" customHeight="1" x14ac:dyDescent="0.25">
      <c r="A36" s="77"/>
      <c r="B36" s="2">
        <v>45827</v>
      </c>
      <c r="C36" s="3">
        <v>742933433</v>
      </c>
      <c r="D36" s="3">
        <v>4</v>
      </c>
      <c r="E36" s="4" t="s">
        <v>711</v>
      </c>
      <c r="F36" s="19" t="s">
        <v>70</v>
      </c>
      <c r="G36" s="10" t="s">
        <v>7</v>
      </c>
      <c r="H36" s="11">
        <v>2800</v>
      </c>
    </row>
    <row r="37" spans="1:8" ht="20.100000000000001" customHeight="1" x14ac:dyDescent="0.25">
      <c r="A37" s="77"/>
      <c r="B37" s="2">
        <v>45833</v>
      </c>
      <c r="C37" s="3">
        <v>3332654679</v>
      </c>
      <c r="D37" s="3">
        <v>1</v>
      </c>
      <c r="E37" s="4" t="s">
        <v>725</v>
      </c>
      <c r="F37" s="19" t="s">
        <v>70</v>
      </c>
      <c r="G37" s="10" t="s">
        <v>6</v>
      </c>
      <c r="H37" s="11">
        <v>750</v>
      </c>
    </row>
    <row r="38" spans="1:8" ht="20.100000000000001" customHeight="1" x14ac:dyDescent="0.25">
      <c r="A38" s="77"/>
      <c r="B38" s="2">
        <v>45845</v>
      </c>
      <c r="C38" s="3">
        <v>4149300732</v>
      </c>
      <c r="D38" s="3">
        <v>4</v>
      </c>
      <c r="E38" s="19" t="s">
        <v>812</v>
      </c>
      <c r="F38" s="19" t="s">
        <v>70</v>
      </c>
      <c r="G38" s="10" t="s">
        <v>7</v>
      </c>
      <c r="H38" s="11">
        <v>2800</v>
      </c>
    </row>
    <row r="39" spans="1:8" ht="20.100000000000001" customHeight="1" x14ac:dyDescent="0.25">
      <c r="A39" s="77"/>
      <c r="B39" s="2">
        <v>45849</v>
      </c>
      <c r="C39" s="3">
        <v>2814201468</v>
      </c>
      <c r="D39" s="3">
        <v>2</v>
      </c>
      <c r="E39" s="19" t="s">
        <v>726</v>
      </c>
      <c r="F39" s="19" t="s">
        <v>70</v>
      </c>
      <c r="G39" s="10" t="s">
        <v>19</v>
      </c>
      <c r="H39" s="11">
        <v>1250</v>
      </c>
    </row>
    <row r="40" spans="1:8" ht="20.100000000000001" customHeight="1" x14ac:dyDescent="0.25">
      <c r="A40" s="77"/>
      <c r="B40" s="2">
        <v>45849</v>
      </c>
      <c r="C40" s="3">
        <v>2814201468</v>
      </c>
      <c r="D40" s="3">
        <v>2</v>
      </c>
      <c r="E40" s="19" t="s">
        <v>228</v>
      </c>
      <c r="F40" s="19" t="s">
        <v>70</v>
      </c>
      <c r="G40" s="10" t="s">
        <v>19</v>
      </c>
      <c r="H40" s="11">
        <v>1250</v>
      </c>
    </row>
    <row r="41" spans="1:8" ht="20.100000000000001" customHeight="1" x14ac:dyDescent="0.25">
      <c r="A41" s="77"/>
      <c r="B41" s="2">
        <v>45860</v>
      </c>
      <c r="C41" s="3">
        <v>812532979</v>
      </c>
      <c r="D41" s="3">
        <v>1</v>
      </c>
      <c r="E41" s="19" t="s">
        <v>874</v>
      </c>
      <c r="F41" s="19" t="s">
        <v>70</v>
      </c>
      <c r="G41" s="10" t="s">
        <v>11</v>
      </c>
      <c r="H41" s="11">
        <v>750</v>
      </c>
    </row>
    <row r="42" spans="1:8" ht="20.100000000000001" customHeight="1" x14ac:dyDescent="0.25">
      <c r="A42" s="77"/>
      <c r="B42" s="2">
        <v>45873</v>
      </c>
      <c r="C42" s="3">
        <v>884951416</v>
      </c>
      <c r="D42" s="3">
        <v>1</v>
      </c>
      <c r="E42" s="4" t="s">
        <v>296</v>
      </c>
      <c r="F42" s="4" t="s">
        <v>70</v>
      </c>
      <c r="G42" s="5" t="s">
        <v>6</v>
      </c>
      <c r="H42" s="6">
        <v>750</v>
      </c>
    </row>
    <row r="43" spans="1:8" ht="20.100000000000001" customHeight="1" x14ac:dyDescent="0.25">
      <c r="A43" s="77"/>
      <c r="B43" s="2">
        <v>45890</v>
      </c>
      <c r="C43" s="3">
        <v>473514086</v>
      </c>
      <c r="D43" s="3">
        <v>1</v>
      </c>
      <c r="E43" s="4" t="s">
        <v>927</v>
      </c>
      <c r="F43" s="4" t="s">
        <v>70</v>
      </c>
      <c r="G43" s="5" t="s">
        <v>7</v>
      </c>
      <c r="H43" s="6">
        <v>750</v>
      </c>
    </row>
    <row r="44" spans="1:8" ht="20.100000000000001" customHeight="1" x14ac:dyDescent="0.25">
      <c r="A44" s="77"/>
      <c r="B44" s="2">
        <v>45895</v>
      </c>
      <c r="C44" s="3">
        <v>1595231259</v>
      </c>
      <c r="D44" s="3">
        <v>2</v>
      </c>
      <c r="E44" s="4" t="s">
        <v>927</v>
      </c>
      <c r="F44" s="4" t="s">
        <v>937</v>
      </c>
      <c r="G44" s="5" t="s">
        <v>19</v>
      </c>
      <c r="H44" s="6">
        <v>1000</v>
      </c>
    </row>
    <row r="45" spans="1:8" ht="20.100000000000001" customHeight="1" x14ac:dyDescent="0.25">
      <c r="A45" s="77"/>
      <c r="B45" s="2">
        <v>45895</v>
      </c>
      <c r="C45" s="3">
        <v>1595231259</v>
      </c>
      <c r="D45" s="3">
        <v>2</v>
      </c>
      <c r="E45" s="4" t="s">
        <v>927</v>
      </c>
      <c r="F45" s="4" t="s">
        <v>70</v>
      </c>
      <c r="G45" s="5" t="s">
        <v>19</v>
      </c>
      <c r="H45" s="6">
        <v>1360</v>
      </c>
    </row>
    <row r="46" spans="1:8" ht="20.100000000000001" customHeight="1" x14ac:dyDescent="0.25">
      <c r="A46" s="77"/>
      <c r="B46" s="2">
        <v>45896</v>
      </c>
      <c r="C46" s="3">
        <v>3818278708</v>
      </c>
      <c r="D46" s="3">
        <v>3</v>
      </c>
      <c r="E46" s="4" t="s">
        <v>938</v>
      </c>
      <c r="F46" s="4" t="s">
        <v>70</v>
      </c>
      <c r="G46" s="5" t="s">
        <v>19</v>
      </c>
      <c r="H46" s="6">
        <v>2250</v>
      </c>
    </row>
    <row r="47" spans="1:8" ht="20.100000000000001" customHeight="1" x14ac:dyDescent="0.25">
      <c r="A47" s="77"/>
      <c r="B47" s="2">
        <v>45896</v>
      </c>
      <c r="C47" s="3">
        <v>3818278708</v>
      </c>
      <c r="D47" s="3">
        <v>3</v>
      </c>
      <c r="E47" s="4" t="s">
        <v>938</v>
      </c>
      <c r="F47" s="4" t="s">
        <v>937</v>
      </c>
      <c r="G47" s="5" t="s">
        <v>19</v>
      </c>
      <c r="H47" s="6">
        <v>1500</v>
      </c>
    </row>
    <row r="48" spans="1:8" ht="20.100000000000001" customHeight="1" x14ac:dyDescent="0.25">
      <c r="A48" s="77"/>
      <c r="B48" s="2">
        <v>45897</v>
      </c>
      <c r="C48" s="3">
        <v>896812298</v>
      </c>
      <c r="D48" s="3">
        <v>1</v>
      </c>
      <c r="E48" s="4" t="s">
        <v>517</v>
      </c>
      <c r="F48" s="4" t="s">
        <v>70</v>
      </c>
      <c r="G48" s="5" t="s">
        <v>6</v>
      </c>
      <c r="H48" s="6">
        <v>750</v>
      </c>
    </row>
    <row r="49" spans="1:8" ht="20.100000000000001" customHeight="1" x14ac:dyDescent="0.25">
      <c r="A49" s="77"/>
      <c r="B49" s="47">
        <v>45902</v>
      </c>
      <c r="C49" s="48">
        <v>4216933097</v>
      </c>
      <c r="D49" s="3">
        <v>3</v>
      </c>
      <c r="E49" s="28" t="s">
        <v>1004</v>
      </c>
      <c r="F49" s="28" t="s">
        <v>1020</v>
      </c>
      <c r="G49" s="49" t="s">
        <v>19</v>
      </c>
      <c r="H49" s="6">
        <v>1500</v>
      </c>
    </row>
    <row r="50" spans="1:8" ht="20.100000000000001" customHeight="1" x14ac:dyDescent="0.25">
      <c r="A50" s="77"/>
      <c r="B50" s="47">
        <v>45902</v>
      </c>
      <c r="C50" s="48">
        <v>2152352608</v>
      </c>
      <c r="D50" s="3">
        <v>4</v>
      </c>
      <c r="E50" s="28" t="s">
        <v>996</v>
      </c>
      <c r="F50" s="28" t="s">
        <v>70</v>
      </c>
      <c r="G50" s="49" t="s">
        <v>7</v>
      </c>
      <c r="H50" s="6">
        <v>3000</v>
      </c>
    </row>
    <row r="51" spans="1:8" ht="20.100000000000001" customHeight="1" x14ac:dyDescent="0.25">
      <c r="A51" s="77"/>
      <c r="B51" s="47">
        <v>45904</v>
      </c>
      <c r="C51" s="48">
        <v>4007872460</v>
      </c>
      <c r="D51" s="3">
        <v>1</v>
      </c>
      <c r="E51" s="28" t="s">
        <v>643</v>
      </c>
      <c r="F51" s="28" t="s">
        <v>70</v>
      </c>
      <c r="G51" s="49" t="s">
        <v>6</v>
      </c>
      <c r="H51" s="6">
        <v>750</v>
      </c>
    </row>
    <row r="52" spans="1:8" ht="20.100000000000001" customHeight="1" x14ac:dyDescent="0.25">
      <c r="A52" s="77"/>
      <c r="B52" s="47">
        <v>45905</v>
      </c>
      <c r="C52" s="48">
        <v>2897560455</v>
      </c>
      <c r="D52" s="3">
        <v>1</v>
      </c>
      <c r="E52" s="28" t="s">
        <v>950</v>
      </c>
      <c r="F52" s="28" t="s">
        <v>1020</v>
      </c>
      <c r="G52" s="49" t="s">
        <v>7</v>
      </c>
      <c r="H52" s="6">
        <v>500</v>
      </c>
    </row>
    <row r="53" spans="1:8" ht="20.100000000000001" customHeight="1" x14ac:dyDescent="0.25">
      <c r="A53" s="77"/>
      <c r="B53" s="47">
        <v>45922</v>
      </c>
      <c r="C53" s="48">
        <v>990004038</v>
      </c>
      <c r="D53" s="3">
        <v>3</v>
      </c>
      <c r="E53" s="28" t="s">
        <v>858</v>
      </c>
      <c r="F53" s="28" t="s">
        <v>1020</v>
      </c>
      <c r="G53" s="49" t="s">
        <v>6</v>
      </c>
      <c r="H53" s="6">
        <v>1500</v>
      </c>
    </row>
    <row r="54" spans="1:8" ht="20.100000000000001" customHeight="1" x14ac:dyDescent="0.25">
      <c r="A54" s="77"/>
      <c r="B54" s="47">
        <v>45937</v>
      </c>
      <c r="C54" s="48">
        <v>2855157970</v>
      </c>
      <c r="D54" s="3">
        <v>1</v>
      </c>
      <c r="E54" s="28" t="s">
        <v>517</v>
      </c>
      <c r="F54" s="28" t="s">
        <v>70</v>
      </c>
      <c r="G54" s="49" t="s">
        <v>6</v>
      </c>
      <c r="H54" s="6">
        <v>750</v>
      </c>
    </row>
    <row r="55" spans="1:8" ht="20.100000000000001" customHeight="1" x14ac:dyDescent="0.25">
      <c r="A55" s="77"/>
      <c r="B55" s="47">
        <v>45951</v>
      </c>
      <c r="C55" s="48">
        <v>3502525687</v>
      </c>
      <c r="D55" s="3">
        <v>1</v>
      </c>
      <c r="E55" s="28" t="s">
        <v>1068</v>
      </c>
      <c r="F55" s="28" t="s">
        <v>70</v>
      </c>
      <c r="G55" s="49" t="s">
        <v>19</v>
      </c>
      <c r="H55" s="6">
        <v>700</v>
      </c>
    </row>
    <row r="56" spans="1:8" ht="20.100000000000001" customHeight="1" x14ac:dyDescent="0.25">
      <c r="A56" s="77"/>
      <c r="B56" s="47">
        <v>45951</v>
      </c>
      <c r="C56" s="48">
        <v>3502525687</v>
      </c>
      <c r="D56" s="3">
        <v>1</v>
      </c>
      <c r="E56" s="28" t="s">
        <v>1068</v>
      </c>
      <c r="F56" s="28" t="s">
        <v>1020</v>
      </c>
      <c r="G56" s="49" t="s">
        <v>19</v>
      </c>
      <c r="H56" s="6">
        <v>535</v>
      </c>
    </row>
    <row r="57" spans="1:8" ht="20.100000000000001" customHeight="1" x14ac:dyDescent="0.25">
      <c r="A57" s="77"/>
      <c r="B57" s="47">
        <v>45954</v>
      </c>
      <c r="C57" s="48">
        <v>1023952661</v>
      </c>
      <c r="D57" s="3">
        <v>1</v>
      </c>
      <c r="E57" s="28" t="s">
        <v>506</v>
      </c>
      <c r="F57" s="28" t="s">
        <v>70</v>
      </c>
      <c r="G57" s="49" t="s">
        <v>6</v>
      </c>
      <c r="H57" s="6">
        <v>750</v>
      </c>
    </row>
    <row r="58" spans="1:8" ht="20.100000000000001" customHeight="1" x14ac:dyDescent="0.25">
      <c r="A58" s="77"/>
      <c r="B58" s="47">
        <v>45954</v>
      </c>
      <c r="C58" s="48">
        <v>1617054938</v>
      </c>
      <c r="D58" s="3">
        <v>1</v>
      </c>
      <c r="E58" s="28" t="s">
        <v>83</v>
      </c>
      <c r="F58" s="28" t="s">
        <v>70</v>
      </c>
      <c r="G58" s="49" t="s">
        <v>19</v>
      </c>
      <c r="H58" s="6">
        <v>750</v>
      </c>
    </row>
    <row r="59" spans="1:8" ht="20.100000000000001" customHeight="1" x14ac:dyDescent="0.25">
      <c r="A59" s="77"/>
      <c r="B59" s="2">
        <v>45972</v>
      </c>
      <c r="C59" s="3">
        <v>4095493519</v>
      </c>
      <c r="D59" s="3">
        <v>1</v>
      </c>
      <c r="E59" s="4" t="s">
        <v>517</v>
      </c>
      <c r="F59" s="19" t="s">
        <v>70</v>
      </c>
      <c r="G59" s="10" t="s">
        <v>6</v>
      </c>
      <c r="H59" s="11">
        <v>750</v>
      </c>
    </row>
    <row r="60" spans="1:8" ht="20.100000000000001" customHeight="1" x14ac:dyDescent="0.25">
      <c r="A60" s="77"/>
      <c r="B60" s="2">
        <v>45981</v>
      </c>
      <c r="C60" s="3">
        <v>675236620</v>
      </c>
      <c r="D60" s="3">
        <v>1</v>
      </c>
      <c r="E60" s="4" t="s">
        <v>689</v>
      </c>
      <c r="F60" s="19" t="s">
        <v>70</v>
      </c>
      <c r="G60" s="10" t="s">
        <v>7</v>
      </c>
      <c r="H60" s="11">
        <v>700</v>
      </c>
    </row>
    <row r="61" spans="1:8" ht="20.100000000000001" customHeight="1" x14ac:dyDescent="0.25">
      <c r="A61" s="77"/>
      <c r="B61" s="2">
        <v>45987</v>
      </c>
      <c r="C61" s="3">
        <v>1958038841</v>
      </c>
      <c r="D61" s="3">
        <v>1</v>
      </c>
      <c r="E61" s="4" t="s">
        <v>1148</v>
      </c>
      <c r="F61" s="19" t="s">
        <v>70</v>
      </c>
      <c r="G61" s="10" t="s">
        <v>6</v>
      </c>
      <c r="H61" s="11">
        <v>750</v>
      </c>
    </row>
    <row r="62" spans="1:8" ht="19.5" customHeight="1" x14ac:dyDescent="0.25">
      <c r="A62" s="77"/>
      <c r="B62" s="2">
        <v>45992</v>
      </c>
      <c r="C62" s="3">
        <v>2210808327</v>
      </c>
      <c r="D62" s="3">
        <v>1</v>
      </c>
      <c r="E62" s="4" t="s">
        <v>1271</v>
      </c>
      <c r="F62" s="19" t="s">
        <v>70</v>
      </c>
      <c r="G62" s="10" t="s">
        <v>6</v>
      </c>
      <c r="H62" s="11">
        <v>750</v>
      </c>
    </row>
    <row r="63" spans="1:8" ht="19.5" customHeight="1" x14ac:dyDescent="0.25">
      <c r="A63" s="77"/>
      <c r="B63" s="2">
        <v>45995</v>
      </c>
      <c r="C63" s="3">
        <v>110250615</v>
      </c>
      <c r="D63" s="3">
        <v>1</v>
      </c>
      <c r="E63" s="4" t="s">
        <v>477</v>
      </c>
      <c r="F63" s="19" t="s">
        <v>70</v>
      </c>
      <c r="G63" s="10" t="s">
        <v>6</v>
      </c>
      <c r="H63" s="11">
        <v>750</v>
      </c>
    </row>
    <row r="64" spans="1:8" ht="19.5" customHeight="1" x14ac:dyDescent="0.25">
      <c r="A64" s="77"/>
      <c r="B64" s="2">
        <v>46001</v>
      </c>
      <c r="C64" s="3">
        <v>1684556217</v>
      </c>
      <c r="D64" s="3">
        <v>1</v>
      </c>
      <c r="E64" s="4" t="s">
        <v>1238</v>
      </c>
      <c r="F64" s="19" t="s">
        <v>70</v>
      </c>
      <c r="G64" s="10" t="s">
        <v>19</v>
      </c>
      <c r="H64" s="11">
        <v>750</v>
      </c>
    </row>
    <row r="65" spans="1:8" ht="19.5" customHeight="1" x14ac:dyDescent="0.25">
      <c r="A65" s="77"/>
      <c r="B65" s="2">
        <v>46003</v>
      </c>
      <c r="C65" s="3">
        <v>2241086187</v>
      </c>
      <c r="D65" s="3">
        <v>1</v>
      </c>
      <c r="E65" s="4" t="s">
        <v>1272</v>
      </c>
      <c r="F65" s="19" t="s">
        <v>70</v>
      </c>
      <c r="G65" s="10" t="s">
        <v>6</v>
      </c>
      <c r="H65" s="11">
        <v>750</v>
      </c>
    </row>
    <row r="66" spans="1:8" ht="19.5" customHeight="1" x14ac:dyDescent="0.25">
      <c r="A66" s="77"/>
      <c r="B66" s="2">
        <v>46008</v>
      </c>
      <c r="C66" s="3">
        <v>1005801119</v>
      </c>
      <c r="D66" s="3">
        <v>3</v>
      </c>
      <c r="E66" s="4" t="s">
        <v>1246</v>
      </c>
      <c r="F66" s="19" t="s">
        <v>1020</v>
      </c>
      <c r="G66" s="10" t="s">
        <v>10</v>
      </c>
      <c r="H66" s="11">
        <v>1500</v>
      </c>
    </row>
    <row r="67" spans="1:8" ht="19.5" customHeight="1" x14ac:dyDescent="0.25">
      <c r="A67" s="77"/>
      <c r="B67" s="2">
        <v>46008</v>
      </c>
      <c r="C67" s="3">
        <v>1005801119</v>
      </c>
      <c r="D67" s="3">
        <v>3</v>
      </c>
      <c r="E67" s="4" t="s">
        <v>1246</v>
      </c>
      <c r="F67" s="19" t="s">
        <v>70</v>
      </c>
      <c r="G67" s="10" t="s">
        <v>10</v>
      </c>
      <c r="H67" s="11">
        <v>2100</v>
      </c>
    </row>
    <row r="68" spans="1:8" ht="20.100000000000001" customHeight="1" x14ac:dyDescent="0.25">
      <c r="A68" s="78"/>
      <c r="B68" s="13"/>
      <c r="C68" s="14"/>
      <c r="D68" s="14"/>
      <c r="E68" s="14" t="s">
        <v>5</v>
      </c>
      <c r="F68" s="15"/>
      <c r="G68" s="16"/>
      <c r="H68" s="17">
        <f>SUM(H3:H67)</f>
        <v>69710</v>
      </c>
    </row>
    <row r="69" spans="1:8" ht="20.100000000000001" customHeight="1" x14ac:dyDescent="0.25">
      <c r="F69"/>
    </row>
    <row r="70" spans="1:8" x14ac:dyDescent="0.25">
      <c r="F70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1"/>
  <dimension ref="A1:H7"/>
  <sheetViews>
    <sheetView workbookViewId="0">
      <selection sqref="A1:A4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71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20.100000000000001" customHeight="1" x14ac:dyDescent="0.25">
      <c r="A3" s="77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11">
        <v>0</v>
      </c>
    </row>
    <row r="4" spans="1:8" ht="20.100000000000001" customHeight="1" x14ac:dyDescent="0.25">
      <c r="A4" s="78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F5"/>
    </row>
    <row r="6" spans="1:8" x14ac:dyDescent="0.25">
      <c r="F6"/>
    </row>
    <row r="7" spans="1:8" x14ac:dyDescent="0.25">
      <c r="F7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2"/>
  <dimension ref="A1:H9"/>
  <sheetViews>
    <sheetView workbookViewId="0">
      <selection sqref="A1:A5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4.855468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76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15.75" x14ac:dyDescent="0.25">
      <c r="A3" s="77"/>
      <c r="B3" s="2">
        <v>45887</v>
      </c>
      <c r="C3" s="3">
        <v>1168591268</v>
      </c>
      <c r="D3" s="3">
        <v>14</v>
      </c>
      <c r="E3" s="4" t="s">
        <v>292</v>
      </c>
      <c r="F3" s="4" t="s">
        <v>939</v>
      </c>
      <c r="G3" s="5" t="s">
        <v>6</v>
      </c>
      <c r="H3" s="6">
        <v>2450</v>
      </c>
    </row>
    <row r="4" spans="1:8" ht="20.100000000000001" customHeight="1" x14ac:dyDescent="0.25">
      <c r="A4" s="77"/>
      <c r="B4" s="2">
        <v>45887</v>
      </c>
      <c r="C4" s="3">
        <v>1168591268</v>
      </c>
      <c r="D4" s="3">
        <v>14</v>
      </c>
      <c r="E4" s="4" t="s">
        <v>292</v>
      </c>
      <c r="F4" s="4" t="s">
        <v>939</v>
      </c>
      <c r="G4" s="5" t="s">
        <v>6</v>
      </c>
      <c r="H4" s="6">
        <v>2450</v>
      </c>
    </row>
    <row r="5" spans="1:8" ht="20.100000000000001" customHeight="1" x14ac:dyDescent="0.25">
      <c r="A5" s="78"/>
      <c r="B5" s="13"/>
      <c r="C5" s="14"/>
      <c r="D5" s="14"/>
      <c r="E5" s="14" t="s">
        <v>5</v>
      </c>
      <c r="F5" s="15"/>
      <c r="G5" s="16"/>
      <c r="H5" s="17">
        <f>SUM(H3:H4)</f>
        <v>4900</v>
      </c>
    </row>
    <row r="6" spans="1:8" ht="20.100000000000001" customHeight="1" x14ac:dyDescent="0.25">
      <c r="F6"/>
    </row>
    <row r="7" spans="1:8" x14ac:dyDescent="0.25">
      <c r="F7"/>
    </row>
    <row r="8" spans="1:8" x14ac:dyDescent="0.25">
      <c r="F8"/>
    </row>
    <row r="9" spans="1:8" x14ac:dyDescent="0.25">
      <c r="F9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3"/>
  <dimension ref="A1:H14"/>
  <sheetViews>
    <sheetView workbookViewId="0">
      <selection sqref="A1:A12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14.28515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88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77"/>
      <c r="B2" s="87"/>
      <c r="C2" s="89"/>
      <c r="D2" s="89"/>
      <c r="E2" s="89"/>
      <c r="F2" s="89"/>
      <c r="G2" s="83"/>
      <c r="H2" s="85"/>
    </row>
    <row r="3" spans="1:8" ht="15" customHeight="1" x14ac:dyDescent="0.25">
      <c r="A3" s="77"/>
      <c r="B3" s="2">
        <v>45672</v>
      </c>
      <c r="C3" s="3">
        <v>2532394920</v>
      </c>
      <c r="D3" s="3">
        <v>1</v>
      </c>
      <c r="E3" s="4" t="s">
        <v>127</v>
      </c>
      <c r="F3" s="19" t="s">
        <v>118</v>
      </c>
      <c r="G3" s="10" t="s">
        <v>11</v>
      </c>
      <c r="H3" s="11">
        <v>400</v>
      </c>
    </row>
    <row r="4" spans="1:8" ht="15" customHeight="1" x14ac:dyDescent="0.25">
      <c r="A4" s="77"/>
      <c r="B4" s="2">
        <v>45672</v>
      </c>
      <c r="C4" s="3">
        <v>977554809</v>
      </c>
      <c r="D4" s="3">
        <v>1</v>
      </c>
      <c r="E4" s="4" t="s">
        <v>126</v>
      </c>
      <c r="F4" s="19" t="s">
        <v>118</v>
      </c>
      <c r="G4" s="10" t="s">
        <v>11</v>
      </c>
      <c r="H4" s="11">
        <v>400</v>
      </c>
    </row>
    <row r="5" spans="1:8" ht="15" customHeight="1" x14ac:dyDescent="0.25">
      <c r="A5" s="77"/>
      <c r="B5" s="2">
        <v>45721</v>
      </c>
      <c r="C5" s="3">
        <v>1278821131</v>
      </c>
      <c r="D5" s="3">
        <v>1</v>
      </c>
      <c r="E5" s="4" t="s">
        <v>127</v>
      </c>
      <c r="F5" s="19" t="s">
        <v>118</v>
      </c>
      <c r="G5" s="10" t="s">
        <v>11</v>
      </c>
      <c r="H5" s="11">
        <v>400</v>
      </c>
    </row>
    <row r="6" spans="1:8" ht="15" customHeight="1" x14ac:dyDescent="0.25">
      <c r="A6" s="77"/>
      <c r="B6" s="2">
        <v>45721</v>
      </c>
      <c r="C6" s="3">
        <v>2757575098</v>
      </c>
      <c r="D6" s="3">
        <v>1</v>
      </c>
      <c r="E6" s="4" t="s">
        <v>126</v>
      </c>
      <c r="F6" s="19" t="s">
        <v>118</v>
      </c>
      <c r="G6" s="10" t="s">
        <v>11</v>
      </c>
      <c r="H6" s="11">
        <v>400</v>
      </c>
    </row>
    <row r="7" spans="1:8" ht="15" customHeight="1" x14ac:dyDescent="0.25">
      <c r="A7" s="77"/>
      <c r="B7" s="2">
        <v>45775</v>
      </c>
      <c r="C7" s="3">
        <v>288246761</v>
      </c>
      <c r="D7" s="3">
        <v>1</v>
      </c>
      <c r="E7" s="4" t="s">
        <v>585</v>
      </c>
      <c r="F7" s="19" t="s">
        <v>118</v>
      </c>
      <c r="G7" s="10" t="s">
        <v>6</v>
      </c>
      <c r="H7" s="11">
        <v>400</v>
      </c>
    </row>
    <row r="8" spans="1:8" ht="15" customHeight="1" x14ac:dyDescent="0.25">
      <c r="A8" s="77"/>
      <c r="B8" s="47">
        <v>45930</v>
      </c>
      <c r="C8" s="48">
        <v>389562651</v>
      </c>
      <c r="D8" s="3">
        <v>2</v>
      </c>
      <c r="E8" s="28" t="s">
        <v>1009</v>
      </c>
      <c r="F8" s="28" t="s">
        <v>118</v>
      </c>
      <c r="G8" s="49" t="s">
        <v>6</v>
      </c>
      <c r="H8" s="6">
        <v>800</v>
      </c>
    </row>
    <row r="9" spans="1:8" ht="15" customHeight="1" x14ac:dyDescent="0.25">
      <c r="A9" s="77"/>
      <c r="B9" s="47">
        <v>45937</v>
      </c>
      <c r="C9" s="48">
        <v>2531345147</v>
      </c>
      <c r="D9" s="3">
        <v>1</v>
      </c>
      <c r="E9" s="28" t="s">
        <v>1078</v>
      </c>
      <c r="F9" s="28" t="s">
        <v>1079</v>
      </c>
      <c r="G9" s="49" t="s">
        <v>10</v>
      </c>
      <c r="H9" s="6">
        <v>400</v>
      </c>
    </row>
    <row r="10" spans="1:8" ht="15" customHeight="1" x14ac:dyDescent="0.25">
      <c r="A10" s="77"/>
      <c r="B10" s="2">
        <v>45988</v>
      </c>
      <c r="C10" s="3">
        <v>3080603685</v>
      </c>
      <c r="D10" s="3">
        <v>1</v>
      </c>
      <c r="E10" s="4" t="s">
        <v>1225</v>
      </c>
      <c r="F10" s="19" t="s">
        <v>118</v>
      </c>
      <c r="G10" s="10" t="s">
        <v>11</v>
      </c>
      <c r="H10" s="11">
        <v>400</v>
      </c>
    </row>
    <row r="11" spans="1:8" ht="15" customHeight="1" x14ac:dyDescent="0.25">
      <c r="A11" s="77"/>
      <c r="B11" s="2">
        <v>46006</v>
      </c>
      <c r="C11" s="3">
        <v>2964341866</v>
      </c>
      <c r="D11" s="3">
        <v>1</v>
      </c>
      <c r="E11" s="4" t="s">
        <v>126</v>
      </c>
      <c r="F11" s="19" t="s">
        <v>118</v>
      </c>
      <c r="G11" s="10" t="s">
        <v>11</v>
      </c>
      <c r="H11" s="11">
        <v>400</v>
      </c>
    </row>
    <row r="12" spans="1:8" ht="20.100000000000001" customHeight="1" x14ac:dyDescent="0.25">
      <c r="A12" s="78"/>
      <c r="B12" s="13"/>
      <c r="C12" s="14"/>
      <c r="D12" s="14"/>
      <c r="E12" s="14" t="s">
        <v>5</v>
      </c>
      <c r="F12" s="15"/>
      <c r="G12" s="16"/>
      <c r="H12" s="17">
        <f>SUM(H3:H11)</f>
        <v>4000</v>
      </c>
    </row>
    <row r="13" spans="1:8" ht="20.100000000000001" customHeight="1" x14ac:dyDescent="0.25">
      <c r="F13"/>
    </row>
    <row r="14" spans="1:8" x14ac:dyDescent="0.25">
      <c r="F14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4"/>
  <dimension ref="A1:H6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0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97" t="s">
        <v>108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98"/>
      <c r="B2" s="87"/>
      <c r="C2" s="89"/>
      <c r="D2" s="89"/>
      <c r="E2" s="89"/>
      <c r="F2" s="89"/>
      <c r="G2" s="83"/>
      <c r="H2" s="85"/>
    </row>
    <row r="3" spans="1:8" ht="29.25" customHeight="1" x14ac:dyDescent="0.25">
      <c r="A3" s="98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11">
        <v>0</v>
      </c>
    </row>
    <row r="4" spans="1:8" ht="20.100000000000001" customHeight="1" x14ac:dyDescent="0.25">
      <c r="A4" s="99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F5"/>
    </row>
    <row r="6" spans="1:8" x14ac:dyDescent="0.25">
      <c r="F6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5"/>
  <dimension ref="A1:H78"/>
  <sheetViews>
    <sheetView workbookViewId="0">
      <pane ySplit="2" topLeftCell="A60" activePane="bottomLeft" state="frozen"/>
      <selection pane="bottomLeft" activeCell="A77" sqref="A77:H78"/>
    </sheetView>
  </sheetViews>
  <sheetFormatPr baseColWidth="10" defaultColWidth="9.140625" defaultRowHeight="15" x14ac:dyDescent="0.25"/>
  <cols>
    <col min="1" max="1" width="16.7109375" customWidth="1"/>
    <col min="2" max="2" width="14" bestFit="1" customWidth="1"/>
    <col min="3" max="3" width="17.42578125" customWidth="1"/>
    <col min="4" max="4" width="11" customWidth="1"/>
    <col min="5" max="5" width="32.42578125" bestFit="1" customWidth="1"/>
    <col min="6" max="6" width="27.28515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109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29.25" customHeight="1" x14ac:dyDescent="0.25">
      <c r="A3" s="54"/>
      <c r="B3" s="2">
        <v>45670</v>
      </c>
      <c r="C3" s="3">
        <v>905790537</v>
      </c>
      <c r="D3" s="3">
        <v>5</v>
      </c>
      <c r="E3" s="4" t="s">
        <v>186</v>
      </c>
      <c r="F3" s="19" t="s">
        <v>109</v>
      </c>
      <c r="G3" s="10" t="s">
        <v>6</v>
      </c>
      <c r="H3" s="6">
        <v>2500</v>
      </c>
    </row>
    <row r="4" spans="1:8" ht="20.100000000000001" customHeight="1" x14ac:dyDescent="0.25">
      <c r="A4" s="54"/>
      <c r="B4" s="2">
        <v>45670</v>
      </c>
      <c r="C4" s="3">
        <v>3992536380</v>
      </c>
      <c r="D4" s="3">
        <v>1</v>
      </c>
      <c r="E4" s="4" t="s">
        <v>189</v>
      </c>
      <c r="F4" s="19" t="s">
        <v>109</v>
      </c>
      <c r="G4" s="10" t="s">
        <v>6</v>
      </c>
      <c r="H4" s="6">
        <v>250</v>
      </c>
    </row>
    <row r="5" spans="1:8" ht="20.100000000000001" customHeight="1" x14ac:dyDescent="0.25">
      <c r="A5" s="54"/>
      <c r="B5" s="2">
        <v>45677</v>
      </c>
      <c r="C5" s="3">
        <v>1116554040</v>
      </c>
      <c r="D5" s="3">
        <v>5</v>
      </c>
      <c r="E5" s="4" t="s">
        <v>136</v>
      </c>
      <c r="F5" s="19" t="s">
        <v>109</v>
      </c>
      <c r="G5" s="10" t="s">
        <v>7</v>
      </c>
      <c r="H5" s="6">
        <v>2500</v>
      </c>
    </row>
    <row r="6" spans="1:8" ht="20.100000000000001" customHeight="1" x14ac:dyDescent="0.25">
      <c r="A6" s="54"/>
      <c r="B6" s="2">
        <v>45680</v>
      </c>
      <c r="C6" s="3">
        <v>1753695272</v>
      </c>
      <c r="D6" s="3">
        <v>4</v>
      </c>
      <c r="E6" s="4" t="s">
        <v>186</v>
      </c>
      <c r="F6" s="19" t="s">
        <v>109</v>
      </c>
      <c r="G6" s="10" t="s">
        <v>6</v>
      </c>
      <c r="H6" s="6">
        <v>2000</v>
      </c>
    </row>
    <row r="7" spans="1:8" ht="20.100000000000001" customHeight="1" x14ac:dyDescent="0.25">
      <c r="A7" s="54"/>
      <c r="B7" s="2">
        <v>45701</v>
      </c>
      <c r="C7" s="3">
        <v>2066762206</v>
      </c>
      <c r="D7" s="3">
        <v>3</v>
      </c>
      <c r="E7" s="19" t="s">
        <v>136</v>
      </c>
      <c r="F7" s="19" t="s">
        <v>109</v>
      </c>
      <c r="G7" s="10" t="s">
        <v>19</v>
      </c>
      <c r="H7" s="11">
        <v>1500</v>
      </c>
    </row>
    <row r="8" spans="1:8" ht="20.100000000000001" customHeight="1" x14ac:dyDescent="0.25">
      <c r="A8" s="54"/>
      <c r="B8" s="2">
        <v>45702</v>
      </c>
      <c r="C8" s="3">
        <v>1325157371</v>
      </c>
      <c r="D8" s="3">
        <v>10</v>
      </c>
      <c r="E8" s="4" t="s">
        <v>325</v>
      </c>
      <c r="F8" s="19" t="s">
        <v>109</v>
      </c>
      <c r="G8" s="10" t="s">
        <v>7</v>
      </c>
      <c r="H8" s="6">
        <v>5000</v>
      </c>
    </row>
    <row r="9" spans="1:8" ht="20.100000000000001" customHeight="1" x14ac:dyDescent="0.25">
      <c r="A9" s="54"/>
      <c r="B9" s="2">
        <v>45714</v>
      </c>
      <c r="C9" s="3">
        <v>1983139464</v>
      </c>
      <c r="D9" s="3">
        <v>5</v>
      </c>
      <c r="E9" s="4" t="s">
        <v>326</v>
      </c>
      <c r="F9" s="19" t="s">
        <v>109</v>
      </c>
      <c r="G9" s="10" t="s">
        <v>7</v>
      </c>
      <c r="H9" s="6">
        <v>2500</v>
      </c>
    </row>
    <row r="10" spans="1:8" ht="20.100000000000001" customHeight="1" x14ac:dyDescent="0.25">
      <c r="A10" s="54"/>
      <c r="B10" s="2">
        <v>45729</v>
      </c>
      <c r="C10" s="3">
        <v>1788824871</v>
      </c>
      <c r="D10" s="3">
        <v>10</v>
      </c>
      <c r="E10" s="4" t="s">
        <v>507</v>
      </c>
      <c r="F10" s="19" t="s">
        <v>109</v>
      </c>
      <c r="G10" s="10" t="s">
        <v>7</v>
      </c>
      <c r="H10" s="6">
        <v>5000</v>
      </c>
    </row>
    <row r="11" spans="1:8" ht="20.100000000000001" customHeight="1" x14ac:dyDescent="0.25">
      <c r="A11" s="54"/>
      <c r="B11" s="2">
        <v>45730</v>
      </c>
      <c r="C11" s="3">
        <v>1091388612</v>
      </c>
      <c r="D11" s="3">
        <v>10</v>
      </c>
      <c r="E11" s="4" t="s">
        <v>168</v>
      </c>
      <c r="F11" s="19" t="s">
        <v>109</v>
      </c>
      <c r="G11" s="10" t="s">
        <v>7</v>
      </c>
      <c r="H11" s="6">
        <v>5000</v>
      </c>
    </row>
    <row r="12" spans="1:8" ht="20.100000000000001" customHeight="1" x14ac:dyDescent="0.25">
      <c r="A12" s="54"/>
      <c r="B12" s="2">
        <v>45744</v>
      </c>
      <c r="C12" s="3">
        <v>48385659</v>
      </c>
      <c r="D12" s="3">
        <v>10</v>
      </c>
      <c r="E12" s="4" t="s">
        <v>508</v>
      </c>
      <c r="F12" s="19" t="s">
        <v>109</v>
      </c>
      <c r="G12" s="10" t="s">
        <v>6</v>
      </c>
      <c r="H12" s="6">
        <v>5000</v>
      </c>
    </row>
    <row r="13" spans="1:8" ht="20.100000000000001" customHeight="1" x14ac:dyDescent="0.25">
      <c r="A13" s="54"/>
      <c r="B13" s="2">
        <v>45747</v>
      </c>
      <c r="C13" s="3">
        <v>333070738</v>
      </c>
      <c r="D13" s="3">
        <v>10</v>
      </c>
      <c r="E13" s="4" t="s">
        <v>378</v>
      </c>
      <c r="F13" s="19" t="s">
        <v>109</v>
      </c>
      <c r="G13" s="10" t="s">
        <v>7</v>
      </c>
      <c r="H13" s="6">
        <v>5000</v>
      </c>
    </row>
    <row r="14" spans="1:8" ht="20.100000000000001" customHeight="1" x14ac:dyDescent="0.25">
      <c r="A14" s="54"/>
      <c r="B14" s="2">
        <v>45749</v>
      </c>
      <c r="C14" s="3">
        <v>1490896893</v>
      </c>
      <c r="D14" s="3">
        <v>10</v>
      </c>
      <c r="E14" s="4" t="s">
        <v>579</v>
      </c>
      <c r="F14" s="19" t="s">
        <v>109</v>
      </c>
      <c r="G14" s="10" t="s">
        <v>7</v>
      </c>
      <c r="H14" s="6">
        <v>5000</v>
      </c>
    </row>
    <row r="15" spans="1:8" ht="20.100000000000001" customHeight="1" x14ac:dyDescent="0.25">
      <c r="A15" s="54"/>
      <c r="B15" s="2">
        <v>45757</v>
      </c>
      <c r="C15" s="3">
        <v>2459780968</v>
      </c>
      <c r="D15" s="3">
        <v>10</v>
      </c>
      <c r="E15" s="4" t="s">
        <v>521</v>
      </c>
      <c r="F15" s="19" t="s">
        <v>109</v>
      </c>
      <c r="G15" s="10" t="s">
        <v>19</v>
      </c>
      <c r="H15" s="6">
        <v>5000</v>
      </c>
    </row>
    <row r="16" spans="1:8" ht="20.100000000000001" customHeight="1" x14ac:dyDescent="0.25">
      <c r="A16" s="54"/>
      <c r="B16" s="2">
        <v>45758</v>
      </c>
      <c r="C16" s="3">
        <v>3091286817</v>
      </c>
      <c r="D16" s="3">
        <v>5</v>
      </c>
      <c r="E16" s="4" t="s">
        <v>580</v>
      </c>
      <c r="F16" s="19" t="s">
        <v>109</v>
      </c>
      <c r="G16" s="10" t="s">
        <v>7</v>
      </c>
      <c r="H16" s="6">
        <v>2500</v>
      </c>
    </row>
    <row r="17" spans="1:8" ht="20.100000000000001" customHeight="1" x14ac:dyDescent="0.25">
      <c r="A17" s="54"/>
      <c r="B17" s="2">
        <v>45776</v>
      </c>
      <c r="C17" s="3">
        <v>995378395</v>
      </c>
      <c r="D17" s="3">
        <v>4</v>
      </c>
      <c r="E17" s="4" t="s">
        <v>577</v>
      </c>
      <c r="F17" s="19" t="s">
        <v>109</v>
      </c>
      <c r="G17" s="10" t="s">
        <v>6</v>
      </c>
      <c r="H17" s="6">
        <v>2000</v>
      </c>
    </row>
    <row r="18" spans="1:8" ht="20.100000000000001" customHeight="1" x14ac:dyDescent="0.25">
      <c r="A18" s="54"/>
      <c r="B18" s="2">
        <v>45776</v>
      </c>
      <c r="C18" s="3">
        <v>2809219912</v>
      </c>
      <c r="D18" s="3">
        <v>5</v>
      </c>
      <c r="E18" s="4" t="s">
        <v>578</v>
      </c>
      <c r="F18" s="19" t="s">
        <v>109</v>
      </c>
      <c r="G18" s="10" t="s">
        <v>7</v>
      </c>
      <c r="H18" s="6">
        <v>2500</v>
      </c>
    </row>
    <row r="19" spans="1:8" ht="20.100000000000001" customHeight="1" x14ac:dyDescent="0.25">
      <c r="A19" s="54"/>
      <c r="B19" s="2">
        <v>45783</v>
      </c>
      <c r="C19" s="3">
        <v>3957475245</v>
      </c>
      <c r="D19" s="3">
        <v>6</v>
      </c>
      <c r="E19" s="4" t="s">
        <v>379</v>
      </c>
      <c r="F19" s="19" t="s">
        <v>109</v>
      </c>
      <c r="G19" s="10" t="s">
        <v>6</v>
      </c>
      <c r="H19" s="6">
        <v>3000</v>
      </c>
    </row>
    <row r="20" spans="1:8" ht="20.100000000000001" customHeight="1" x14ac:dyDescent="0.25">
      <c r="A20" s="54"/>
      <c r="B20" s="2">
        <v>45796</v>
      </c>
      <c r="C20" s="3">
        <v>2963359813</v>
      </c>
      <c r="D20" s="3">
        <v>8</v>
      </c>
      <c r="E20" s="4" t="s">
        <v>672</v>
      </c>
      <c r="F20" s="19" t="s">
        <v>109</v>
      </c>
      <c r="G20" s="10" t="s">
        <v>6</v>
      </c>
      <c r="H20" s="6">
        <v>4000</v>
      </c>
    </row>
    <row r="21" spans="1:8" ht="20.100000000000001" customHeight="1" x14ac:dyDescent="0.25">
      <c r="A21" s="54"/>
      <c r="B21" s="2">
        <v>45803</v>
      </c>
      <c r="C21" s="3">
        <v>287264058</v>
      </c>
      <c r="D21" s="3">
        <v>4</v>
      </c>
      <c r="E21" s="4" t="s">
        <v>720</v>
      </c>
      <c r="F21" s="19" t="s">
        <v>109</v>
      </c>
      <c r="G21" s="10" t="s">
        <v>11</v>
      </c>
      <c r="H21" s="6">
        <v>2000</v>
      </c>
    </row>
    <row r="22" spans="1:8" ht="20.100000000000001" customHeight="1" x14ac:dyDescent="0.25">
      <c r="A22" s="54"/>
      <c r="B22" s="2">
        <v>45804</v>
      </c>
      <c r="C22" s="3">
        <v>2699905112</v>
      </c>
      <c r="D22" s="3">
        <v>5</v>
      </c>
      <c r="E22" s="4" t="s">
        <v>721</v>
      </c>
      <c r="F22" s="19" t="s">
        <v>109</v>
      </c>
      <c r="G22" s="10" t="s">
        <v>19</v>
      </c>
      <c r="H22" s="6">
        <v>2500</v>
      </c>
    </row>
    <row r="23" spans="1:8" ht="20.100000000000001" customHeight="1" x14ac:dyDescent="0.25">
      <c r="A23" s="54"/>
      <c r="B23" s="2">
        <v>45810</v>
      </c>
      <c r="C23" s="3">
        <v>3128247891</v>
      </c>
      <c r="D23" s="3">
        <v>5</v>
      </c>
      <c r="E23" s="4" t="s">
        <v>628</v>
      </c>
      <c r="F23" s="19" t="s">
        <v>109</v>
      </c>
      <c r="G23" s="10" t="s">
        <v>7</v>
      </c>
      <c r="H23" s="6">
        <v>2500</v>
      </c>
    </row>
    <row r="24" spans="1:8" ht="20.100000000000001" customHeight="1" x14ac:dyDescent="0.25">
      <c r="A24" s="54"/>
      <c r="B24" s="2">
        <v>45810</v>
      </c>
      <c r="C24" s="3">
        <v>2274314099</v>
      </c>
      <c r="D24" s="3">
        <v>3</v>
      </c>
      <c r="E24" s="4" t="s">
        <v>724</v>
      </c>
      <c r="F24" s="19" t="s">
        <v>109</v>
      </c>
      <c r="G24" s="10" t="s">
        <v>6</v>
      </c>
      <c r="H24" s="6">
        <v>1500</v>
      </c>
    </row>
    <row r="25" spans="1:8" ht="20.100000000000001" customHeight="1" x14ac:dyDescent="0.25">
      <c r="A25" s="54"/>
      <c r="B25" s="2">
        <v>45819</v>
      </c>
      <c r="C25" s="3">
        <v>305483539</v>
      </c>
      <c r="D25" s="3">
        <v>6</v>
      </c>
      <c r="E25" s="4" t="s">
        <v>643</v>
      </c>
      <c r="F25" s="19" t="s">
        <v>109</v>
      </c>
      <c r="G25" s="10" t="s">
        <v>6</v>
      </c>
      <c r="H25" s="6">
        <v>3000</v>
      </c>
    </row>
    <row r="26" spans="1:8" ht="20.100000000000001" customHeight="1" x14ac:dyDescent="0.25">
      <c r="A26" s="54"/>
      <c r="B26" s="2">
        <v>45819</v>
      </c>
      <c r="C26" s="3">
        <v>4127080507</v>
      </c>
      <c r="D26" s="3">
        <v>6</v>
      </c>
      <c r="E26" s="4" t="s">
        <v>727</v>
      </c>
      <c r="F26" s="19" t="s">
        <v>109</v>
      </c>
      <c r="G26" s="10" t="s">
        <v>6</v>
      </c>
      <c r="H26" s="6">
        <v>3000</v>
      </c>
    </row>
    <row r="27" spans="1:8" ht="20.100000000000001" customHeight="1" x14ac:dyDescent="0.25">
      <c r="A27" s="54"/>
      <c r="B27" s="2">
        <v>45833</v>
      </c>
      <c r="C27" s="3">
        <v>3108127960</v>
      </c>
      <c r="D27" s="3">
        <v>1</v>
      </c>
      <c r="E27" s="4" t="s">
        <v>727</v>
      </c>
      <c r="F27" s="19" t="s">
        <v>109</v>
      </c>
      <c r="G27" s="10" t="s">
        <v>6</v>
      </c>
      <c r="H27" s="6">
        <v>500</v>
      </c>
    </row>
    <row r="28" spans="1:8" ht="20.100000000000001" customHeight="1" x14ac:dyDescent="0.25">
      <c r="A28" s="54"/>
      <c r="B28" s="2">
        <v>45834</v>
      </c>
      <c r="C28" s="3">
        <v>3118744463</v>
      </c>
      <c r="D28" s="3">
        <v>1</v>
      </c>
      <c r="E28" s="4" t="s">
        <v>727</v>
      </c>
      <c r="F28" s="19" t="s">
        <v>109</v>
      </c>
      <c r="G28" s="10" t="s">
        <v>7</v>
      </c>
      <c r="H28" s="6">
        <v>500</v>
      </c>
    </row>
    <row r="29" spans="1:8" ht="20.100000000000001" customHeight="1" x14ac:dyDescent="0.25">
      <c r="A29" s="54"/>
      <c r="B29" s="2">
        <v>45835</v>
      </c>
      <c r="C29" s="3">
        <v>2470071876</v>
      </c>
      <c r="D29" s="3">
        <v>5</v>
      </c>
      <c r="E29" s="4" t="s">
        <v>312</v>
      </c>
      <c r="F29" s="19" t="s">
        <v>109</v>
      </c>
      <c r="G29" s="10" t="s">
        <v>19</v>
      </c>
      <c r="H29" s="6">
        <v>2500</v>
      </c>
    </row>
    <row r="30" spans="1:8" ht="20.100000000000001" customHeight="1" x14ac:dyDescent="0.25">
      <c r="A30" s="54"/>
      <c r="B30" s="2">
        <v>45835</v>
      </c>
      <c r="C30" s="3">
        <v>1960527602</v>
      </c>
      <c r="D30" s="3">
        <v>1</v>
      </c>
      <c r="E30" s="4" t="s">
        <v>727</v>
      </c>
      <c r="F30" s="19" t="s">
        <v>109</v>
      </c>
      <c r="G30" s="10" t="s">
        <v>7</v>
      </c>
      <c r="H30" s="6">
        <v>500</v>
      </c>
    </row>
    <row r="31" spans="1:8" ht="20.100000000000001" customHeight="1" x14ac:dyDescent="0.25">
      <c r="A31" s="54"/>
      <c r="B31" s="2">
        <v>45846</v>
      </c>
      <c r="C31" s="3">
        <v>3658629559</v>
      </c>
      <c r="D31" s="3">
        <v>10</v>
      </c>
      <c r="E31" s="4" t="s">
        <v>568</v>
      </c>
      <c r="F31" s="19" t="s">
        <v>109</v>
      </c>
      <c r="G31" s="10" t="s">
        <v>19</v>
      </c>
      <c r="H31" s="6">
        <v>5000</v>
      </c>
    </row>
    <row r="32" spans="1:8" ht="20.100000000000001" customHeight="1" x14ac:dyDescent="0.25">
      <c r="A32" s="54"/>
      <c r="B32" s="2">
        <v>45852</v>
      </c>
      <c r="C32" s="3">
        <v>542786875</v>
      </c>
      <c r="D32" s="3">
        <v>5</v>
      </c>
      <c r="E32" s="4" t="s">
        <v>811</v>
      </c>
      <c r="F32" s="19" t="s">
        <v>109</v>
      </c>
      <c r="G32" s="10" t="s">
        <v>7</v>
      </c>
      <c r="H32" s="6">
        <v>2500</v>
      </c>
    </row>
    <row r="33" spans="1:8" ht="20.100000000000001" customHeight="1" x14ac:dyDescent="0.25">
      <c r="A33" s="54"/>
      <c r="B33" s="2">
        <v>45855</v>
      </c>
      <c r="C33" s="3">
        <v>3902361099</v>
      </c>
      <c r="D33" s="3">
        <v>3</v>
      </c>
      <c r="E33" s="4" t="s">
        <v>873</v>
      </c>
      <c r="F33" s="19" t="s">
        <v>109</v>
      </c>
      <c r="G33" s="10" t="s">
        <v>10</v>
      </c>
      <c r="H33" s="6">
        <v>1500</v>
      </c>
    </row>
    <row r="34" spans="1:8" ht="20.100000000000001" customHeight="1" x14ac:dyDescent="0.25">
      <c r="A34" s="54"/>
      <c r="B34" s="2">
        <v>45859</v>
      </c>
      <c r="C34" s="3">
        <v>6114874</v>
      </c>
      <c r="D34" s="3">
        <v>7</v>
      </c>
      <c r="E34" s="4" t="s">
        <v>568</v>
      </c>
      <c r="F34" s="19" t="s">
        <v>109</v>
      </c>
      <c r="G34" s="10" t="s">
        <v>7</v>
      </c>
      <c r="H34" s="6">
        <v>3500</v>
      </c>
    </row>
    <row r="35" spans="1:8" ht="20.100000000000001" customHeight="1" x14ac:dyDescent="0.25">
      <c r="A35" s="54"/>
      <c r="B35" s="2">
        <v>45867</v>
      </c>
      <c r="C35" s="3">
        <v>453657721</v>
      </c>
      <c r="D35" s="3">
        <v>6</v>
      </c>
      <c r="E35" s="4" t="s">
        <v>379</v>
      </c>
      <c r="F35" s="19" t="s">
        <v>109</v>
      </c>
      <c r="G35" s="10" t="s">
        <v>6</v>
      </c>
      <c r="H35" s="6">
        <v>3000</v>
      </c>
    </row>
    <row r="36" spans="1:8" ht="20.100000000000001" customHeight="1" x14ac:dyDescent="0.25">
      <c r="A36" s="54"/>
      <c r="B36" s="2">
        <v>45877</v>
      </c>
      <c r="C36" s="3">
        <v>2225684895</v>
      </c>
      <c r="D36" s="3">
        <v>5</v>
      </c>
      <c r="E36" s="4" t="s">
        <v>568</v>
      </c>
      <c r="F36" s="4" t="s">
        <v>109</v>
      </c>
      <c r="G36" s="5" t="s">
        <v>6</v>
      </c>
      <c r="H36" s="6">
        <v>2500</v>
      </c>
    </row>
    <row r="37" spans="1:8" ht="20.100000000000001" customHeight="1" x14ac:dyDescent="0.25">
      <c r="A37" s="54"/>
      <c r="B37" s="2">
        <v>45882</v>
      </c>
      <c r="C37" s="3">
        <v>320490447</v>
      </c>
      <c r="D37" s="3">
        <v>5</v>
      </c>
      <c r="E37" s="4" t="s">
        <v>931</v>
      </c>
      <c r="F37" s="4" t="s">
        <v>109</v>
      </c>
      <c r="G37" s="5" t="s">
        <v>7</v>
      </c>
      <c r="H37" s="6">
        <v>2500</v>
      </c>
    </row>
    <row r="38" spans="1:8" ht="20.100000000000001" customHeight="1" x14ac:dyDescent="0.25">
      <c r="A38" s="54"/>
      <c r="B38" s="2">
        <v>45887</v>
      </c>
      <c r="C38" s="3">
        <v>217925739</v>
      </c>
      <c r="D38" s="3">
        <v>6</v>
      </c>
      <c r="E38" s="4" t="s">
        <v>932</v>
      </c>
      <c r="F38" s="4" t="s">
        <v>109</v>
      </c>
      <c r="G38" s="5" t="s">
        <v>10</v>
      </c>
      <c r="H38" s="6">
        <v>3000</v>
      </c>
    </row>
    <row r="39" spans="1:8" ht="20.100000000000001" customHeight="1" x14ac:dyDescent="0.25">
      <c r="A39" s="54"/>
      <c r="B39" s="2">
        <v>45888</v>
      </c>
      <c r="C39" s="3">
        <v>1500728333</v>
      </c>
      <c r="D39" s="3">
        <v>6</v>
      </c>
      <c r="E39" s="4" t="s">
        <v>933</v>
      </c>
      <c r="F39" s="4" t="s">
        <v>109</v>
      </c>
      <c r="G39" s="5" t="s">
        <v>19</v>
      </c>
      <c r="H39" s="6">
        <v>3000</v>
      </c>
    </row>
    <row r="40" spans="1:8" ht="20.100000000000001" customHeight="1" x14ac:dyDescent="0.25">
      <c r="A40" s="54"/>
      <c r="B40" s="2">
        <v>45890</v>
      </c>
      <c r="C40" s="3">
        <v>4255730280</v>
      </c>
      <c r="D40" s="3">
        <v>1</v>
      </c>
      <c r="E40" s="4" t="s">
        <v>940</v>
      </c>
      <c r="F40" s="4" t="s">
        <v>109</v>
      </c>
      <c r="G40" s="5" t="s">
        <v>6</v>
      </c>
      <c r="H40" s="6">
        <v>500</v>
      </c>
    </row>
    <row r="41" spans="1:8" ht="20.100000000000001" customHeight="1" x14ac:dyDescent="0.25">
      <c r="A41" s="54"/>
      <c r="B41" s="2">
        <v>45894</v>
      </c>
      <c r="C41" s="3">
        <v>3849536817</v>
      </c>
      <c r="D41" s="3">
        <v>5</v>
      </c>
      <c r="E41" s="4" t="s">
        <v>934</v>
      </c>
      <c r="F41" s="4" t="s">
        <v>109</v>
      </c>
      <c r="G41" s="5" t="s">
        <v>6</v>
      </c>
      <c r="H41" s="6">
        <v>2500</v>
      </c>
    </row>
    <row r="42" spans="1:8" ht="20.100000000000001" customHeight="1" x14ac:dyDescent="0.25">
      <c r="A42" s="54"/>
      <c r="B42" s="2">
        <v>45896</v>
      </c>
      <c r="C42" s="3">
        <v>3884401090</v>
      </c>
      <c r="D42" s="3">
        <v>5</v>
      </c>
      <c r="E42" s="4" t="s">
        <v>936</v>
      </c>
      <c r="F42" s="4" t="s">
        <v>109</v>
      </c>
      <c r="G42" s="5" t="s">
        <v>7</v>
      </c>
      <c r="H42" s="6">
        <v>2500</v>
      </c>
    </row>
    <row r="43" spans="1:8" ht="20.100000000000001" customHeight="1" x14ac:dyDescent="0.25">
      <c r="A43" s="54"/>
      <c r="B43" s="2">
        <v>45897</v>
      </c>
      <c r="C43" s="3">
        <v>3584117637</v>
      </c>
      <c r="D43" s="3">
        <v>2</v>
      </c>
      <c r="E43" s="4" t="s">
        <v>925</v>
      </c>
      <c r="F43" s="4" t="s">
        <v>109</v>
      </c>
      <c r="G43" s="5" t="s">
        <v>6</v>
      </c>
      <c r="H43" s="6">
        <v>1000</v>
      </c>
    </row>
    <row r="44" spans="1:8" ht="20.100000000000001" customHeight="1" x14ac:dyDescent="0.25">
      <c r="A44" s="54"/>
      <c r="B44" s="47">
        <v>45902</v>
      </c>
      <c r="C44" s="48">
        <v>602030791</v>
      </c>
      <c r="D44" s="3">
        <v>6</v>
      </c>
      <c r="E44" s="28" t="s">
        <v>999</v>
      </c>
      <c r="F44" s="28" t="s">
        <v>109</v>
      </c>
      <c r="G44" s="49" t="s">
        <v>6</v>
      </c>
      <c r="H44" s="6">
        <v>3000</v>
      </c>
    </row>
    <row r="45" spans="1:8" ht="20.100000000000001" customHeight="1" x14ac:dyDescent="0.25">
      <c r="A45" s="54"/>
      <c r="B45" s="47">
        <v>45908</v>
      </c>
      <c r="C45" s="48">
        <v>1331250052</v>
      </c>
      <c r="D45" s="3">
        <v>5</v>
      </c>
      <c r="E45" s="28" t="s">
        <v>1013</v>
      </c>
      <c r="F45" s="28" t="s">
        <v>109</v>
      </c>
      <c r="G45" s="49" t="s">
        <v>6</v>
      </c>
      <c r="H45" s="6">
        <v>2500</v>
      </c>
    </row>
    <row r="46" spans="1:8" ht="20.100000000000001" customHeight="1" x14ac:dyDescent="0.25">
      <c r="A46" s="54"/>
      <c r="B46" s="47">
        <v>45912</v>
      </c>
      <c r="C46" s="48">
        <v>1249723795</v>
      </c>
      <c r="D46" s="3">
        <v>4</v>
      </c>
      <c r="E46" s="28" t="s">
        <v>1014</v>
      </c>
      <c r="F46" s="28" t="s">
        <v>109</v>
      </c>
      <c r="G46" s="49" t="s">
        <v>6</v>
      </c>
      <c r="H46" s="6">
        <v>2000</v>
      </c>
    </row>
    <row r="47" spans="1:8" ht="20.100000000000001" customHeight="1" x14ac:dyDescent="0.25">
      <c r="A47" s="54"/>
      <c r="B47" s="47">
        <v>45916</v>
      </c>
      <c r="C47" s="48">
        <v>2515025969</v>
      </c>
      <c r="D47" s="3">
        <v>6</v>
      </c>
      <c r="E47" s="28" t="s">
        <v>1015</v>
      </c>
      <c r="F47" s="28" t="s">
        <v>109</v>
      </c>
      <c r="G47" s="49" t="s">
        <v>7</v>
      </c>
      <c r="H47" s="6">
        <v>3000</v>
      </c>
    </row>
    <row r="48" spans="1:8" ht="20.100000000000001" customHeight="1" x14ac:dyDescent="0.25">
      <c r="A48" s="54"/>
      <c r="B48" s="47">
        <v>45916</v>
      </c>
      <c r="C48" s="48">
        <v>3828698114</v>
      </c>
      <c r="D48" s="3">
        <v>6</v>
      </c>
      <c r="E48" s="28" t="s">
        <v>1021</v>
      </c>
      <c r="F48" s="28" t="s">
        <v>109</v>
      </c>
      <c r="G48" s="49" t="s">
        <v>7</v>
      </c>
      <c r="H48" s="6">
        <v>3000</v>
      </c>
    </row>
    <row r="49" spans="1:8" ht="20.100000000000001" customHeight="1" x14ac:dyDescent="0.25">
      <c r="A49" s="54"/>
      <c r="B49" s="47">
        <v>45917</v>
      </c>
      <c r="C49" s="48">
        <v>1629635569</v>
      </c>
      <c r="D49" s="3">
        <v>5</v>
      </c>
      <c r="E49" s="28" t="s">
        <v>1016</v>
      </c>
      <c r="F49" s="28" t="s">
        <v>109</v>
      </c>
      <c r="G49" s="49" t="s">
        <v>10</v>
      </c>
      <c r="H49" s="6">
        <v>2500</v>
      </c>
    </row>
    <row r="50" spans="1:8" ht="20.100000000000001" customHeight="1" x14ac:dyDescent="0.25">
      <c r="A50" s="54"/>
      <c r="B50" s="47">
        <v>45919</v>
      </c>
      <c r="C50" s="48">
        <v>4085599445</v>
      </c>
      <c r="D50" s="3">
        <v>6</v>
      </c>
      <c r="E50" s="28" t="s">
        <v>1017</v>
      </c>
      <c r="F50" s="28" t="s">
        <v>109</v>
      </c>
      <c r="G50" s="49" t="s">
        <v>6</v>
      </c>
      <c r="H50" s="6">
        <v>3000</v>
      </c>
    </row>
    <row r="51" spans="1:8" ht="20.100000000000001" customHeight="1" x14ac:dyDescent="0.25">
      <c r="A51" s="54"/>
      <c r="B51" s="47">
        <v>45925</v>
      </c>
      <c r="C51" s="48">
        <v>1279806578</v>
      </c>
      <c r="D51" s="3">
        <v>4</v>
      </c>
      <c r="E51" s="28" t="s">
        <v>986</v>
      </c>
      <c r="F51" s="28" t="s">
        <v>109</v>
      </c>
      <c r="G51" s="49" t="s">
        <v>7</v>
      </c>
      <c r="H51" s="6">
        <v>2000</v>
      </c>
    </row>
    <row r="52" spans="1:8" ht="20.100000000000001" customHeight="1" x14ac:dyDescent="0.25">
      <c r="A52" s="54"/>
      <c r="B52" s="47">
        <v>45930</v>
      </c>
      <c r="C52" s="48">
        <v>3580314771</v>
      </c>
      <c r="D52" s="3">
        <v>3</v>
      </c>
      <c r="E52" s="28" t="s">
        <v>1018</v>
      </c>
      <c r="F52" s="28" t="s">
        <v>109</v>
      </c>
      <c r="G52" s="49" t="s">
        <v>19</v>
      </c>
      <c r="H52" s="6">
        <v>1500</v>
      </c>
    </row>
    <row r="53" spans="1:8" ht="20.100000000000001" customHeight="1" x14ac:dyDescent="0.25">
      <c r="A53" s="54"/>
      <c r="B53" s="47">
        <v>45930</v>
      </c>
      <c r="C53" s="48">
        <v>2290829128</v>
      </c>
      <c r="D53" s="3">
        <v>4</v>
      </c>
      <c r="E53" s="28" t="s">
        <v>1019</v>
      </c>
      <c r="F53" s="28" t="s">
        <v>109</v>
      </c>
      <c r="G53" s="49" t="s">
        <v>11</v>
      </c>
      <c r="H53" s="6">
        <v>2000</v>
      </c>
    </row>
    <row r="54" spans="1:8" ht="20.100000000000001" customHeight="1" x14ac:dyDescent="0.25">
      <c r="A54" s="54"/>
      <c r="B54" s="47">
        <v>45931</v>
      </c>
      <c r="C54" s="48">
        <v>3305456048</v>
      </c>
      <c r="D54" s="3">
        <v>3</v>
      </c>
      <c r="E54" s="28" t="s">
        <v>1015</v>
      </c>
      <c r="F54" s="28" t="s">
        <v>109</v>
      </c>
      <c r="G54" s="49" t="s">
        <v>6</v>
      </c>
      <c r="H54" s="6">
        <v>1500</v>
      </c>
    </row>
    <row r="55" spans="1:8" ht="20.100000000000001" customHeight="1" x14ac:dyDescent="0.25">
      <c r="A55" s="54"/>
      <c r="B55" s="47">
        <v>45943</v>
      </c>
      <c r="C55" s="48">
        <v>4285221932</v>
      </c>
      <c r="D55" s="3">
        <v>4</v>
      </c>
      <c r="E55" s="28" t="s">
        <v>1055</v>
      </c>
      <c r="F55" s="28" t="s">
        <v>109</v>
      </c>
      <c r="G55" s="49" t="s">
        <v>11</v>
      </c>
      <c r="H55" s="6">
        <v>2000</v>
      </c>
    </row>
    <row r="56" spans="1:8" ht="20.100000000000001" customHeight="1" x14ac:dyDescent="0.25">
      <c r="A56" s="54"/>
      <c r="B56" s="47">
        <v>45943</v>
      </c>
      <c r="C56" s="48">
        <v>4285221932</v>
      </c>
      <c r="D56" s="3">
        <v>4</v>
      </c>
      <c r="E56" s="28" t="s">
        <v>1055</v>
      </c>
      <c r="F56" s="28" t="s">
        <v>109</v>
      </c>
      <c r="G56" s="49" t="s">
        <v>11</v>
      </c>
      <c r="H56" s="6">
        <v>2000</v>
      </c>
    </row>
    <row r="57" spans="1:8" ht="20.100000000000001" customHeight="1" x14ac:dyDescent="0.25">
      <c r="A57" s="54"/>
      <c r="B57" s="47">
        <v>45946</v>
      </c>
      <c r="C57" s="48">
        <v>1453279566</v>
      </c>
      <c r="D57" s="3">
        <v>3</v>
      </c>
      <c r="E57" s="28" t="s">
        <v>1013</v>
      </c>
      <c r="F57" s="28" t="s">
        <v>109</v>
      </c>
      <c r="G57" s="49" t="s">
        <v>6</v>
      </c>
      <c r="H57" s="6">
        <v>1500</v>
      </c>
    </row>
    <row r="58" spans="1:8" ht="20.100000000000001" customHeight="1" x14ac:dyDescent="0.25">
      <c r="A58" s="54"/>
      <c r="B58" s="47">
        <v>45954</v>
      </c>
      <c r="C58" s="48">
        <v>1260995276</v>
      </c>
      <c r="D58" s="3">
        <v>5</v>
      </c>
      <c r="E58" s="28" t="s">
        <v>188</v>
      </c>
      <c r="F58" s="28" t="s">
        <v>109</v>
      </c>
      <c r="G58" s="49" t="s">
        <v>7</v>
      </c>
      <c r="H58" s="6">
        <v>2500</v>
      </c>
    </row>
    <row r="59" spans="1:8" ht="20.100000000000001" customHeight="1" x14ac:dyDescent="0.25">
      <c r="A59" s="54"/>
      <c r="B59" s="47">
        <v>45957</v>
      </c>
      <c r="C59" s="48">
        <v>3636743796</v>
      </c>
      <c r="D59" s="3">
        <v>4</v>
      </c>
      <c r="E59" s="28" t="s">
        <v>577</v>
      </c>
      <c r="F59" s="28" t="s">
        <v>109</v>
      </c>
      <c r="G59" s="49" t="s">
        <v>6</v>
      </c>
      <c r="H59" s="6">
        <v>2000</v>
      </c>
    </row>
    <row r="60" spans="1:8" ht="20.100000000000001" customHeight="1" x14ac:dyDescent="0.25">
      <c r="A60" s="54"/>
      <c r="B60" s="47">
        <v>45957</v>
      </c>
      <c r="C60" s="48">
        <v>912281188</v>
      </c>
      <c r="D60" s="3">
        <v>3</v>
      </c>
      <c r="E60" s="28" t="s">
        <v>1077</v>
      </c>
      <c r="F60" s="28" t="s">
        <v>109</v>
      </c>
      <c r="G60" s="49" t="s">
        <v>7</v>
      </c>
      <c r="H60" s="6">
        <v>1500</v>
      </c>
    </row>
    <row r="61" spans="1:8" ht="20.100000000000001" customHeight="1" x14ac:dyDescent="0.25">
      <c r="A61" s="54"/>
      <c r="B61" s="47">
        <v>45958</v>
      </c>
      <c r="C61" s="48">
        <v>1461732124</v>
      </c>
      <c r="D61" s="3">
        <v>6</v>
      </c>
      <c r="E61" s="28" t="s">
        <v>534</v>
      </c>
      <c r="F61" s="28" t="s">
        <v>109</v>
      </c>
      <c r="G61" s="49" t="s">
        <v>7</v>
      </c>
      <c r="H61" s="6">
        <v>3000</v>
      </c>
    </row>
    <row r="62" spans="1:8" ht="20.100000000000001" customHeight="1" x14ac:dyDescent="0.25">
      <c r="A62" s="54"/>
      <c r="B62" s="47">
        <v>45960</v>
      </c>
      <c r="C62" s="48">
        <v>417809970</v>
      </c>
      <c r="D62" s="3">
        <v>5</v>
      </c>
      <c r="E62" s="28" t="s">
        <v>1066</v>
      </c>
      <c r="F62" s="28" t="s">
        <v>109</v>
      </c>
      <c r="G62" s="49" t="s">
        <v>7</v>
      </c>
      <c r="H62" s="6">
        <v>2500</v>
      </c>
    </row>
    <row r="63" spans="1:8" ht="20.100000000000001" customHeight="1" x14ac:dyDescent="0.25">
      <c r="A63" s="54"/>
      <c r="B63" s="2">
        <v>45964</v>
      </c>
      <c r="C63" s="3">
        <v>3014542956</v>
      </c>
      <c r="D63" s="3">
        <v>2</v>
      </c>
      <c r="E63" s="4" t="s">
        <v>1220</v>
      </c>
      <c r="F63" s="19" t="s">
        <v>109</v>
      </c>
      <c r="G63" s="10" t="s">
        <v>7</v>
      </c>
      <c r="H63" s="11">
        <v>1000</v>
      </c>
    </row>
    <row r="64" spans="1:8" ht="20.100000000000001" customHeight="1" x14ac:dyDescent="0.25">
      <c r="A64" s="54"/>
      <c r="B64" s="2">
        <v>45964</v>
      </c>
      <c r="C64" s="3">
        <v>3014542956</v>
      </c>
      <c r="D64" s="3">
        <v>4</v>
      </c>
      <c r="E64" s="4" t="s">
        <v>1220</v>
      </c>
      <c r="F64" s="19" t="s">
        <v>109</v>
      </c>
      <c r="G64" s="10" t="s">
        <v>6</v>
      </c>
      <c r="H64" s="11">
        <v>2000</v>
      </c>
    </row>
    <row r="65" spans="1:8" ht="20.100000000000001" customHeight="1" x14ac:dyDescent="0.25">
      <c r="A65" s="54"/>
      <c r="B65" s="2">
        <v>45964</v>
      </c>
      <c r="C65" s="3">
        <v>1119895777</v>
      </c>
      <c r="D65" s="3">
        <v>4</v>
      </c>
      <c r="E65" s="4" t="s">
        <v>1221</v>
      </c>
      <c r="F65" s="19" t="s">
        <v>109</v>
      </c>
      <c r="G65" s="10" t="s">
        <v>11</v>
      </c>
      <c r="H65" s="11">
        <v>2000</v>
      </c>
    </row>
    <row r="66" spans="1:8" ht="20.100000000000001" customHeight="1" x14ac:dyDescent="0.25">
      <c r="A66" s="54"/>
      <c r="B66" s="2">
        <v>45971</v>
      </c>
      <c r="C66" s="3">
        <v>279136306</v>
      </c>
      <c r="D66" s="3">
        <v>3</v>
      </c>
      <c r="E66" s="4" t="s">
        <v>1222</v>
      </c>
      <c r="F66" s="19" t="s">
        <v>109</v>
      </c>
      <c r="G66" s="10" t="s">
        <v>6</v>
      </c>
      <c r="H66" s="11">
        <v>1500</v>
      </c>
    </row>
    <row r="67" spans="1:8" ht="20.100000000000001" customHeight="1" x14ac:dyDescent="0.25">
      <c r="A67" s="54"/>
      <c r="B67" s="2">
        <v>45973</v>
      </c>
      <c r="C67" s="3">
        <v>3118419010</v>
      </c>
      <c r="D67" s="3">
        <v>6</v>
      </c>
      <c r="E67" s="4" t="s">
        <v>1226</v>
      </c>
      <c r="F67" s="19" t="s">
        <v>109</v>
      </c>
      <c r="G67" s="10" t="s">
        <v>6</v>
      </c>
      <c r="H67" s="11">
        <v>3000</v>
      </c>
    </row>
    <row r="68" spans="1:8" ht="20.100000000000001" customHeight="1" x14ac:dyDescent="0.25">
      <c r="A68" s="54"/>
      <c r="B68" s="2">
        <v>45978</v>
      </c>
      <c r="C68" s="3">
        <v>3996077165</v>
      </c>
      <c r="D68" s="3">
        <v>4</v>
      </c>
      <c r="E68" s="4" t="s">
        <v>1223</v>
      </c>
      <c r="F68" s="19" t="s">
        <v>109</v>
      </c>
      <c r="G68" s="10" t="s">
        <v>7</v>
      </c>
      <c r="H68" s="11">
        <v>2000</v>
      </c>
    </row>
    <row r="69" spans="1:8" ht="20.100000000000001" customHeight="1" x14ac:dyDescent="0.25">
      <c r="A69" s="54"/>
      <c r="B69" s="2">
        <v>45980</v>
      </c>
      <c r="C69" s="3">
        <v>2442874735</v>
      </c>
      <c r="D69" s="3">
        <v>5</v>
      </c>
      <c r="E69" s="4" t="s">
        <v>1224</v>
      </c>
      <c r="F69" s="19" t="s">
        <v>109</v>
      </c>
      <c r="G69" s="10" t="s">
        <v>7</v>
      </c>
      <c r="H69" s="11">
        <v>2500</v>
      </c>
    </row>
    <row r="70" spans="1:8" ht="20.100000000000001" customHeight="1" x14ac:dyDescent="0.25">
      <c r="A70" s="54"/>
      <c r="B70" s="2">
        <v>45992</v>
      </c>
      <c r="C70" s="3">
        <v>649085232</v>
      </c>
      <c r="D70" s="3">
        <v>6</v>
      </c>
      <c r="E70" s="4" t="s">
        <v>1268</v>
      </c>
      <c r="F70" s="19" t="s">
        <v>109</v>
      </c>
      <c r="G70" s="10" t="s">
        <v>7</v>
      </c>
      <c r="H70" s="11">
        <v>3000</v>
      </c>
    </row>
    <row r="71" spans="1:8" ht="20.100000000000001" customHeight="1" x14ac:dyDescent="0.25">
      <c r="A71" s="54"/>
      <c r="B71" s="2">
        <v>45992</v>
      </c>
      <c r="C71" s="3">
        <v>1665550484</v>
      </c>
      <c r="D71" s="3">
        <v>6</v>
      </c>
      <c r="E71" s="4" t="s">
        <v>1263</v>
      </c>
      <c r="F71" s="19" t="s">
        <v>109</v>
      </c>
      <c r="G71" s="10" t="s">
        <v>6</v>
      </c>
      <c r="H71" s="11">
        <v>3000</v>
      </c>
    </row>
    <row r="72" spans="1:8" ht="20.100000000000001" customHeight="1" x14ac:dyDescent="0.25">
      <c r="A72" s="54"/>
      <c r="B72" s="2">
        <v>45996</v>
      </c>
      <c r="C72" s="3">
        <v>70534104</v>
      </c>
      <c r="D72" s="3">
        <v>5</v>
      </c>
      <c r="E72" s="4" t="s">
        <v>397</v>
      </c>
      <c r="F72" s="19" t="s">
        <v>109</v>
      </c>
      <c r="G72" s="10" t="s">
        <v>6</v>
      </c>
      <c r="H72" s="11">
        <v>2500</v>
      </c>
    </row>
    <row r="73" spans="1:8" ht="20.100000000000001" customHeight="1" x14ac:dyDescent="0.25">
      <c r="A73" s="54"/>
      <c r="B73" s="2">
        <v>46002</v>
      </c>
      <c r="C73" s="3">
        <v>369705254</v>
      </c>
      <c r="D73" s="3">
        <v>4</v>
      </c>
      <c r="E73" s="4" t="s">
        <v>1270</v>
      </c>
      <c r="F73" s="19" t="s">
        <v>109</v>
      </c>
      <c r="G73" s="10" t="s">
        <v>6</v>
      </c>
      <c r="H73" s="11">
        <v>2000</v>
      </c>
    </row>
    <row r="74" spans="1:8" ht="20.100000000000001" customHeight="1" x14ac:dyDescent="0.25">
      <c r="A74" s="54"/>
      <c r="B74" s="2">
        <v>46007</v>
      </c>
      <c r="C74" s="3">
        <v>3212722488</v>
      </c>
      <c r="D74" s="3">
        <v>5</v>
      </c>
      <c r="E74" s="4" t="s">
        <v>542</v>
      </c>
      <c r="F74" s="19" t="s">
        <v>109</v>
      </c>
      <c r="G74" s="10" t="s">
        <v>6</v>
      </c>
      <c r="H74" s="11">
        <v>2500</v>
      </c>
    </row>
    <row r="75" spans="1:8" ht="20.100000000000001" customHeight="1" x14ac:dyDescent="0.25">
      <c r="A75" s="54"/>
      <c r="B75" s="2">
        <v>46010</v>
      </c>
      <c r="C75" s="3">
        <v>2590526036</v>
      </c>
      <c r="D75" s="3">
        <v>2</v>
      </c>
      <c r="E75" s="4" t="s">
        <v>1275</v>
      </c>
      <c r="F75" s="19" t="s">
        <v>109</v>
      </c>
      <c r="G75" s="10" t="s">
        <v>6</v>
      </c>
      <c r="H75" s="11">
        <v>1000</v>
      </c>
    </row>
    <row r="76" spans="1:8" ht="20.100000000000001" customHeight="1" x14ac:dyDescent="0.25">
      <c r="A76" s="55"/>
      <c r="B76" s="13"/>
      <c r="C76" s="14"/>
      <c r="D76" s="14"/>
      <c r="E76" s="14" t="s">
        <v>5</v>
      </c>
      <c r="F76" s="15"/>
      <c r="G76" s="16"/>
      <c r="H76" s="17">
        <f>SUM(H3:H75)</f>
        <v>182750</v>
      </c>
    </row>
    <row r="77" spans="1:8" ht="20.100000000000001" customHeight="1" x14ac:dyDescent="0.25">
      <c r="F77"/>
    </row>
    <row r="78" spans="1:8" x14ac:dyDescent="0.25">
      <c r="F78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7"/>
  <dimension ref="A1:H16"/>
  <sheetViews>
    <sheetView workbookViewId="0">
      <pane ySplit="2" topLeftCell="A3" activePane="bottomLeft" state="frozen"/>
      <selection pane="bottomLeft" activeCell="E20" sqref="E20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0.28515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120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29.25" customHeight="1" x14ac:dyDescent="0.25">
      <c r="A3" s="54"/>
      <c r="B3" s="2">
        <v>45699</v>
      </c>
      <c r="C3" s="3">
        <v>74205240</v>
      </c>
      <c r="D3" s="3">
        <v>1</v>
      </c>
      <c r="E3" s="4" t="s">
        <v>322</v>
      </c>
      <c r="F3" s="19" t="s">
        <v>231</v>
      </c>
      <c r="G3" s="10" t="s">
        <v>6</v>
      </c>
      <c r="H3" s="11">
        <v>650</v>
      </c>
    </row>
    <row r="4" spans="1:8" ht="29.25" customHeight="1" x14ac:dyDescent="0.25">
      <c r="A4" s="54"/>
      <c r="B4" s="2">
        <v>45701</v>
      </c>
      <c r="C4" s="3">
        <v>3569110488</v>
      </c>
      <c r="D4" s="3">
        <v>1</v>
      </c>
      <c r="E4" s="4" t="s">
        <v>241</v>
      </c>
      <c r="F4" s="19" t="s">
        <v>231</v>
      </c>
      <c r="G4" s="10" t="s">
        <v>7</v>
      </c>
      <c r="H4" s="11">
        <v>600</v>
      </c>
    </row>
    <row r="5" spans="1:8" ht="29.25" customHeight="1" x14ac:dyDescent="0.25">
      <c r="A5" s="54"/>
      <c r="B5" s="2">
        <v>45702</v>
      </c>
      <c r="C5" s="3">
        <v>2609791939</v>
      </c>
      <c r="D5" s="3">
        <v>1</v>
      </c>
      <c r="E5" s="4" t="s">
        <v>313</v>
      </c>
      <c r="F5" s="19" t="s">
        <v>231</v>
      </c>
      <c r="G5" s="10" t="s">
        <v>6</v>
      </c>
      <c r="H5" s="11">
        <v>600</v>
      </c>
    </row>
    <row r="6" spans="1:8" ht="29.25" customHeight="1" x14ac:dyDescent="0.25">
      <c r="A6" s="54"/>
      <c r="B6" s="2">
        <v>45713</v>
      </c>
      <c r="C6" s="3">
        <v>401755582</v>
      </c>
      <c r="D6" s="3">
        <v>1</v>
      </c>
      <c r="E6" s="4" t="s">
        <v>230</v>
      </c>
      <c r="F6" s="19" t="s">
        <v>231</v>
      </c>
      <c r="G6" s="10" t="s">
        <v>6</v>
      </c>
      <c r="H6" s="11">
        <v>600</v>
      </c>
    </row>
    <row r="7" spans="1:8" ht="29.25" customHeight="1" x14ac:dyDescent="0.25">
      <c r="A7" s="54"/>
      <c r="B7" s="2">
        <v>45721</v>
      </c>
      <c r="C7" s="3">
        <v>2107723253</v>
      </c>
      <c r="D7" s="3">
        <v>1</v>
      </c>
      <c r="E7" s="4" t="s">
        <v>404</v>
      </c>
      <c r="F7" s="19" t="s">
        <v>231</v>
      </c>
      <c r="G7" s="10" t="s">
        <v>19</v>
      </c>
      <c r="H7" s="11">
        <v>550</v>
      </c>
    </row>
    <row r="8" spans="1:8" ht="29.25" customHeight="1" x14ac:dyDescent="0.25">
      <c r="A8" s="54"/>
      <c r="B8" s="2">
        <v>45889</v>
      </c>
      <c r="C8" s="3">
        <v>386613430</v>
      </c>
      <c r="D8" s="3">
        <v>3</v>
      </c>
      <c r="E8" s="4" t="s">
        <v>313</v>
      </c>
      <c r="F8" s="19" t="s">
        <v>231</v>
      </c>
      <c r="G8" s="10" t="s">
        <v>6</v>
      </c>
      <c r="H8" s="11">
        <v>1500</v>
      </c>
    </row>
    <row r="9" spans="1:8" ht="29.25" customHeight="1" x14ac:dyDescent="0.25">
      <c r="A9" s="54"/>
      <c r="B9" s="2">
        <v>45937</v>
      </c>
      <c r="C9" s="3">
        <v>4216865372</v>
      </c>
      <c r="D9" s="3">
        <v>2</v>
      </c>
      <c r="E9" s="4" t="s">
        <v>1028</v>
      </c>
      <c r="F9" s="19" t="s">
        <v>598</v>
      </c>
      <c r="G9" s="10" t="s">
        <v>7</v>
      </c>
      <c r="H9" s="11">
        <v>1300</v>
      </c>
    </row>
    <row r="10" spans="1:8" ht="29.25" customHeight="1" x14ac:dyDescent="0.25">
      <c r="A10" s="54"/>
      <c r="B10" s="2">
        <v>45938</v>
      </c>
      <c r="C10" s="3">
        <v>2529512201</v>
      </c>
      <c r="D10" s="3">
        <v>1</v>
      </c>
      <c r="E10" s="4" t="s">
        <v>241</v>
      </c>
      <c r="F10" s="19" t="s">
        <v>231</v>
      </c>
      <c r="G10" s="10" t="s">
        <v>7</v>
      </c>
      <c r="H10" s="11">
        <v>500</v>
      </c>
    </row>
    <row r="11" spans="1:8" ht="29.25" customHeight="1" x14ac:dyDescent="0.25">
      <c r="A11" s="54"/>
      <c r="B11" s="2">
        <v>45966</v>
      </c>
      <c r="C11" s="3">
        <v>3084797457</v>
      </c>
      <c r="D11" s="3">
        <v>1</v>
      </c>
      <c r="E11" s="4" t="s">
        <v>208</v>
      </c>
      <c r="F11" s="19" t="s">
        <v>231</v>
      </c>
      <c r="G11" s="10" t="s">
        <v>10</v>
      </c>
      <c r="H11" s="11">
        <v>650</v>
      </c>
    </row>
    <row r="12" spans="1:8" ht="29.25" customHeight="1" x14ac:dyDescent="0.25">
      <c r="A12" s="54"/>
      <c r="B12" s="2">
        <v>45986</v>
      </c>
      <c r="C12" s="3">
        <v>2540980188</v>
      </c>
      <c r="D12" s="3">
        <v>3</v>
      </c>
      <c r="E12" s="4" t="s">
        <v>1061</v>
      </c>
      <c r="F12" s="19" t="s">
        <v>231</v>
      </c>
      <c r="G12" s="10" t="s">
        <v>7</v>
      </c>
      <c r="H12" s="11">
        <v>1950</v>
      </c>
    </row>
    <row r="13" spans="1:8" ht="29.25" customHeight="1" x14ac:dyDescent="0.25">
      <c r="A13" s="54"/>
      <c r="B13" s="2">
        <v>45996</v>
      </c>
      <c r="C13" s="3">
        <v>1065373168</v>
      </c>
      <c r="D13" s="3">
        <v>3</v>
      </c>
      <c r="E13" s="4" t="s">
        <v>403</v>
      </c>
      <c r="F13" s="19" t="s">
        <v>231</v>
      </c>
      <c r="G13" s="10" t="s">
        <v>6</v>
      </c>
      <c r="H13" s="11">
        <v>1500</v>
      </c>
    </row>
    <row r="14" spans="1:8" ht="20.100000000000001" customHeight="1" x14ac:dyDescent="0.25">
      <c r="A14" s="55"/>
      <c r="B14" s="13"/>
      <c r="C14" s="14"/>
      <c r="D14" s="14"/>
      <c r="E14" s="14" t="s">
        <v>5</v>
      </c>
      <c r="F14" s="15"/>
      <c r="G14" s="16"/>
      <c r="H14" s="17">
        <f>SUM(H3:H13)</f>
        <v>10400</v>
      </c>
    </row>
    <row r="15" spans="1:8" ht="20.100000000000001" customHeight="1" x14ac:dyDescent="0.25">
      <c r="F15"/>
    </row>
    <row r="16" spans="1:8" x14ac:dyDescent="0.25">
      <c r="F16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8"/>
  <dimension ref="A1:H23"/>
  <sheetViews>
    <sheetView workbookViewId="0">
      <pane ySplit="2" topLeftCell="A6" activePane="bottomLeft" state="frozen"/>
      <selection pane="bottomLeft" activeCell="H26" sqref="H26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110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29.25" customHeight="1" x14ac:dyDescent="0.25">
      <c r="A3" s="54"/>
      <c r="B3" s="2">
        <v>45674</v>
      </c>
      <c r="C3" s="3">
        <v>3000845270</v>
      </c>
      <c r="D3" s="3">
        <v>1</v>
      </c>
      <c r="E3" s="4" t="s">
        <v>134</v>
      </c>
      <c r="F3" s="19" t="s">
        <v>190</v>
      </c>
      <c r="G3" s="10" t="s">
        <v>7</v>
      </c>
      <c r="H3" s="6">
        <v>4200</v>
      </c>
    </row>
    <row r="4" spans="1:8" ht="20.100000000000001" customHeight="1" x14ac:dyDescent="0.25">
      <c r="A4" s="54"/>
      <c r="B4" s="2">
        <v>45674</v>
      </c>
      <c r="C4" s="3">
        <v>3000845270</v>
      </c>
      <c r="D4" s="3">
        <v>1</v>
      </c>
      <c r="E4" s="4" t="s">
        <v>134</v>
      </c>
      <c r="F4" s="19" t="s">
        <v>191</v>
      </c>
      <c r="G4" s="10" t="s">
        <v>7</v>
      </c>
      <c r="H4" s="6">
        <v>3600</v>
      </c>
    </row>
    <row r="5" spans="1:8" ht="20.100000000000001" customHeight="1" x14ac:dyDescent="0.25">
      <c r="A5" s="54"/>
      <c r="B5" s="2">
        <v>45743</v>
      </c>
      <c r="C5" s="3">
        <v>3798747683</v>
      </c>
      <c r="D5" s="3">
        <v>1</v>
      </c>
      <c r="E5" s="4" t="s">
        <v>509</v>
      </c>
      <c r="F5" s="19" t="s">
        <v>510</v>
      </c>
      <c r="G5" s="10" t="s">
        <v>7</v>
      </c>
      <c r="H5" s="6">
        <v>2600</v>
      </c>
    </row>
    <row r="6" spans="1:8" ht="20.100000000000001" customHeight="1" x14ac:dyDescent="0.25">
      <c r="A6" s="54"/>
      <c r="B6" s="2">
        <v>45743</v>
      </c>
      <c r="C6" s="3">
        <v>3798747683</v>
      </c>
      <c r="D6" s="3">
        <v>1</v>
      </c>
      <c r="E6" s="4" t="s">
        <v>509</v>
      </c>
      <c r="F6" s="19" t="s">
        <v>511</v>
      </c>
      <c r="G6" s="10" t="s">
        <v>7</v>
      </c>
      <c r="H6" s="6">
        <v>2600</v>
      </c>
    </row>
    <row r="7" spans="1:8" ht="20.100000000000001" customHeight="1" x14ac:dyDescent="0.25">
      <c r="A7" s="54"/>
      <c r="B7" s="2">
        <v>45743</v>
      </c>
      <c r="C7" s="3">
        <v>3798747683</v>
      </c>
      <c r="D7" s="3">
        <v>1</v>
      </c>
      <c r="E7" s="4" t="s">
        <v>509</v>
      </c>
      <c r="F7" s="19" t="s">
        <v>512</v>
      </c>
      <c r="G7" s="10" t="s">
        <v>7</v>
      </c>
      <c r="H7" s="6">
        <v>3400</v>
      </c>
    </row>
    <row r="8" spans="1:8" ht="20.100000000000001" customHeight="1" x14ac:dyDescent="0.25">
      <c r="A8" s="54"/>
      <c r="B8" s="2">
        <v>45771</v>
      </c>
      <c r="C8" s="3">
        <v>2966178635</v>
      </c>
      <c r="D8" s="3">
        <v>1</v>
      </c>
      <c r="E8" s="4" t="s">
        <v>433</v>
      </c>
      <c r="F8" s="19" t="s">
        <v>510</v>
      </c>
      <c r="G8" s="10" t="s">
        <v>6</v>
      </c>
      <c r="H8" s="6">
        <v>2600</v>
      </c>
    </row>
    <row r="9" spans="1:8" ht="20.100000000000001" customHeight="1" x14ac:dyDescent="0.25">
      <c r="A9" s="54"/>
      <c r="B9" s="2">
        <v>45771</v>
      </c>
      <c r="C9" s="3">
        <v>2966178635</v>
      </c>
      <c r="D9" s="3">
        <v>1</v>
      </c>
      <c r="E9" s="4" t="s">
        <v>433</v>
      </c>
      <c r="F9" s="19" t="s">
        <v>583</v>
      </c>
      <c r="G9" s="10" t="s">
        <v>6</v>
      </c>
      <c r="H9" s="6">
        <v>2600</v>
      </c>
    </row>
    <row r="10" spans="1:8" ht="20.100000000000001" customHeight="1" x14ac:dyDescent="0.25">
      <c r="A10" s="54"/>
      <c r="B10" s="2">
        <v>45771</v>
      </c>
      <c r="C10" s="3">
        <v>2966178635</v>
      </c>
      <c r="D10" s="3">
        <v>1</v>
      </c>
      <c r="E10" s="4" t="s">
        <v>433</v>
      </c>
      <c r="F10" s="19" t="s">
        <v>584</v>
      </c>
      <c r="G10" s="10" t="s">
        <v>6</v>
      </c>
      <c r="H10" s="6">
        <v>3000</v>
      </c>
    </row>
    <row r="11" spans="1:8" ht="20.100000000000001" customHeight="1" x14ac:dyDescent="0.25">
      <c r="A11" s="54"/>
      <c r="B11" s="2">
        <v>45824</v>
      </c>
      <c r="C11" s="3">
        <v>3012841066</v>
      </c>
      <c r="D11" s="3">
        <v>1</v>
      </c>
      <c r="E11" s="4" t="s">
        <v>609</v>
      </c>
      <c r="F11" s="19" t="s">
        <v>728</v>
      </c>
      <c r="G11" s="10" t="s">
        <v>6</v>
      </c>
      <c r="H11" s="6">
        <v>8600</v>
      </c>
    </row>
    <row r="12" spans="1:8" ht="20.100000000000001" customHeight="1" x14ac:dyDescent="0.25">
      <c r="A12" s="54"/>
      <c r="B12" s="2">
        <v>45877</v>
      </c>
      <c r="C12" s="3">
        <v>3718138161</v>
      </c>
      <c r="D12" s="3">
        <v>1</v>
      </c>
      <c r="E12" s="4" t="s">
        <v>921</v>
      </c>
      <c r="F12" s="4" t="s">
        <v>941</v>
      </c>
      <c r="G12" s="5" t="s">
        <v>6</v>
      </c>
      <c r="H12" s="6">
        <v>2800</v>
      </c>
    </row>
    <row r="13" spans="1:8" ht="20.100000000000001" customHeight="1" x14ac:dyDescent="0.25">
      <c r="A13" s="54"/>
      <c r="B13" s="2">
        <v>45877</v>
      </c>
      <c r="C13" s="3">
        <v>3718138161</v>
      </c>
      <c r="D13" s="3">
        <v>1</v>
      </c>
      <c r="E13" s="4" t="s">
        <v>921</v>
      </c>
      <c r="F13" s="4" t="s">
        <v>942</v>
      </c>
      <c r="G13" s="5" t="s">
        <v>6</v>
      </c>
      <c r="H13" s="6">
        <v>3000</v>
      </c>
    </row>
    <row r="14" spans="1:8" ht="20.100000000000001" customHeight="1" x14ac:dyDescent="0.25">
      <c r="A14" s="54"/>
      <c r="B14" s="2">
        <v>45877</v>
      </c>
      <c r="C14" s="3">
        <v>3718138161</v>
      </c>
      <c r="D14" s="3">
        <v>1</v>
      </c>
      <c r="E14" s="4" t="s">
        <v>921</v>
      </c>
      <c r="F14" s="4" t="s">
        <v>943</v>
      </c>
      <c r="G14" s="5" t="s">
        <v>6</v>
      </c>
      <c r="H14" s="6">
        <v>2800</v>
      </c>
    </row>
    <row r="15" spans="1:8" ht="20.100000000000001" customHeight="1" x14ac:dyDescent="0.25">
      <c r="A15" s="54"/>
      <c r="B15" s="2">
        <v>45993</v>
      </c>
      <c r="C15" s="3">
        <v>1922318765</v>
      </c>
      <c r="D15" s="3">
        <v>1</v>
      </c>
      <c r="E15" s="4" t="s">
        <v>74</v>
      </c>
      <c r="F15" s="4" t="s">
        <v>941</v>
      </c>
      <c r="G15" s="5" t="s">
        <v>11</v>
      </c>
      <c r="H15" s="6">
        <v>2600</v>
      </c>
    </row>
    <row r="16" spans="1:8" ht="20.100000000000001" customHeight="1" x14ac:dyDescent="0.25">
      <c r="A16" s="54"/>
      <c r="B16" s="2">
        <v>45993</v>
      </c>
      <c r="C16" s="3">
        <v>1922318765</v>
      </c>
      <c r="D16" s="3">
        <v>1</v>
      </c>
      <c r="E16" s="4" t="s">
        <v>74</v>
      </c>
      <c r="F16" s="4" t="s">
        <v>1273</v>
      </c>
      <c r="G16" s="5" t="s">
        <v>11</v>
      </c>
      <c r="H16" s="6">
        <v>2400</v>
      </c>
    </row>
    <row r="17" spans="1:8" ht="20.100000000000001" customHeight="1" x14ac:dyDescent="0.25">
      <c r="A17" s="54"/>
      <c r="B17" s="2">
        <v>45993</v>
      </c>
      <c r="C17" s="3">
        <v>1922318765</v>
      </c>
      <c r="D17" s="3">
        <v>1</v>
      </c>
      <c r="E17" s="4" t="s">
        <v>74</v>
      </c>
      <c r="F17" s="4" t="s">
        <v>1274</v>
      </c>
      <c r="G17" s="5" t="s">
        <v>7</v>
      </c>
      <c r="H17" s="6">
        <v>200</v>
      </c>
    </row>
    <row r="18" spans="1:8" ht="20.100000000000001" customHeight="1" x14ac:dyDescent="0.25">
      <c r="A18" s="54"/>
      <c r="B18" s="2">
        <v>46006</v>
      </c>
      <c r="C18" s="3">
        <v>852574634</v>
      </c>
      <c r="D18" s="3">
        <v>2</v>
      </c>
      <c r="E18" s="4" t="s">
        <v>1237</v>
      </c>
      <c r="F18" s="4" t="s">
        <v>511</v>
      </c>
      <c r="G18" s="5" t="s">
        <v>10</v>
      </c>
      <c r="H18" s="6">
        <v>5200</v>
      </c>
    </row>
    <row r="19" spans="1:8" ht="20.100000000000001" customHeight="1" x14ac:dyDescent="0.25">
      <c r="A19" s="55"/>
      <c r="B19" s="13"/>
      <c r="C19" s="14"/>
      <c r="D19" s="14"/>
      <c r="E19" s="18" t="s">
        <v>5</v>
      </c>
      <c r="F19" s="15"/>
      <c r="G19" s="16"/>
      <c r="H19" s="17">
        <f>SUM(H3:H18)</f>
        <v>52200</v>
      </c>
    </row>
    <row r="20" spans="1:8" ht="20.100000000000001" customHeight="1" x14ac:dyDescent="0.25">
      <c r="F20"/>
    </row>
    <row r="21" spans="1:8" x14ac:dyDescent="0.25">
      <c r="F21"/>
    </row>
    <row r="22" spans="1:8" x14ac:dyDescent="0.25">
      <c r="F22"/>
    </row>
    <row r="23" spans="1:8" x14ac:dyDescent="0.25">
      <c r="F23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C186-97A7-45B6-B6B4-A5619D637190}">
  <sheetPr codeName="Hoja49"/>
  <dimension ref="A1:H25"/>
  <sheetViews>
    <sheetView workbookViewId="0">
      <pane ySplit="2" topLeftCell="A9" activePane="bottomLeft" state="frozen"/>
      <selection pane="bottomLeft" activeCell="A23" sqref="A23:H25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3.5703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119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29.25" customHeight="1" x14ac:dyDescent="0.25">
      <c r="A3" s="54"/>
      <c r="B3" s="2">
        <v>45670</v>
      </c>
      <c r="C3" s="3">
        <v>3038333533</v>
      </c>
      <c r="D3" s="3">
        <v>8</v>
      </c>
      <c r="E3" s="4" t="s">
        <v>157</v>
      </c>
      <c r="F3" s="19" t="s">
        <v>192</v>
      </c>
      <c r="G3" s="10" t="s">
        <v>7</v>
      </c>
      <c r="H3" s="6">
        <v>3500</v>
      </c>
    </row>
    <row r="4" spans="1:8" ht="20.100000000000001" customHeight="1" x14ac:dyDescent="0.25">
      <c r="A4" s="54"/>
      <c r="B4" s="2">
        <v>45670</v>
      </c>
      <c r="C4" s="3">
        <v>1920352681</v>
      </c>
      <c r="D4" s="3">
        <v>8</v>
      </c>
      <c r="E4" s="4" t="s">
        <v>154</v>
      </c>
      <c r="F4" s="19" t="s">
        <v>128</v>
      </c>
      <c r="G4" s="10" t="s">
        <v>6</v>
      </c>
      <c r="H4" s="6">
        <v>3000</v>
      </c>
    </row>
    <row r="5" spans="1:8" ht="20.100000000000001" customHeight="1" x14ac:dyDescent="0.25">
      <c r="A5" s="54"/>
      <c r="B5" s="2">
        <v>45670</v>
      </c>
      <c r="C5" s="3">
        <v>3034926286</v>
      </c>
      <c r="D5" s="3">
        <v>8</v>
      </c>
      <c r="E5" s="4" t="s">
        <v>158</v>
      </c>
      <c r="F5" s="19" t="s">
        <v>132</v>
      </c>
      <c r="G5" s="10" t="s">
        <v>7</v>
      </c>
      <c r="H5" s="6">
        <v>4368</v>
      </c>
    </row>
    <row r="6" spans="1:8" ht="30" x14ac:dyDescent="0.25">
      <c r="A6" s="54"/>
      <c r="B6" s="2">
        <v>45672</v>
      </c>
      <c r="C6" s="3">
        <v>3368960788</v>
      </c>
      <c r="D6" s="3">
        <v>8</v>
      </c>
      <c r="E6" s="4" t="s">
        <v>159</v>
      </c>
      <c r="F6" s="19" t="s">
        <v>193</v>
      </c>
      <c r="G6" s="10" t="s">
        <v>7</v>
      </c>
      <c r="H6" s="6">
        <v>3120</v>
      </c>
    </row>
    <row r="7" spans="1:8" ht="20.100000000000001" customHeight="1" x14ac:dyDescent="0.25">
      <c r="A7" s="54"/>
      <c r="B7" s="2">
        <v>45679</v>
      </c>
      <c r="C7" s="3">
        <v>142886173</v>
      </c>
      <c r="D7" s="3">
        <v>8</v>
      </c>
      <c r="E7" s="4" t="s">
        <v>162</v>
      </c>
      <c r="F7" s="19" t="s">
        <v>194</v>
      </c>
      <c r="G7" s="10" t="s">
        <v>7</v>
      </c>
      <c r="H7" s="6">
        <v>3120</v>
      </c>
    </row>
    <row r="8" spans="1:8" ht="20.100000000000001" customHeight="1" x14ac:dyDescent="0.25">
      <c r="A8" s="54"/>
      <c r="B8" s="2">
        <v>45684</v>
      </c>
      <c r="C8" s="3">
        <v>3837280768</v>
      </c>
      <c r="D8" s="3">
        <v>8</v>
      </c>
      <c r="E8" s="4" t="s">
        <v>142</v>
      </c>
      <c r="F8" s="19" t="s">
        <v>195</v>
      </c>
      <c r="G8" s="10" t="s">
        <v>7</v>
      </c>
      <c r="H8" s="6">
        <v>3120</v>
      </c>
    </row>
    <row r="9" spans="1:8" ht="20.100000000000001" customHeight="1" x14ac:dyDescent="0.25">
      <c r="A9" s="54"/>
      <c r="B9" s="2">
        <v>45694</v>
      </c>
      <c r="C9" s="3">
        <v>255937579</v>
      </c>
      <c r="D9" s="3">
        <v>10</v>
      </c>
      <c r="E9" s="4" t="s">
        <v>246</v>
      </c>
      <c r="F9" s="19" t="s">
        <v>327</v>
      </c>
      <c r="G9" s="10" t="s">
        <v>7</v>
      </c>
      <c r="H9" s="6">
        <v>3000</v>
      </c>
    </row>
    <row r="10" spans="1:8" ht="20.100000000000001" customHeight="1" x14ac:dyDescent="0.25">
      <c r="A10" s="54"/>
      <c r="B10" s="2">
        <v>45698</v>
      </c>
      <c r="C10" s="3">
        <v>2736081297</v>
      </c>
      <c r="D10" s="3">
        <v>8</v>
      </c>
      <c r="E10" s="4" t="s">
        <v>248</v>
      </c>
      <c r="F10" s="19" t="s">
        <v>328</v>
      </c>
      <c r="G10" s="10" t="s">
        <v>7</v>
      </c>
      <c r="H10" s="6">
        <v>3000</v>
      </c>
    </row>
    <row r="11" spans="1:8" ht="23.25" customHeight="1" x14ac:dyDescent="0.25">
      <c r="A11" s="54"/>
      <c r="B11" s="2">
        <v>45740</v>
      </c>
      <c r="C11" s="3">
        <v>3285271114</v>
      </c>
      <c r="D11" s="3">
        <v>8</v>
      </c>
      <c r="E11" s="19" t="s">
        <v>154</v>
      </c>
      <c r="F11" s="19" t="s">
        <v>513</v>
      </c>
      <c r="G11" s="10" t="s">
        <v>6</v>
      </c>
      <c r="H11" s="11">
        <v>3744</v>
      </c>
    </row>
    <row r="12" spans="1:8" ht="29.25" customHeight="1" x14ac:dyDescent="0.25">
      <c r="A12" s="54"/>
      <c r="B12" s="2">
        <v>45770</v>
      </c>
      <c r="C12" s="3">
        <v>1360547772</v>
      </c>
      <c r="D12" s="3">
        <v>8</v>
      </c>
      <c r="E12" s="19" t="s">
        <v>581</v>
      </c>
      <c r="F12" s="19" t="s">
        <v>513</v>
      </c>
      <c r="G12" s="10" t="s">
        <v>11</v>
      </c>
      <c r="H12" s="11">
        <v>3000</v>
      </c>
    </row>
    <row r="13" spans="1:8" ht="20.100000000000001" customHeight="1" x14ac:dyDescent="0.25">
      <c r="A13" s="54"/>
      <c r="B13" s="2">
        <v>45803</v>
      </c>
      <c r="C13" s="3">
        <v>201015652</v>
      </c>
      <c r="D13" s="3">
        <v>8</v>
      </c>
      <c r="E13" s="4" t="s">
        <v>605</v>
      </c>
      <c r="F13" s="19" t="s">
        <v>729</v>
      </c>
      <c r="G13" s="10" t="s">
        <v>7</v>
      </c>
      <c r="H13" s="6">
        <v>3600</v>
      </c>
    </row>
    <row r="14" spans="1:8" ht="20.100000000000001" customHeight="1" x14ac:dyDescent="0.25">
      <c r="A14" s="54"/>
      <c r="B14" s="2">
        <v>45876</v>
      </c>
      <c r="C14" s="3">
        <v>1851084296</v>
      </c>
      <c r="D14" s="3">
        <v>10</v>
      </c>
      <c r="E14" s="4" t="s">
        <v>534</v>
      </c>
      <c r="F14" s="4" t="s">
        <v>513</v>
      </c>
      <c r="G14" s="5" t="s">
        <v>7</v>
      </c>
      <c r="H14" s="6">
        <v>2800</v>
      </c>
    </row>
    <row r="15" spans="1:8" ht="20.100000000000001" customHeight="1" x14ac:dyDescent="0.25">
      <c r="A15" s="54"/>
      <c r="B15" s="2">
        <v>45888</v>
      </c>
      <c r="C15" s="3">
        <v>4085597969</v>
      </c>
      <c r="D15" s="3">
        <v>10</v>
      </c>
      <c r="E15" s="4" t="s">
        <v>541</v>
      </c>
      <c r="F15" s="4" t="s">
        <v>513</v>
      </c>
      <c r="G15" s="5" t="s">
        <v>19</v>
      </c>
      <c r="H15" s="6">
        <v>3500</v>
      </c>
    </row>
    <row r="16" spans="1:8" ht="20.100000000000001" customHeight="1" x14ac:dyDescent="0.25">
      <c r="A16" s="54"/>
      <c r="B16" s="2">
        <v>45896</v>
      </c>
      <c r="C16" s="3">
        <v>2697676562</v>
      </c>
      <c r="D16" s="3">
        <v>8</v>
      </c>
      <c r="E16" s="4" t="s">
        <v>900</v>
      </c>
      <c r="F16" s="4" t="s">
        <v>132</v>
      </c>
      <c r="G16" s="5" t="s">
        <v>7</v>
      </c>
      <c r="H16" s="6">
        <v>3120</v>
      </c>
    </row>
    <row r="17" spans="1:8" ht="20.100000000000001" customHeight="1" x14ac:dyDescent="0.25">
      <c r="A17" s="54"/>
      <c r="B17" s="2">
        <v>45902</v>
      </c>
      <c r="C17" s="3">
        <v>3842916601</v>
      </c>
      <c r="D17" s="3">
        <v>20</v>
      </c>
      <c r="E17" s="4" t="s">
        <v>159</v>
      </c>
      <c r="F17" s="19" t="s">
        <v>513</v>
      </c>
      <c r="G17" s="10" t="s">
        <v>19</v>
      </c>
      <c r="H17" s="11">
        <v>7000</v>
      </c>
    </row>
    <row r="18" spans="1:8" ht="20.100000000000001" customHeight="1" x14ac:dyDescent="0.25">
      <c r="A18" s="54"/>
      <c r="B18" s="2">
        <v>45922</v>
      </c>
      <c r="C18" s="3">
        <v>33508489</v>
      </c>
      <c r="D18" s="3">
        <v>6</v>
      </c>
      <c r="E18" s="4" t="s">
        <v>568</v>
      </c>
      <c r="F18" s="19" t="s">
        <v>513</v>
      </c>
      <c r="G18" s="10" t="s">
        <v>6</v>
      </c>
      <c r="H18" s="11">
        <v>2700</v>
      </c>
    </row>
    <row r="19" spans="1:8" ht="20.100000000000001" customHeight="1" x14ac:dyDescent="0.25">
      <c r="A19" s="54"/>
      <c r="B19" s="2">
        <v>45923</v>
      </c>
      <c r="C19" s="3">
        <v>2298563414</v>
      </c>
      <c r="D19" s="3">
        <v>6</v>
      </c>
      <c r="E19" s="4" t="s">
        <v>995</v>
      </c>
      <c r="F19" s="19" t="s">
        <v>513</v>
      </c>
      <c r="G19" s="10" t="s">
        <v>6</v>
      </c>
      <c r="H19" s="11">
        <v>2700</v>
      </c>
    </row>
    <row r="20" spans="1:8" ht="20.100000000000001" customHeight="1" x14ac:dyDescent="0.25">
      <c r="A20" s="54"/>
      <c r="B20" s="2">
        <v>45930</v>
      </c>
      <c r="C20" s="3">
        <v>833045323</v>
      </c>
      <c r="D20" s="3">
        <v>10</v>
      </c>
      <c r="E20" s="4" t="s">
        <v>1022</v>
      </c>
      <c r="F20" s="19" t="s">
        <v>513</v>
      </c>
      <c r="G20" s="10" t="s">
        <v>19</v>
      </c>
      <c r="H20" s="11">
        <v>3500</v>
      </c>
    </row>
    <row r="21" spans="1:8" ht="20.100000000000001" customHeight="1" x14ac:dyDescent="0.25">
      <c r="A21" s="54"/>
      <c r="B21" s="2">
        <v>45989</v>
      </c>
      <c r="C21" s="3">
        <v>4276440326</v>
      </c>
      <c r="D21" s="3">
        <v>8</v>
      </c>
      <c r="E21" s="4" t="s">
        <v>1131</v>
      </c>
      <c r="F21" s="19" t="s">
        <v>513</v>
      </c>
      <c r="G21" s="10" t="s">
        <v>7</v>
      </c>
      <c r="H21" s="11">
        <v>3000</v>
      </c>
    </row>
    <row r="22" spans="1:8" ht="20.100000000000001" customHeight="1" x14ac:dyDescent="0.25">
      <c r="A22" s="55"/>
      <c r="B22" s="100"/>
      <c r="C22" s="101"/>
      <c r="D22" s="101"/>
      <c r="E22" s="101"/>
      <c r="F22" s="101"/>
      <c r="G22" s="102"/>
      <c r="H22" s="17">
        <f>SUM(H3:H21)</f>
        <v>64892</v>
      </c>
    </row>
    <row r="23" spans="1:8" ht="20.100000000000001" customHeight="1" x14ac:dyDescent="0.25">
      <c r="F23"/>
    </row>
    <row r="24" spans="1:8" x14ac:dyDescent="0.25">
      <c r="F24"/>
    </row>
    <row r="25" spans="1:8" x14ac:dyDescent="0.25">
      <c r="F25"/>
    </row>
  </sheetData>
  <mergeCells count="8">
    <mergeCell ref="B22:G22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1A40-83CF-4208-AE11-540C33B9F4D4}">
  <sheetPr codeName="Hoja50"/>
  <dimension ref="A1:H73"/>
  <sheetViews>
    <sheetView workbookViewId="0">
      <pane ySplit="2" topLeftCell="A58" activePane="bottomLeft" state="frozen"/>
      <selection pane="bottomLeft" activeCell="E77" sqref="E77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3.5703125" bestFit="1" customWidth="1"/>
    <col min="6" max="6" width="32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3" t="s">
        <v>137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54"/>
      <c r="B2" s="87"/>
      <c r="C2" s="89"/>
      <c r="D2" s="89"/>
      <c r="E2" s="89"/>
      <c r="F2" s="89"/>
      <c r="G2" s="83"/>
      <c r="H2" s="85"/>
    </row>
    <row r="3" spans="1:8" ht="29.25" customHeight="1" x14ac:dyDescent="0.25">
      <c r="A3" s="54"/>
      <c r="B3" s="2">
        <v>45667</v>
      </c>
      <c r="C3" s="3">
        <v>2356430224</v>
      </c>
      <c r="D3" s="3">
        <v>5</v>
      </c>
      <c r="E3" s="4" t="s">
        <v>196</v>
      </c>
      <c r="F3" s="19" t="s">
        <v>140</v>
      </c>
      <c r="G3" s="10" t="s">
        <v>7</v>
      </c>
      <c r="H3" s="6">
        <v>8325</v>
      </c>
    </row>
    <row r="4" spans="1:8" ht="20.100000000000001" customHeight="1" x14ac:dyDescent="0.25">
      <c r="A4" s="54"/>
      <c r="B4" s="2">
        <v>45667</v>
      </c>
      <c r="C4" s="3">
        <v>2356430224</v>
      </c>
      <c r="D4" s="3">
        <v>1</v>
      </c>
      <c r="E4" s="4" t="s">
        <v>196</v>
      </c>
      <c r="F4" s="19" t="s">
        <v>140</v>
      </c>
      <c r="G4" s="10" t="s">
        <v>7</v>
      </c>
      <c r="H4" s="6">
        <v>1675</v>
      </c>
    </row>
    <row r="5" spans="1:8" ht="20.100000000000001" customHeight="1" x14ac:dyDescent="0.25">
      <c r="A5" s="54"/>
      <c r="B5" s="2">
        <v>45667</v>
      </c>
      <c r="C5" s="3">
        <v>2356430224</v>
      </c>
      <c r="D5" s="3">
        <v>5</v>
      </c>
      <c r="E5" s="4" t="s">
        <v>196</v>
      </c>
      <c r="F5" s="19" t="s">
        <v>197</v>
      </c>
      <c r="G5" s="10" t="s">
        <v>7</v>
      </c>
      <c r="H5" s="6">
        <v>8325</v>
      </c>
    </row>
    <row r="6" spans="1:8" ht="20.100000000000001" customHeight="1" x14ac:dyDescent="0.25">
      <c r="A6" s="54"/>
      <c r="B6" s="2">
        <v>45667</v>
      </c>
      <c r="C6" s="3">
        <v>2356430224</v>
      </c>
      <c r="D6" s="3">
        <v>1</v>
      </c>
      <c r="E6" s="4" t="s">
        <v>196</v>
      </c>
      <c r="F6" s="19" t="s">
        <v>197</v>
      </c>
      <c r="G6" s="10" t="s">
        <v>7</v>
      </c>
      <c r="H6" s="6">
        <v>1675</v>
      </c>
    </row>
    <row r="7" spans="1:8" ht="20.100000000000001" customHeight="1" x14ac:dyDescent="0.25">
      <c r="A7" s="54"/>
      <c r="B7" s="2">
        <v>45671</v>
      </c>
      <c r="C7" s="3">
        <v>2381726881</v>
      </c>
      <c r="D7" s="3">
        <v>5</v>
      </c>
      <c r="E7" s="4" t="s">
        <v>198</v>
      </c>
      <c r="F7" s="19" t="s">
        <v>143</v>
      </c>
      <c r="G7" s="10" t="s">
        <v>7</v>
      </c>
      <c r="H7" s="6">
        <v>8330</v>
      </c>
    </row>
    <row r="8" spans="1:8" ht="20.100000000000001" customHeight="1" x14ac:dyDescent="0.25">
      <c r="A8" s="54"/>
      <c r="B8" s="2">
        <v>45671</v>
      </c>
      <c r="C8" s="3">
        <v>2381726881</v>
      </c>
      <c r="D8" s="3">
        <v>1</v>
      </c>
      <c r="E8" s="4" t="s">
        <v>198</v>
      </c>
      <c r="F8" s="19" t="s">
        <v>143</v>
      </c>
      <c r="G8" s="10" t="s">
        <v>7</v>
      </c>
      <c r="H8" s="6">
        <v>1670</v>
      </c>
    </row>
    <row r="9" spans="1:8" ht="20.100000000000001" customHeight="1" x14ac:dyDescent="0.25">
      <c r="A9" s="54"/>
      <c r="B9" s="2">
        <v>45692</v>
      </c>
      <c r="C9" s="3">
        <v>2118271453</v>
      </c>
      <c r="D9" s="3">
        <v>5</v>
      </c>
      <c r="E9" s="4" t="s">
        <v>329</v>
      </c>
      <c r="F9" s="19" t="s">
        <v>143</v>
      </c>
      <c r="G9" s="10" t="s">
        <v>6</v>
      </c>
      <c r="H9" s="6">
        <v>8300</v>
      </c>
    </row>
    <row r="10" spans="1:8" ht="20.100000000000001" customHeight="1" x14ac:dyDescent="0.25">
      <c r="A10" s="54"/>
      <c r="B10" s="2">
        <v>45692</v>
      </c>
      <c r="C10" s="3">
        <v>2118271453</v>
      </c>
      <c r="D10" s="3">
        <v>1</v>
      </c>
      <c r="E10" s="4" t="s">
        <v>329</v>
      </c>
      <c r="F10" s="19" t="s">
        <v>143</v>
      </c>
      <c r="G10" s="10" t="s">
        <v>6</v>
      </c>
      <c r="H10" s="6">
        <v>1700</v>
      </c>
    </row>
    <row r="11" spans="1:8" ht="20.100000000000001" customHeight="1" x14ac:dyDescent="0.25">
      <c r="A11" s="54"/>
      <c r="B11" s="2">
        <v>45692</v>
      </c>
      <c r="C11" s="3">
        <v>313804271</v>
      </c>
      <c r="D11" s="3">
        <v>5</v>
      </c>
      <c r="E11" s="4" t="s">
        <v>317</v>
      </c>
      <c r="F11" s="19" t="s">
        <v>143</v>
      </c>
      <c r="G11" s="10" t="s">
        <v>13</v>
      </c>
      <c r="H11" s="6">
        <v>8330</v>
      </c>
    </row>
    <row r="12" spans="1:8" ht="20.100000000000001" customHeight="1" x14ac:dyDescent="0.25">
      <c r="A12" s="54"/>
      <c r="B12" s="2">
        <v>45692</v>
      </c>
      <c r="C12" s="3">
        <v>313804271</v>
      </c>
      <c r="D12" s="3">
        <v>1</v>
      </c>
      <c r="E12" s="4" t="s">
        <v>317</v>
      </c>
      <c r="F12" s="19" t="s">
        <v>143</v>
      </c>
      <c r="G12" s="10" t="s">
        <v>13</v>
      </c>
      <c r="H12" s="6">
        <v>1670</v>
      </c>
    </row>
    <row r="13" spans="1:8" ht="20.100000000000001" customHeight="1" x14ac:dyDescent="0.25">
      <c r="A13" s="54"/>
      <c r="B13" s="2">
        <v>45706</v>
      </c>
      <c r="C13" s="3">
        <v>253903913</v>
      </c>
      <c r="D13" s="3">
        <v>5</v>
      </c>
      <c r="E13" s="4" t="s">
        <v>330</v>
      </c>
      <c r="F13" s="19" t="s">
        <v>197</v>
      </c>
      <c r="G13" s="10" t="s">
        <v>19</v>
      </c>
      <c r="H13" s="6">
        <v>8250</v>
      </c>
    </row>
    <row r="14" spans="1:8" ht="20.100000000000001" customHeight="1" x14ac:dyDescent="0.25">
      <c r="A14" s="54"/>
      <c r="B14" s="2">
        <v>45706</v>
      </c>
      <c r="C14" s="3">
        <v>253903913</v>
      </c>
      <c r="D14" s="3">
        <v>1</v>
      </c>
      <c r="E14" s="4" t="s">
        <v>330</v>
      </c>
      <c r="F14" s="19" t="s">
        <v>197</v>
      </c>
      <c r="G14" s="10" t="s">
        <v>19</v>
      </c>
      <c r="H14" s="6">
        <v>1750</v>
      </c>
    </row>
    <row r="15" spans="1:8" ht="20.100000000000001" customHeight="1" x14ac:dyDescent="0.25">
      <c r="A15" s="54"/>
      <c r="B15" s="2">
        <v>45706</v>
      </c>
      <c r="C15" s="3">
        <v>4056108398</v>
      </c>
      <c r="D15" s="3">
        <v>5</v>
      </c>
      <c r="E15" s="4" t="s">
        <v>331</v>
      </c>
      <c r="F15" s="19" t="s">
        <v>332</v>
      </c>
      <c r="G15" s="10" t="s">
        <v>7</v>
      </c>
      <c r="H15" s="6">
        <v>8330</v>
      </c>
    </row>
    <row r="16" spans="1:8" ht="20.100000000000001" customHeight="1" x14ac:dyDescent="0.25">
      <c r="A16" s="54"/>
      <c r="B16" s="2">
        <v>45706</v>
      </c>
      <c r="C16" s="3">
        <v>4056108398</v>
      </c>
      <c r="D16" s="3">
        <v>1</v>
      </c>
      <c r="E16" s="4" t="s">
        <v>331</v>
      </c>
      <c r="F16" s="19" t="s">
        <v>143</v>
      </c>
      <c r="G16" s="10" t="s">
        <v>7</v>
      </c>
      <c r="H16" s="6">
        <v>1670</v>
      </c>
    </row>
    <row r="17" spans="1:8" ht="20.100000000000001" customHeight="1" x14ac:dyDescent="0.25">
      <c r="A17" s="54"/>
      <c r="B17" s="2">
        <v>45728</v>
      </c>
      <c r="C17" s="3">
        <v>3269610369</v>
      </c>
      <c r="D17" s="3">
        <v>2</v>
      </c>
      <c r="E17" s="4" t="s">
        <v>257</v>
      </c>
      <c r="F17" s="19" t="s">
        <v>197</v>
      </c>
      <c r="G17" s="10" t="s">
        <v>7</v>
      </c>
      <c r="H17" s="6">
        <v>3332</v>
      </c>
    </row>
    <row r="18" spans="1:8" ht="20.100000000000001" customHeight="1" x14ac:dyDescent="0.25">
      <c r="A18" s="54"/>
      <c r="B18" s="2">
        <v>45728</v>
      </c>
      <c r="C18" s="3">
        <v>3269610369</v>
      </c>
      <c r="D18" s="3">
        <v>1</v>
      </c>
      <c r="E18" s="4" t="s">
        <v>257</v>
      </c>
      <c r="F18" s="19" t="s">
        <v>197</v>
      </c>
      <c r="G18" s="10" t="s">
        <v>7</v>
      </c>
      <c r="H18" s="6">
        <v>1668</v>
      </c>
    </row>
    <row r="19" spans="1:8" ht="20.100000000000001" customHeight="1" x14ac:dyDescent="0.25">
      <c r="A19" s="54"/>
      <c r="B19" s="2">
        <v>45756</v>
      </c>
      <c r="C19" s="3">
        <v>2193049518</v>
      </c>
      <c r="D19" s="3">
        <v>5</v>
      </c>
      <c r="E19" s="4" t="s">
        <v>530</v>
      </c>
      <c r="F19" s="19" t="s">
        <v>197</v>
      </c>
      <c r="G19" s="10" t="s">
        <v>19</v>
      </c>
      <c r="H19" s="6">
        <v>8335</v>
      </c>
    </row>
    <row r="20" spans="1:8" ht="20.100000000000001" customHeight="1" x14ac:dyDescent="0.25">
      <c r="A20" s="54"/>
      <c r="B20" s="2">
        <v>45756</v>
      </c>
      <c r="C20" s="3">
        <v>2193049518</v>
      </c>
      <c r="D20" s="3">
        <v>1</v>
      </c>
      <c r="E20" s="4" t="s">
        <v>530</v>
      </c>
      <c r="F20" s="19" t="s">
        <v>197</v>
      </c>
      <c r="G20" s="10" t="s">
        <v>19</v>
      </c>
      <c r="H20" s="6">
        <v>1665</v>
      </c>
    </row>
    <row r="21" spans="1:8" ht="20.100000000000001" customHeight="1" x14ac:dyDescent="0.25">
      <c r="A21" s="54"/>
      <c r="B21" s="2">
        <v>45786</v>
      </c>
      <c r="C21" s="3">
        <v>76993638</v>
      </c>
      <c r="D21" s="3">
        <v>5</v>
      </c>
      <c r="E21" s="4" t="s">
        <v>338</v>
      </c>
      <c r="F21" s="19" t="s">
        <v>143</v>
      </c>
      <c r="G21" s="10" t="s">
        <v>6</v>
      </c>
      <c r="H21" s="6">
        <v>8325</v>
      </c>
    </row>
    <row r="22" spans="1:8" ht="20.100000000000001" customHeight="1" x14ac:dyDescent="0.25">
      <c r="A22" s="54"/>
      <c r="B22" s="2">
        <v>45786</v>
      </c>
      <c r="C22" s="3">
        <v>76993638</v>
      </c>
      <c r="D22" s="3">
        <v>1</v>
      </c>
      <c r="E22" s="4" t="s">
        <v>338</v>
      </c>
      <c r="F22" s="19" t="s">
        <v>143</v>
      </c>
      <c r="G22" s="10" t="s">
        <v>6</v>
      </c>
      <c r="H22" s="6">
        <v>1675</v>
      </c>
    </row>
    <row r="23" spans="1:8" ht="20.100000000000001" customHeight="1" x14ac:dyDescent="0.25">
      <c r="A23" s="54"/>
      <c r="B23" s="2">
        <v>45786</v>
      </c>
      <c r="C23" s="3">
        <v>3154004735</v>
      </c>
      <c r="D23" s="3">
        <v>5</v>
      </c>
      <c r="E23" s="4" t="s">
        <v>730</v>
      </c>
      <c r="F23" s="19" t="s">
        <v>143</v>
      </c>
      <c r="G23" s="10" t="s">
        <v>6</v>
      </c>
      <c r="H23" s="6">
        <v>8325</v>
      </c>
    </row>
    <row r="24" spans="1:8" ht="20.100000000000001" customHeight="1" x14ac:dyDescent="0.25">
      <c r="A24" s="54"/>
      <c r="B24" s="2">
        <v>45786</v>
      </c>
      <c r="C24" s="3">
        <v>3154004735</v>
      </c>
      <c r="D24" s="3">
        <v>1</v>
      </c>
      <c r="E24" s="4" t="s">
        <v>730</v>
      </c>
      <c r="F24" s="19" t="s">
        <v>143</v>
      </c>
      <c r="G24" s="10" t="s">
        <v>6</v>
      </c>
      <c r="H24" s="6">
        <v>1675</v>
      </c>
    </row>
    <row r="25" spans="1:8" ht="20.100000000000001" customHeight="1" x14ac:dyDescent="0.25">
      <c r="A25" s="54"/>
      <c r="B25" s="2">
        <v>45790</v>
      </c>
      <c r="C25" s="3">
        <v>2986626695</v>
      </c>
      <c r="D25" s="3">
        <v>5</v>
      </c>
      <c r="E25" s="4" t="s">
        <v>317</v>
      </c>
      <c r="F25" s="19" t="s">
        <v>197</v>
      </c>
      <c r="G25" s="10" t="s">
        <v>13</v>
      </c>
      <c r="H25" s="6">
        <v>8330</v>
      </c>
    </row>
    <row r="26" spans="1:8" ht="20.100000000000001" customHeight="1" x14ac:dyDescent="0.25">
      <c r="A26" s="54"/>
      <c r="B26" s="2">
        <v>45790</v>
      </c>
      <c r="C26" s="3">
        <v>2986626695</v>
      </c>
      <c r="D26" s="3">
        <v>1</v>
      </c>
      <c r="E26" s="4" t="s">
        <v>317</v>
      </c>
      <c r="F26" s="19" t="s">
        <v>197</v>
      </c>
      <c r="G26" s="10" t="s">
        <v>13</v>
      </c>
      <c r="H26" s="6">
        <v>1670</v>
      </c>
    </row>
    <row r="27" spans="1:8" ht="20.100000000000001" customHeight="1" x14ac:dyDescent="0.25">
      <c r="A27" s="54"/>
      <c r="B27" s="2">
        <v>45805</v>
      </c>
      <c r="C27" s="3">
        <v>4093133518</v>
      </c>
      <c r="D27" s="3">
        <v>5</v>
      </c>
      <c r="E27" s="4" t="s">
        <v>653</v>
      </c>
      <c r="F27" s="19" t="s">
        <v>197</v>
      </c>
      <c r="G27" s="10" t="s">
        <v>7</v>
      </c>
      <c r="H27" s="6">
        <v>8325</v>
      </c>
    </row>
    <row r="28" spans="1:8" ht="20.100000000000001" customHeight="1" x14ac:dyDescent="0.25">
      <c r="A28" s="54"/>
      <c r="B28" s="2">
        <v>45805</v>
      </c>
      <c r="C28" s="3">
        <v>4093133518</v>
      </c>
      <c r="D28" s="3">
        <v>1</v>
      </c>
      <c r="E28" s="4" t="s">
        <v>653</v>
      </c>
      <c r="F28" s="19" t="s">
        <v>197</v>
      </c>
      <c r="G28" s="10" t="s">
        <v>7</v>
      </c>
      <c r="H28" s="6">
        <v>1675</v>
      </c>
    </row>
    <row r="29" spans="1:8" ht="20.100000000000001" customHeight="1" x14ac:dyDescent="0.25">
      <c r="A29" s="54"/>
      <c r="B29" s="2">
        <v>45825</v>
      </c>
      <c r="C29" s="3">
        <v>3703128810</v>
      </c>
      <c r="D29" s="3">
        <v>5</v>
      </c>
      <c r="E29" s="4" t="s">
        <v>608</v>
      </c>
      <c r="F29" s="19" t="s">
        <v>731</v>
      </c>
      <c r="G29" s="10" t="s">
        <v>7</v>
      </c>
      <c r="H29" s="6">
        <v>8325</v>
      </c>
    </row>
    <row r="30" spans="1:8" ht="20.100000000000001" customHeight="1" x14ac:dyDescent="0.25">
      <c r="A30" s="54"/>
      <c r="B30" s="2">
        <v>45825</v>
      </c>
      <c r="C30" s="3">
        <v>3703128810</v>
      </c>
      <c r="D30" s="3">
        <v>1</v>
      </c>
      <c r="E30" s="4" t="s">
        <v>608</v>
      </c>
      <c r="F30" s="19" t="s">
        <v>731</v>
      </c>
      <c r="G30" s="10" t="s">
        <v>7</v>
      </c>
      <c r="H30" s="6">
        <v>1675</v>
      </c>
    </row>
    <row r="31" spans="1:8" ht="20.100000000000001" customHeight="1" x14ac:dyDescent="0.25">
      <c r="A31" s="54"/>
      <c r="B31" s="2">
        <v>45825</v>
      </c>
      <c r="C31" s="3">
        <v>3703128810</v>
      </c>
      <c r="D31" s="3">
        <v>5</v>
      </c>
      <c r="E31" s="4" t="s">
        <v>643</v>
      </c>
      <c r="F31" s="19" t="s">
        <v>197</v>
      </c>
      <c r="G31" s="10" t="s">
        <v>7</v>
      </c>
      <c r="H31" s="6">
        <v>8325</v>
      </c>
    </row>
    <row r="32" spans="1:8" ht="20.100000000000001" customHeight="1" x14ac:dyDescent="0.25">
      <c r="A32" s="54"/>
      <c r="B32" s="2">
        <v>45825</v>
      </c>
      <c r="C32" s="3">
        <v>3703128810</v>
      </c>
      <c r="D32" s="3">
        <v>1</v>
      </c>
      <c r="E32" s="4" t="s">
        <v>643</v>
      </c>
      <c r="F32" s="19" t="s">
        <v>197</v>
      </c>
      <c r="G32" s="10" t="s">
        <v>7</v>
      </c>
      <c r="H32" s="6">
        <v>1675</v>
      </c>
    </row>
    <row r="33" spans="1:8" ht="20.100000000000001" customHeight="1" x14ac:dyDescent="0.25">
      <c r="A33" s="54"/>
      <c r="B33" s="2">
        <v>45840</v>
      </c>
      <c r="C33" s="3">
        <v>3509668118</v>
      </c>
      <c r="D33" s="3">
        <v>1</v>
      </c>
      <c r="E33" s="4" t="s">
        <v>530</v>
      </c>
      <c r="F33" s="19" t="s">
        <v>197</v>
      </c>
      <c r="G33" s="10" t="s">
        <v>19</v>
      </c>
      <c r="H33" s="6">
        <v>1666</v>
      </c>
    </row>
    <row r="34" spans="1:8" ht="20.100000000000001" customHeight="1" x14ac:dyDescent="0.25">
      <c r="A34" s="54"/>
      <c r="B34" s="2">
        <v>45840</v>
      </c>
      <c r="C34" s="3">
        <v>3509668118</v>
      </c>
      <c r="D34" s="3">
        <v>3</v>
      </c>
      <c r="E34" s="4" t="s">
        <v>530</v>
      </c>
      <c r="F34" s="19" t="s">
        <v>875</v>
      </c>
      <c r="G34" s="10" t="s">
        <v>19</v>
      </c>
      <c r="H34" s="6">
        <v>4998</v>
      </c>
    </row>
    <row r="35" spans="1:8" ht="20.100000000000001" customHeight="1" x14ac:dyDescent="0.25">
      <c r="A35" s="54"/>
      <c r="B35" s="2">
        <v>45840</v>
      </c>
      <c r="C35" s="3">
        <v>3509668118</v>
      </c>
      <c r="D35" s="3">
        <v>2</v>
      </c>
      <c r="E35" s="4" t="s">
        <v>530</v>
      </c>
      <c r="F35" s="19" t="s">
        <v>876</v>
      </c>
      <c r="G35" s="10" t="s">
        <v>19</v>
      </c>
      <c r="H35" s="6">
        <v>3332</v>
      </c>
    </row>
    <row r="36" spans="1:8" ht="20.100000000000001" customHeight="1" x14ac:dyDescent="0.25">
      <c r="A36" s="54"/>
      <c r="B36" s="2">
        <v>45840</v>
      </c>
      <c r="C36" s="3">
        <v>3509668118</v>
      </c>
      <c r="D36" s="3">
        <v>1</v>
      </c>
      <c r="E36" s="4" t="s">
        <v>530</v>
      </c>
      <c r="F36" s="19" t="s">
        <v>876</v>
      </c>
      <c r="G36" s="10" t="s">
        <v>19</v>
      </c>
      <c r="H36" s="6">
        <v>1670</v>
      </c>
    </row>
    <row r="37" spans="1:8" ht="20.100000000000001" customHeight="1" x14ac:dyDescent="0.25">
      <c r="A37" s="54"/>
      <c r="B37" s="2">
        <v>45846</v>
      </c>
      <c r="C37" s="3">
        <v>4016261738</v>
      </c>
      <c r="D37" s="3">
        <v>5</v>
      </c>
      <c r="E37" s="4" t="s">
        <v>739</v>
      </c>
      <c r="F37" s="19" t="s">
        <v>876</v>
      </c>
      <c r="G37" s="10" t="s">
        <v>13</v>
      </c>
      <c r="H37" s="6">
        <v>8330</v>
      </c>
    </row>
    <row r="38" spans="1:8" ht="20.100000000000001" customHeight="1" x14ac:dyDescent="0.25">
      <c r="A38" s="54"/>
      <c r="B38" s="2">
        <v>45846</v>
      </c>
      <c r="C38" s="3">
        <v>4016261738</v>
      </c>
      <c r="D38" s="3">
        <v>1</v>
      </c>
      <c r="E38" s="4" t="s">
        <v>739</v>
      </c>
      <c r="F38" s="19" t="s">
        <v>876</v>
      </c>
      <c r="G38" s="10" t="s">
        <v>13</v>
      </c>
      <c r="H38" s="6">
        <v>1670</v>
      </c>
    </row>
    <row r="39" spans="1:8" ht="20.100000000000001" customHeight="1" x14ac:dyDescent="0.25">
      <c r="A39" s="54"/>
      <c r="B39" s="2">
        <v>45846</v>
      </c>
      <c r="C39" s="3">
        <v>4016261738</v>
      </c>
      <c r="D39" s="3">
        <v>5</v>
      </c>
      <c r="E39" s="4" t="s">
        <v>739</v>
      </c>
      <c r="F39" s="19" t="s">
        <v>140</v>
      </c>
      <c r="G39" s="10" t="s">
        <v>13</v>
      </c>
      <c r="H39" s="6">
        <v>8330</v>
      </c>
    </row>
    <row r="40" spans="1:8" ht="20.100000000000001" customHeight="1" x14ac:dyDescent="0.25">
      <c r="A40" s="54"/>
      <c r="B40" s="2">
        <v>45846</v>
      </c>
      <c r="C40" s="3">
        <v>4016261738</v>
      </c>
      <c r="D40" s="3">
        <v>1</v>
      </c>
      <c r="E40" s="4" t="s">
        <v>739</v>
      </c>
      <c r="F40" s="19" t="s">
        <v>140</v>
      </c>
      <c r="G40" s="10" t="s">
        <v>13</v>
      </c>
      <c r="H40" s="6">
        <v>1670</v>
      </c>
    </row>
    <row r="41" spans="1:8" ht="20.100000000000001" customHeight="1" x14ac:dyDescent="0.25">
      <c r="A41" s="54"/>
      <c r="B41" s="2">
        <v>45846</v>
      </c>
      <c r="C41" s="3">
        <v>4016261738</v>
      </c>
      <c r="D41" s="3">
        <v>5</v>
      </c>
      <c r="E41" s="4" t="s">
        <v>739</v>
      </c>
      <c r="F41" s="19" t="s">
        <v>875</v>
      </c>
      <c r="G41" s="10" t="s">
        <v>13</v>
      </c>
      <c r="H41" s="6">
        <v>8330</v>
      </c>
    </row>
    <row r="42" spans="1:8" ht="20.100000000000001" customHeight="1" x14ac:dyDescent="0.25">
      <c r="A42" s="54"/>
      <c r="B42" s="2">
        <v>45846</v>
      </c>
      <c r="C42" s="3">
        <v>4016261738</v>
      </c>
      <c r="D42" s="3">
        <v>1</v>
      </c>
      <c r="E42" s="4" t="s">
        <v>739</v>
      </c>
      <c r="F42" s="19" t="s">
        <v>875</v>
      </c>
      <c r="G42" s="10" t="s">
        <v>13</v>
      </c>
      <c r="H42" s="6">
        <v>1670</v>
      </c>
    </row>
    <row r="43" spans="1:8" ht="20.100000000000001" customHeight="1" x14ac:dyDescent="0.25">
      <c r="A43" s="54"/>
      <c r="B43" s="2">
        <v>45868</v>
      </c>
      <c r="C43" s="3">
        <v>2010202952</v>
      </c>
      <c r="D43" s="3">
        <v>5</v>
      </c>
      <c r="E43" s="4" t="s">
        <v>811</v>
      </c>
      <c r="F43" s="19" t="s">
        <v>140</v>
      </c>
      <c r="G43" s="10" t="s">
        <v>7</v>
      </c>
      <c r="H43" s="6">
        <v>8330</v>
      </c>
    </row>
    <row r="44" spans="1:8" ht="20.100000000000001" customHeight="1" x14ac:dyDescent="0.25">
      <c r="A44" s="54"/>
      <c r="B44" s="2">
        <v>45868</v>
      </c>
      <c r="C44" s="3">
        <v>2010202952</v>
      </c>
      <c r="D44" s="3">
        <v>1</v>
      </c>
      <c r="E44" s="4" t="s">
        <v>811</v>
      </c>
      <c r="F44" s="19" t="s">
        <v>140</v>
      </c>
      <c r="G44" s="10" t="s">
        <v>7</v>
      </c>
      <c r="H44" s="6">
        <v>1670</v>
      </c>
    </row>
    <row r="45" spans="1:8" ht="20.100000000000001" customHeight="1" x14ac:dyDescent="0.25">
      <c r="A45" s="54"/>
      <c r="B45" s="2">
        <v>45869</v>
      </c>
      <c r="C45" s="3">
        <v>1187530691</v>
      </c>
      <c r="D45" s="3">
        <v>3</v>
      </c>
      <c r="E45" s="4" t="s">
        <v>811</v>
      </c>
      <c r="F45" s="19" t="s">
        <v>197</v>
      </c>
      <c r="G45" s="10" t="s">
        <v>7</v>
      </c>
      <c r="H45" s="6">
        <v>4998</v>
      </c>
    </row>
    <row r="46" spans="1:8" ht="20.100000000000001" customHeight="1" x14ac:dyDescent="0.25">
      <c r="A46" s="54"/>
      <c r="B46" s="2">
        <v>45869</v>
      </c>
      <c r="C46" s="3">
        <v>1187530691</v>
      </c>
      <c r="D46" s="3">
        <v>1</v>
      </c>
      <c r="E46" s="4" t="s">
        <v>811</v>
      </c>
      <c r="F46" s="19" t="s">
        <v>877</v>
      </c>
      <c r="G46" s="10" t="s">
        <v>7</v>
      </c>
      <c r="H46" s="6">
        <v>1002</v>
      </c>
    </row>
    <row r="47" spans="1:8" ht="20.100000000000001" customHeight="1" x14ac:dyDescent="0.25">
      <c r="A47" s="54"/>
      <c r="B47" s="2">
        <v>45889</v>
      </c>
      <c r="C47" s="3">
        <v>4253368413</v>
      </c>
      <c r="D47" s="3">
        <v>5</v>
      </c>
      <c r="E47" s="4" t="s">
        <v>944</v>
      </c>
      <c r="F47" s="4" t="s">
        <v>140</v>
      </c>
      <c r="G47" s="5" t="s">
        <v>19</v>
      </c>
      <c r="H47" s="6">
        <v>8330</v>
      </c>
    </row>
    <row r="48" spans="1:8" ht="20.100000000000001" customHeight="1" x14ac:dyDescent="0.25">
      <c r="A48" s="54"/>
      <c r="B48" s="2">
        <v>45889</v>
      </c>
      <c r="C48" s="3">
        <v>4253368413</v>
      </c>
      <c r="D48" s="3">
        <v>1</v>
      </c>
      <c r="E48" s="4" t="s">
        <v>944</v>
      </c>
      <c r="F48" s="4" t="s">
        <v>140</v>
      </c>
      <c r="G48" s="5" t="s">
        <v>19</v>
      </c>
      <c r="H48" s="6">
        <v>1670</v>
      </c>
    </row>
    <row r="49" spans="1:8" ht="20.100000000000001" customHeight="1" x14ac:dyDescent="0.25">
      <c r="A49" s="54"/>
      <c r="B49" s="2">
        <v>45896</v>
      </c>
      <c r="C49" s="3">
        <v>3818278708</v>
      </c>
      <c r="D49" s="3">
        <v>5</v>
      </c>
      <c r="E49" s="4" t="s">
        <v>938</v>
      </c>
      <c r="F49" s="4" t="s">
        <v>140</v>
      </c>
      <c r="G49" s="5" t="s">
        <v>19</v>
      </c>
      <c r="H49" s="6">
        <v>8330</v>
      </c>
    </row>
    <row r="50" spans="1:8" ht="20.100000000000001" customHeight="1" x14ac:dyDescent="0.25">
      <c r="A50" s="54"/>
      <c r="B50" s="2">
        <v>45896</v>
      </c>
      <c r="C50" s="3">
        <v>3818278708</v>
      </c>
      <c r="D50" s="3">
        <v>1</v>
      </c>
      <c r="E50" s="4" t="s">
        <v>938</v>
      </c>
      <c r="F50" s="4" t="s">
        <v>140</v>
      </c>
      <c r="G50" s="5" t="s">
        <v>19</v>
      </c>
      <c r="H50" s="6">
        <v>1670</v>
      </c>
    </row>
    <row r="51" spans="1:8" ht="20.100000000000001" customHeight="1" x14ac:dyDescent="0.25">
      <c r="A51" s="54"/>
      <c r="B51" s="2">
        <v>45896</v>
      </c>
      <c r="C51" s="3">
        <v>3818278708</v>
      </c>
      <c r="D51" s="3">
        <v>5</v>
      </c>
      <c r="E51" s="4" t="s">
        <v>938</v>
      </c>
      <c r="F51" s="4" t="s">
        <v>197</v>
      </c>
      <c r="G51" s="5" t="s">
        <v>19</v>
      </c>
      <c r="H51" s="6">
        <v>8330</v>
      </c>
    </row>
    <row r="52" spans="1:8" ht="20.100000000000001" customHeight="1" x14ac:dyDescent="0.25">
      <c r="A52" s="54"/>
      <c r="B52" s="2">
        <v>45896</v>
      </c>
      <c r="C52" s="3">
        <v>3818278708</v>
      </c>
      <c r="D52" s="3">
        <v>1</v>
      </c>
      <c r="E52" s="4" t="s">
        <v>938</v>
      </c>
      <c r="F52" s="4" t="s">
        <v>197</v>
      </c>
      <c r="G52" s="5" t="s">
        <v>19</v>
      </c>
      <c r="H52" s="6">
        <v>1670</v>
      </c>
    </row>
    <row r="53" spans="1:8" ht="20.100000000000001" customHeight="1" x14ac:dyDescent="0.25">
      <c r="A53" s="54"/>
      <c r="B53" s="2">
        <v>45905</v>
      </c>
      <c r="C53" s="3">
        <v>1504201589</v>
      </c>
      <c r="D53" s="3">
        <v>5</v>
      </c>
      <c r="E53" s="4" t="s">
        <v>330</v>
      </c>
      <c r="F53" s="19" t="s">
        <v>197</v>
      </c>
      <c r="G53" s="10" t="s">
        <v>19</v>
      </c>
      <c r="H53" s="11">
        <v>8330</v>
      </c>
    </row>
    <row r="54" spans="1:8" ht="20.100000000000001" customHeight="1" x14ac:dyDescent="0.25">
      <c r="A54" s="54"/>
      <c r="B54" s="2">
        <v>45905</v>
      </c>
      <c r="C54" s="3">
        <v>1504201589</v>
      </c>
      <c r="D54" s="3">
        <v>1</v>
      </c>
      <c r="E54" s="4" t="s">
        <v>330</v>
      </c>
      <c r="F54" s="19" t="s">
        <v>197</v>
      </c>
      <c r="G54" s="10" t="s">
        <v>19</v>
      </c>
      <c r="H54" s="11">
        <v>1670</v>
      </c>
    </row>
    <row r="55" spans="1:8" ht="20.100000000000001" customHeight="1" x14ac:dyDescent="0.25">
      <c r="A55" s="54"/>
      <c r="B55" s="2">
        <v>45923</v>
      </c>
      <c r="C55" s="3">
        <v>2063876791</v>
      </c>
      <c r="D55" s="3">
        <v>5</v>
      </c>
      <c r="E55" s="4" t="s">
        <v>530</v>
      </c>
      <c r="F55" s="19" t="s">
        <v>197</v>
      </c>
      <c r="G55" s="10" t="s">
        <v>7</v>
      </c>
      <c r="H55" s="11">
        <v>8330</v>
      </c>
    </row>
    <row r="56" spans="1:8" ht="20.100000000000001" customHeight="1" x14ac:dyDescent="0.25">
      <c r="A56" s="54"/>
      <c r="B56" s="2">
        <v>45923</v>
      </c>
      <c r="C56" s="3">
        <v>2063876791</v>
      </c>
      <c r="D56" s="3">
        <v>1</v>
      </c>
      <c r="E56" s="4" t="s">
        <v>530</v>
      </c>
      <c r="F56" s="19" t="s">
        <v>197</v>
      </c>
      <c r="G56" s="10" t="s">
        <v>7</v>
      </c>
      <c r="H56" s="11">
        <v>1670</v>
      </c>
    </row>
    <row r="57" spans="1:8" ht="20.100000000000001" customHeight="1" x14ac:dyDescent="0.25">
      <c r="A57" s="54"/>
      <c r="B57" s="2">
        <v>45943</v>
      </c>
      <c r="C57" s="3">
        <v>885932863</v>
      </c>
      <c r="D57" s="3">
        <v>5</v>
      </c>
      <c r="E57" s="4" t="s">
        <v>1080</v>
      </c>
      <c r="F57" s="19" t="s">
        <v>143</v>
      </c>
      <c r="G57" s="10" t="s">
        <v>1081</v>
      </c>
      <c r="H57" s="11">
        <v>8330</v>
      </c>
    </row>
    <row r="58" spans="1:8" ht="20.100000000000001" customHeight="1" x14ac:dyDescent="0.25">
      <c r="A58" s="54"/>
      <c r="B58" s="2">
        <v>45943</v>
      </c>
      <c r="C58" s="3">
        <v>885932863</v>
      </c>
      <c r="D58" s="3">
        <v>1</v>
      </c>
      <c r="E58" s="4" t="s">
        <v>1080</v>
      </c>
      <c r="F58" s="19" t="s">
        <v>143</v>
      </c>
      <c r="G58" s="10" t="s">
        <v>1081</v>
      </c>
      <c r="H58" s="11">
        <v>1670</v>
      </c>
    </row>
    <row r="59" spans="1:8" ht="20.100000000000001" customHeight="1" x14ac:dyDescent="0.25">
      <c r="A59" s="54"/>
      <c r="B59" s="2">
        <v>45944</v>
      </c>
      <c r="C59" s="3">
        <v>1698973452</v>
      </c>
      <c r="D59" s="3">
        <v>5</v>
      </c>
      <c r="E59" s="4" t="s">
        <v>1082</v>
      </c>
      <c r="F59" s="19" t="s">
        <v>197</v>
      </c>
      <c r="G59" s="10" t="s">
        <v>19</v>
      </c>
      <c r="H59" s="11">
        <v>8330</v>
      </c>
    </row>
    <row r="60" spans="1:8" ht="20.100000000000001" customHeight="1" x14ac:dyDescent="0.25">
      <c r="A60" s="54"/>
      <c r="B60" s="2">
        <v>45944</v>
      </c>
      <c r="C60" s="3">
        <v>1698973452</v>
      </c>
      <c r="D60" s="3">
        <v>1</v>
      </c>
      <c r="E60" s="4" t="s">
        <v>1082</v>
      </c>
      <c r="F60" s="19" t="s">
        <v>197</v>
      </c>
      <c r="G60" s="10" t="s">
        <v>19</v>
      </c>
      <c r="H60" s="11">
        <v>1670</v>
      </c>
    </row>
    <row r="61" spans="1:8" ht="20.100000000000001" customHeight="1" x14ac:dyDescent="0.25">
      <c r="A61" s="54"/>
      <c r="B61" s="2">
        <v>45946</v>
      </c>
      <c r="C61" s="3">
        <v>638339846</v>
      </c>
      <c r="D61" s="3">
        <v>5</v>
      </c>
      <c r="E61" s="4" t="s">
        <v>1047</v>
      </c>
      <c r="F61" s="19" t="s">
        <v>197</v>
      </c>
      <c r="G61" s="10" t="s">
        <v>7</v>
      </c>
      <c r="H61" s="11">
        <v>8330</v>
      </c>
    </row>
    <row r="62" spans="1:8" ht="20.100000000000001" customHeight="1" x14ac:dyDescent="0.25">
      <c r="A62" s="54"/>
      <c r="B62" s="2">
        <v>45946</v>
      </c>
      <c r="C62" s="3">
        <v>638339846</v>
      </c>
      <c r="D62" s="3">
        <v>1</v>
      </c>
      <c r="E62" s="4" t="s">
        <v>1047</v>
      </c>
      <c r="F62" s="19" t="s">
        <v>197</v>
      </c>
      <c r="G62" s="10" t="s">
        <v>7</v>
      </c>
      <c r="H62" s="11">
        <v>1670</v>
      </c>
    </row>
    <row r="63" spans="1:8" ht="20.100000000000001" customHeight="1" x14ac:dyDescent="0.25">
      <c r="A63" s="54"/>
      <c r="B63" s="2">
        <v>45946</v>
      </c>
      <c r="C63" s="3">
        <v>1705395025</v>
      </c>
      <c r="D63" s="3">
        <v>5</v>
      </c>
      <c r="E63" s="4" t="s">
        <v>317</v>
      </c>
      <c r="F63" s="19" t="s">
        <v>140</v>
      </c>
      <c r="G63" s="10" t="s">
        <v>13</v>
      </c>
      <c r="H63" s="11">
        <v>8330</v>
      </c>
    </row>
    <row r="64" spans="1:8" ht="20.100000000000001" customHeight="1" x14ac:dyDescent="0.25">
      <c r="A64" s="54"/>
      <c r="B64" s="2">
        <v>45946</v>
      </c>
      <c r="C64" s="3">
        <v>1705395025</v>
      </c>
      <c r="D64" s="3">
        <v>1</v>
      </c>
      <c r="E64" s="4" t="s">
        <v>317</v>
      </c>
      <c r="F64" s="19" t="s">
        <v>140</v>
      </c>
      <c r="G64" s="10" t="s">
        <v>13</v>
      </c>
      <c r="H64" s="11">
        <v>1670</v>
      </c>
    </row>
    <row r="65" spans="1:8" ht="20.100000000000001" customHeight="1" x14ac:dyDescent="0.25">
      <c r="A65" s="54"/>
      <c r="B65" s="2">
        <v>45974</v>
      </c>
      <c r="C65" s="3">
        <v>2465612316</v>
      </c>
      <c r="D65" s="3">
        <v>5</v>
      </c>
      <c r="E65" s="4" t="s">
        <v>1095</v>
      </c>
      <c r="F65" s="19" t="s">
        <v>140</v>
      </c>
      <c r="G65" s="10" t="s">
        <v>7</v>
      </c>
      <c r="H65" s="11">
        <v>8330</v>
      </c>
    </row>
    <row r="66" spans="1:8" ht="20.100000000000001" customHeight="1" x14ac:dyDescent="0.25">
      <c r="A66" s="54"/>
      <c r="B66" s="2">
        <v>45974</v>
      </c>
      <c r="C66" s="3">
        <v>2465612316</v>
      </c>
      <c r="D66" s="3">
        <v>1</v>
      </c>
      <c r="E66" s="4" t="s">
        <v>1095</v>
      </c>
      <c r="F66" s="19" t="s">
        <v>140</v>
      </c>
      <c r="G66" s="10" t="s">
        <v>7</v>
      </c>
      <c r="H66" s="11">
        <v>1670</v>
      </c>
    </row>
    <row r="67" spans="1:8" ht="20.100000000000001" customHeight="1" x14ac:dyDescent="0.25">
      <c r="A67" s="54"/>
      <c r="B67" s="2">
        <v>45988</v>
      </c>
      <c r="C67" s="3">
        <v>2146389204</v>
      </c>
      <c r="D67" s="3">
        <v>1</v>
      </c>
      <c r="E67" s="4" t="s">
        <v>811</v>
      </c>
      <c r="F67" s="19" t="s">
        <v>1227</v>
      </c>
      <c r="G67" s="10" t="s">
        <v>7</v>
      </c>
      <c r="H67" s="11">
        <v>668</v>
      </c>
    </row>
    <row r="68" spans="1:8" ht="20.100000000000001" customHeight="1" x14ac:dyDescent="0.25">
      <c r="A68" s="54"/>
      <c r="B68" s="2">
        <v>45988</v>
      </c>
      <c r="C68" s="3">
        <v>2146389204</v>
      </c>
      <c r="D68" s="3">
        <v>2</v>
      </c>
      <c r="E68" s="4" t="s">
        <v>811</v>
      </c>
      <c r="F68" s="19" t="s">
        <v>197</v>
      </c>
      <c r="G68" s="10" t="s">
        <v>7</v>
      </c>
      <c r="H68" s="11">
        <v>3332</v>
      </c>
    </row>
    <row r="69" spans="1:8" ht="20.100000000000001" customHeight="1" x14ac:dyDescent="0.25">
      <c r="A69" s="55"/>
      <c r="B69" s="13"/>
      <c r="C69" s="14"/>
      <c r="D69" s="14"/>
      <c r="E69" s="14" t="s">
        <v>5</v>
      </c>
      <c r="F69" s="15"/>
      <c r="G69" s="16"/>
      <c r="H69" s="17">
        <f>SUM(H3:H68)</f>
        <v>306666</v>
      </c>
    </row>
    <row r="70" spans="1:8" ht="20.100000000000001" customHeight="1" x14ac:dyDescent="0.25">
      <c r="F70"/>
    </row>
    <row r="71" spans="1:8" x14ac:dyDescent="0.25">
      <c r="F71"/>
    </row>
    <row r="72" spans="1:8" x14ac:dyDescent="0.25">
      <c r="F72"/>
    </row>
    <row r="73" spans="1:8" x14ac:dyDescent="0.25">
      <c r="F73"/>
    </row>
  </sheetData>
  <mergeCells count="7"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8D8F-26E4-489B-AE89-5FED9F6497F4}">
  <sheetPr codeName="Hoja51">
    <tabColor rgb="FFFF0000"/>
  </sheetPr>
  <dimension ref="A1:H7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3.5703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97" t="s">
        <v>138</v>
      </c>
      <c r="B1" s="86" t="s">
        <v>0</v>
      </c>
      <c r="C1" s="88" t="s">
        <v>1</v>
      </c>
      <c r="D1" s="88" t="s">
        <v>2</v>
      </c>
      <c r="E1" s="88" t="s">
        <v>3</v>
      </c>
      <c r="F1" s="88" t="s">
        <v>8</v>
      </c>
      <c r="G1" s="82" t="s">
        <v>4</v>
      </c>
      <c r="H1" s="84" t="s">
        <v>5</v>
      </c>
    </row>
    <row r="2" spans="1:8" ht="15" customHeight="1" x14ac:dyDescent="0.25">
      <c r="A2" s="98"/>
      <c r="B2" s="87"/>
      <c r="C2" s="89"/>
      <c r="D2" s="89"/>
      <c r="E2" s="89"/>
      <c r="F2" s="89"/>
      <c r="G2" s="83"/>
      <c r="H2" s="85"/>
    </row>
    <row r="3" spans="1:8" ht="29.25" customHeight="1" x14ac:dyDescent="0.25">
      <c r="A3" s="98"/>
      <c r="B3" s="46" t="s">
        <v>95</v>
      </c>
      <c r="C3" s="46" t="s">
        <v>95</v>
      </c>
      <c r="D3" s="46" t="s">
        <v>95</v>
      </c>
      <c r="E3" s="46" t="s">
        <v>95</v>
      </c>
      <c r="F3" s="46" t="s">
        <v>95</v>
      </c>
      <c r="G3" s="46" t="s">
        <v>95</v>
      </c>
      <c r="H3" s="11">
        <v>0</v>
      </c>
    </row>
    <row r="4" spans="1:8" ht="20.100000000000001" customHeight="1" x14ac:dyDescent="0.25">
      <c r="A4" s="99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F5"/>
    </row>
    <row r="6" spans="1:8" x14ac:dyDescent="0.25">
      <c r="F6"/>
    </row>
    <row r="7" spans="1:8" x14ac:dyDescent="0.25">
      <c r="F7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51</vt:i4>
      </vt:variant>
    </vt:vector>
  </HeadingPairs>
  <TitlesOfParts>
    <vt:vector size="51" baseType="lpstr">
      <vt:lpstr>PRESENTACIÓN DE RESULTADOS</vt:lpstr>
      <vt:lpstr>Producto</vt:lpstr>
      <vt:lpstr>Acido hialuronico</vt:lpstr>
      <vt:lpstr>Depilación</vt:lpstr>
      <vt:lpstr>Emsculpt</vt:lpstr>
      <vt:lpstr>Emtone</vt:lpstr>
      <vt:lpstr>Exilis</vt:lpstr>
      <vt:lpstr>Exfoliación</vt:lpstr>
      <vt:lpstr>Facial purificante</vt:lpstr>
      <vt:lpstr>Hifu</vt:lpstr>
      <vt:lpstr>Hydrafacial</vt:lpstr>
      <vt:lpstr>Laboratorios</vt:lpstr>
      <vt:lpstr>Masaje linfatico</vt:lpstr>
      <vt:lpstr>Mesoterapia</vt:lpstr>
      <vt:lpstr>Morpheus</vt:lpstr>
      <vt:lpstr>Pico-láser</vt:lpstr>
      <vt:lpstr>Profhilo</vt:lpstr>
      <vt:lpstr>PRP</vt:lpstr>
      <vt:lpstr>Radiofrecuencia</vt:lpstr>
      <vt:lpstr>Ultrasonido</vt:lpstr>
      <vt:lpstr>Velo de acido hialuronico</vt:lpstr>
      <vt:lpstr>Velox</vt:lpstr>
      <vt:lpstr>Vitamina C intravenosa</vt:lpstr>
      <vt:lpstr>Ciclo coolsculpting</vt:lpstr>
      <vt:lpstr>Dermapen</vt:lpstr>
      <vt:lpstr>Láser CO2</vt:lpstr>
      <vt:lpstr>Masaje relajante</vt:lpstr>
      <vt:lpstr>Oligoelementos</vt:lpstr>
      <vt:lpstr>Grow</vt:lpstr>
      <vt:lpstr>Abonos a tratamientos</vt:lpstr>
      <vt:lpstr>Celulas madre</vt:lpstr>
      <vt:lpstr>Peeling</vt:lpstr>
      <vt:lpstr>Spectra ginecologico</vt:lpstr>
      <vt:lpstr>Eliminación de lunares</vt:lpstr>
      <vt:lpstr>Botox</vt:lpstr>
      <vt:lpstr>Encimas</vt:lpstr>
      <vt:lpstr>Cambio de tratamiento</vt:lpstr>
      <vt:lpstr>Microdermoabrasión</vt:lpstr>
      <vt:lpstr>Terapia Luminica</vt:lpstr>
      <vt:lpstr>Oscilación</vt:lpstr>
      <vt:lpstr>Sueros</vt:lpstr>
      <vt:lpstr>Presoterapia</vt:lpstr>
      <vt:lpstr>Nioo</vt:lpstr>
      <vt:lpstr>Sedación</vt:lpstr>
      <vt:lpstr>Masaje reflexologia</vt:lpstr>
      <vt:lpstr>Intrasure post-operatorio</vt:lpstr>
      <vt:lpstr>Mascarilla</vt:lpstr>
      <vt:lpstr>Hifu Ultra-forme</vt:lpstr>
      <vt:lpstr>Powershape</vt:lpstr>
      <vt:lpstr>Emsculpt NEO</vt:lpstr>
      <vt:lpstr>Exion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2026-01-06T22:47:07Z</dcterms:modified>
</cp:coreProperties>
</file>