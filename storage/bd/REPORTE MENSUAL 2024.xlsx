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filterPrivacy="1"/>
  <xr:revisionPtr revIDLastSave="0" documentId="13_ncr:1_{9D81396E-E8F8-4FCB-A531-82230D9EF8AF}" xr6:coauthVersionLast="47" xr6:coauthVersionMax="47" xr10:uidLastSave="{00000000-0000-0000-0000-000000000000}"/>
  <bookViews>
    <workbookView xWindow="-120" yWindow="-120" windowWidth="24240" windowHeight="13140" firstSheet="45" activeTab="48" xr2:uid="{00000000-000D-0000-FFFF-FFFF00000000}"/>
  </bookViews>
  <sheets>
    <sheet name="Producto" sheetId="22" r:id="rId1"/>
    <sheet name="Acido hialuronico" sheetId="15" r:id="rId2"/>
    <sheet name="Depilación" sheetId="14" r:id="rId3"/>
    <sheet name="PRESENTACIÓN DE RESULTADOS" sheetId="31" r:id="rId4"/>
    <sheet name="Emsculpt" sheetId="13" r:id="rId5"/>
    <sheet name="Emtone" sheetId="12" r:id="rId6"/>
    <sheet name="Exilis" sheetId="11" r:id="rId7"/>
    <sheet name="Exfoliación" sheetId="10" r:id="rId8"/>
    <sheet name="Facial purificante" sheetId="9" r:id="rId9"/>
    <sheet name="Hifu" sheetId="8" r:id="rId10"/>
    <sheet name="Hydrafacial" sheetId="7" r:id="rId11"/>
    <sheet name="Laboratorios" sheetId="6" r:id="rId12"/>
    <sheet name="Masaje linfatico" sheetId="5" r:id="rId13"/>
    <sheet name="Mesoterapia" sheetId="4" r:id="rId14"/>
    <sheet name="Morpheus" sheetId="3" r:id="rId15"/>
    <sheet name="Pico-láser" sheetId="2" r:id="rId16"/>
    <sheet name="Profhilo" sheetId="1" r:id="rId17"/>
    <sheet name="PRP" sheetId="17" r:id="rId18"/>
    <sheet name="Radiofrecuencia" sheetId="16" r:id="rId19"/>
    <sheet name="Ultrasonido" sheetId="21" r:id="rId20"/>
    <sheet name="Velo de acido hialuronico" sheetId="20" r:id="rId21"/>
    <sheet name="Velox" sheetId="19" r:id="rId22"/>
    <sheet name="Vitamina C intravenosa" sheetId="23" r:id="rId23"/>
    <sheet name="Ciclo coolsculpting" sheetId="25" r:id="rId24"/>
    <sheet name="Dermapen" sheetId="27" r:id="rId25"/>
    <sheet name="Láser CO2" sheetId="28" r:id="rId26"/>
    <sheet name="Masaje relajante" sheetId="29" r:id="rId27"/>
    <sheet name="Oligoelementos" sheetId="30" r:id="rId28"/>
    <sheet name="Celulas madre" sheetId="32" r:id="rId29"/>
    <sheet name="Peeling" sheetId="36" r:id="rId30"/>
    <sheet name="Spectra ginecologico" sheetId="37" r:id="rId31"/>
    <sheet name="Eliminación de lunares" sheetId="39" r:id="rId32"/>
    <sheet name="Botox" sheetId="40" r:id="rId33"/>
    <sheet name="Encimas" sheetId="42" r:id="rId34"/>
    <sheet name="Grow" sheetId="34" r:id="rId35"/>
    <sheet name="Abonos a tratamientos" sheetId="33" r:id="rId36"/>
    <sheet name="Cambio de tratamiento" sheetId="43" r:id="rId37"/>
    <sheet name="Microdermoabrasión" sheetId="44" r:id="rId38"/>
    <sheet name="Terapia Luminica" sheetId="45" r:id="rId39"/>
    <sheet name="Oscilación" sheetId="46" r:id="rId40"/>
    <sheet name="Sueros" sheetId="47" r:id="rId41"/>
    <sheet name="Presoterapia" sheetId="48" r:id="rId42"/>
    <sheet name="Nioo" sheetId="49" r:id="rId43"/>
    <sheet name="Sedación" sheetId="50" r:id="rId44"/>
    <sheet name="Masaje reflexologia" sheetId="51" r:id="rId45"/>
    <sheet name="Intrasure post-operatorio" sheetId="52" r:id="rId46"/>
    <sheet name="Mascarilla" sheetId="53" r:id="rId47"/>
    <sheet name="Hifu Ultra-forme" sheetId="54" r:id="rId48"/>
    <sheet name="Powershape" sheetId="55" r:id="rId49"/>
    <sheet name="Exion" sheetId="57" r:id="rId50"/>
    <sheet name="Emsculpt NEO" sheetId="56" r:id="rId51"/>
  </sheets>
  <externalReferences>
    <externalReference r:id="rId52"/>
  </externalReferences>
  <definedNames>
    <definedName name="_xlnm._FilterDatabase" localSheetId="35" hidden="1">'Abonos a tratamientos'!$A$1:$A$5</definedName>
    <definedName name="_xlnm._FilterDatabase" localSheetId="1" hidden="1">'Acido hialuronico'!$A$1:$A$70</definedName>
    <definedName name="_xlnm._FilterDatabase" localSheetId="32" hidden="1">Botox!$A$1:$H$349</definedName>
    <definedName name="_xlnm._FilterDatabase" localSheetId="36" hidden="1">'Cambio de tratamiento'!$A$1:$H$8</definedName>
    <definedName name="_xlnm._FilterDatabase" localSheetId="28" hidden="1">'Celulas madre'!$A$1:$A$13</definedName>
    <definedName name="_xlnm._FilterDatabase" localSheetId="23" hidden="1">'Ciclo coolsculpting'!$A$1:$A$8</definedName>
    <definedName name="_xlnm._FilterDatabase" localSheetId="2" hidden="1">Depilación!$A$1:$H$107</definedName>
    <definedName name="_xlnm._FilterDatabase" localSheetId="24" hidden="1">Dermapen!$A$1:$A$7</definedName>
    <definedName name="_xlnm._FilterDatabase" localSheetId="31" hidden="1">'Eliminación de lunares'!$A$1:$A$5</definedName>
    <definedName name="_xlnm._FilterDatabase" localSheetId="4" hidden="1">Emsculpt!$B$1:$H$25</definedName>
    <definedName name="_xlnm._FilterDatabase" localSheetId="50" hidden="1">'Emsculpt NEO'!$A$1:$A$26</definedName>
    <definedName name="_xlnm._FilterDatabase" localSheetId="33" hidden="1">Encimas!$A$1:$H$4</definedName>
    <definedName name="_xlnm._FilterDatabase" localSheetId="6" hidden="1">Exilis!$B$1:$H$79</definedName>
    <definedName name="_xlnm._FilterDatabase" localSheetId="49" hidden="1">Exion!$A$1:$A$19</definedName>
    <definedName name="_xlnm._FilterDatabase" localSheetId="8" hidden="1">'Facial purificante'!$A$1:$H$78</definedName>
    <definedName name="_xlnm._FilterDatabase" localSheetId="34" hidden="1">Grow!$A$1:$A$41</definedName>
    <definedName name="_xlnm._FilterDatabase" localSheetId="47" hidden="1">'Hifu Ultra-forme'!$A$1:$A$63</definedName>
    <definedName name="_xlnm._FilterDatabase" localSheetId="45" hidden="1">'Intrasure post-operatorio'!$A$1:$A$67</definedName>
    <definedName name="_xlnm._FilterDatabase" localSheetId="25" hidden="1">'Láser CO2'!$A$1:$A$10</definedName>
    <definedName name="_xlnm._FilterDatabase" localSheetId="12" hidden="1">'Masaje linfatico'!$A$1:$H$58</definedName>
    <definedName name="_xlnm._FilterDatabase" localSheetId="44" hidden="1">'Masaje reflexologia'!$A$1:$A$5</definedName>
    <definedName name="_xlnm._FilterDatabase" localSheetId="26" hidden="1">'Masaje relajante'!$A$1:$A$26</definedName>
    <definedName name="_xlnm._FilterDatabase" localSheetId="46" hidden="1">Mascarilla!$A$1:$A$6</definedName>
    <definedName name="_xlnm._FilterDatabase" localSheetId="37" hidden="1">Microdermoabrasión!$A$1:$A$6</definedName>
    <definedName name="_xlnm._FilterDatabase" localSheetId="14" hidden="1">Morpheus!$B$1:$H$82</definedName>
    <definedName name="_xlnm._FilterDatabase" localSheetId="42" hidden="1">Nioo!$A$1:$A$41</definedName>
    <definedName name="_xlnm._FilterDatabase" localSheetId="27" hidden="1">Oligoelementos!$A$1:$A$5</definedName>
    <definedName name="_xlnm._FilterDatabase" localSheetId="39" hidden="1">Oscilación!$A$1:$A$54</definedName>
    <definedName name="_xlnm._FilterDatabase" localSheetId="29" hidden="1">Peeling!$A$1:$A$30</definedName>
    <definedName name="_xlnm._FilterDatabase" localSheetId="48" hidden="1">Powershape!$A$1:$A$21</definedName>
    <definedName name="_xlnm._FilterDatabase" localSheetId="41" hidden="1">Presoterapia!$A$1:$A$7</definedName>
    <definedName name="_xlnm._FilterDatabase" localSheetId="0" hidden="1">Producto!$B$1:$H$171</definedName>
    <definedName name="_xlnm._FilterDatabase" localSheetId="16" hidden="1">Profhilo!$B$1:$H$30</definedName>
    <definedName name="_xlnm._FilterDatabase" localSheetId="17" hidden="1">PRP!$A$1:$H$147</definedName>
    <definedName name="_xlnm._FilterDatabase" localSheetId="18" hidden="1">Radiofrecuencia!$B$1:$H$50</definedName>
    <definedName name="_xlnm._FilterDatabase" localSheetId="43" hidden="1">Sedación!$A$1:$A$11</definedName>
    <definedName name="_xlnm._FilterDatabase" localSheetId="30" hidden="1">'Spectra ginecologico'!$A$1:$A$33</definedName>
    <definedName name="_xlnm._FilterDatabase" localSheetId="40" hidden="1">Sueros!$B$1:$H$91</definedName>
    <definedName name="_xlnm._FilterDatabase" localSheetId="38" hidden="1">'Terapia Luminica'!$A$1:$A$5</definedName>
    <definedName name="_xlnm._FilterDatabase" localSheetId="19" hidden="1">Ultrasonido!$A$1:$H$18</definedName>
    <definedName name="_xlnm._FilterDatabase" localSheetId="22" hidden="1">'Vitamina C intravenosa'!$B$1:$H$146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9" i="11" l="1"/>
  <c r="M54" i="31" l="1"/>
  <c r="M11" i="31" l="1"/>
  <c r="M23" i="31"/>
  <c r="M14" i="31" l="1"/>
  <c r="M48" i="31"/>
  <c r="M46" i="31"/>
  <c r="M44" i="31"/>
  <c r="M41" i="31"/>
  <c r="M32" i="31"/>
  <c r="M29" i="31"/>
  <c r="M28" i="31"/>
  <c r="M27" i="31"/>
  <c r="M21" i="31"/>
  <c r="M20" i="31"/>
  <c r="M19" i="31"/>
  <c r="M18" i="31"/>
  <c r="M17" i="31"/>
  <c r="M15" i="31"/>
  <c r="M13" i="31"/>
  <c r="M9" i="31"/>
  <c r="M7" i="31"/>
  <c r="M6" i="31"/>
  <c r="M4" i="31"/>
  <c r="M3" i="31"/>
  <c r="M2" i="31"/>
  <c r="J26" i="31" l="1"/>
  <c r="L54" i="31" l="1"/>
  <c r="L50" i="31" l="1"/>
  <c r="L49" i="31"/>
  <c r="L48" i="31"/>
  <c r="L46" i="31"/>
  <c r="L44" i="31"/>
  <c r="L41" i="31"/>
  <c r="L40" i="31"/>
  <c r="L35" i="31"/>
  <c r="H349" i="40"/>
  <c r="L29" i="31"/>
  <c r="L27" i="31"/>
  <c r="L26" i="31"/>
  <c r="L23" i="31"/>
  <c r="L20" i="31"/>
  <c r="L19" i="31"/>
  <c r="L18" i="31"/>
  <c r="L17" i="31"/>
  <c r="L15" i="31"/>
  <c r="L14" i="31"/>
  <c r="L13" i="31"/>
  <c r="L11" i="31"/>
  <c r="L9" i="31"/>
  <c r="L7" i="31"/>
  <c r="L6" i="31"/>
  <c r="L4" i="31"/>
  <c r="L3" i="31"/>
  <c r="L2" i="31"/>
  <c r="K54" i="31" l="1"/>
  <c r="K51" i="31" l="1"/>
  <c r="K9" i="31"/>
  <c r="I5" i="31"/>
  <c r="K50" i="31"/>
  <c r="K49" i="31"/>
  <c r="K48" i="31"/>
  <c r="K46" i="31"/>
  <c r="H66" i="52"/>
  <c r="K41" i="31"/>
  <c r="K40" i="31"/>
  <c r="K35" i="31"/>
  <c r="K33" i="31"/>
  <c r="K32" i="31"/>
  <c r="K31" i="31"/>
  <c r="K29" i="31"/>
  <c r="K27" i="31"/>
  <c r="K23" i="31"/>
  <c r="K20" i="31"/>
  <c r="K19" i="31"/>
  <c r="K18" i="31"/>
  <c r="K17" i="31"/>
  <c r="K15" i="31"/>
  <c r="K14" i="31"/>
  <c r="K12" i="31"/>
  <c r="K11" i="31"/>
  <c r="K7" i="31"/>
  <c r="K6" i="31"/>
  <c r="K5" i="31"/>
  <c r="K4" i="31"/>
  <c r="K3" i="31"/>
  <c r="K2" i="31"/>
  <c r="J27" i="31" l="1"/>
  <c r="J51" i="31"/>
  <c r="J50" i="31"/>
  <c r="J49" i="31"/>
  <c r="J46" i="31"/>
  <c r="J41" i="31"/>
  <c r="J40" i="31"/>
  <c r="J35" i="31"/>
  <c r="J33" i="31"/>
  <c r="J32" i="31"/>
  <c r="J31" i="31"/>
  <c r="J29" i="31"/>
  <c r="J23" i="31"/>
  <c r="J19" i="31"/>
  <c r="J18" i="31"/>
  <c r="J17" i="31"/>
  <c r="H30" i="1"/>
  <c r="J15" i="31"/>
  <c r="J14" i="31"/>
  <c r="J13" i="31"/>
  <c r="J12" i="31"/>
  <c r="J11" i="31"/>
  <c r="J9" i="31"/>
  <c r="J7" i="31"/>
  <c r="J6" i="31"/>
  <c r="J4" i="31"/>
  <c r="J3" i="31"/>
  <c r="J2" i="31"/>
  <c r="J53" i="31" l="1"/>
  <c r="J54" i="31"/>
  <c r="H50" i="31" l="1"/>
  <c r="I50" i="31"/>
  <c r="H26" i="31"/>
  <c r="G5" i="31"/>
  <c r="H25" i="13"/>
  <c r="O5" i="31" s="1"/>
  <c r="H18" i="57" l="1"/>
  <c r="H25" i="56"/>
  <c r="H20" i="55"/>
  <c r="I54" i="31" l="1"/>
  <c r="I51" i="31" l="1"/>
  <c r="I48" i="31"/>
  <c r="I46" i="31"/>
  <c r="I41" i="31"/>
  <c r="I40" i="31"/>
  <c r="I35" i="31"/>
  <c r="I33" i="31"/>
  <c r="I32" i="31"/>
  <c r="I31" i="31"/>
  <c r="I29" i="31"/>
  <c r="I27" i="31"/>
  <c r="I23" i="31"/>
  <c r="I19" i="31"/>
  <c r="I18" i="31"/>
  <c r="I17" i="31"/>
  <c r="I15" i="31"/>
  <c r="I14" i="31"/>
  <c r="I13" i="31"/>
  <c r="I12" i="31"/>
  <c r="I11" i="31"/>
  <c r="I10" i="31"/>
  <c r="I9" i="31"/>
  <c r="I7" i="31"/>
  <c r="I6" i="31"/>
  <c r="I4" i="31"/>
  <c r="I3" i="31"/>
  <c r="I2" i="31"/>
  <c r="H51" i="31" l="1"/>
  <c r="N51" i="31" s="1"/>
  <c r="O51" i="31"/>
  <c r="H20" i="31"/>
  <c r="H18" i="31"/>
  <c r="H54" i="31"/>
  <c r="P51" i="31" l="1"/>
  <c r="N50" i="31"/>
  <c r="O50" i="31"/>
  <c r="H10" i="31"/>
  <c r="H46" i="31"/>
  <c r="H49" i="31"/>
  <c r="H48" i="31"/>
  <c r="P50" i="31" l="1"/>
  <c r="H44" i="31"/>
  <c r="H42" i="31"/>
  <c r="H41" i="31"/>
  <c r="H40" i="31"/>
  <c r="H35" i="31"/>
  <c r="H33" i="31"/>
  <c r="H32" i="31"/>
  <c r="H29" i="31"/>
  <c r="H27" i="31"/>
  <c r="H25" i="31"/>
  <c r="H24" i="31"/>
  <c r="H23" i="31"/>
  <c r="H19" i="31"/>
  <c r="H17" i="31"/>
  <c r="H15" i="31"/>
  <c r="H14" i="31"/>
  <c r="H13" i="31"/>
  <c r="H11" i="31"/>
  <c r="H9" i="31"/>
  <c r="H7" i="31"/>
  <c r="H6" i="31"/>
  <c r="H4" i="31"/>
  <c r="H3" i="31"/>
  <c r="H69" i="15"/>
  <c r="H2" i="31"/>
  <c r="G54" i="31" l="1"/>
  <c r="G49" i="31" l="1"/>
  <c r="G48" i="31"/>
  <c r="G46" i="31"/>
  <c r="F44" i="31" l="1"/>
  <c r="E44" i="31"/>
  <c r="H10" i="50"/>
  <c r="G44" i="31"/>
  <c r="G41" i="31"/>
  <c r="G40" i="31"/>
  <c r="G32" i="31"/>
  <c r="G31" i="31"/>
  <c r="G29" i="31"/>
  <c r="G27" i="31"/>
  <c r="G25" i="31" l="1"/>
  <c r="G23" i="31"/>
  <c r="G22" i="31"/>
  <c r="G19" i="31"/>
  <c r="G18" i="31"/>
  <c r="G15" i="31"/>
  <c r="G14" i="31"/>
  <c r="G13" i="31"/>
  <c r="G12" i="31"/>
  <c r="G11" i="31"/>
  <c r="G10" i="31"/>
  <c r="G9" i="31"/>
  <c r="G7" i="31"/>
  <c r="G6" i="31"/>
  <c r="G4" i="31"/>
  <c r="G2" i="31"/>
  <c r="F54" i="31" l="1"/>
  <c r="F49" i="31" l="1"/>
  <c r="F48" i="31"/>
  <c r="H62" i="54"/>
  <c r="F46" i="31"/>
  <c r="N44" i="31"/>
  <c r="O44" i="31"/>
  <c r="F41" i="31"/>
  <c r="F40" i="31"/>
  <c r="F38" i="31"/>
  <c r="F32" i="31"/>
  <c r="F29" i="31"/>
  <c r="F27" i="31"/>
  <c r="F23" i="31"/>
  <c r="F22" i="31"/>
  <c r="F20" i="31"/>
  <c r="F19" i="31"/>
  <c r="F18" i="31"/>
  <c r="F17" i="31"/>
  <c r="F15" i="31"/>
  <c r="F14" i="31"/>
  <c r="F13" i="31"/>
  <c r="F11" i="31"/>
  <c r="F10" i="31"/>
  <c r="F9" i="31" l="1"/>
  <c r="F7" i="31"/>
  <c r="F6" i="31"/>
  <c r="F5" i="31"/>
  <c r="F4" i="31"/>
  <c r="F3" i="31"/>
  <c r="F2" i="31"/>
  <c r="E54" i="31" l="1"/>
  <c r="C48" i="31" l="1"/>
  <c r="D48" i="31"/>
  <c r="E48" i="31"/>
  <c r="E49" i="31"/>
  <c r="N49" i="31" s="1"/>
  <c r="O49" i="31"/>
  <c r="E46" i="31"/>
  <c r="E43" i="31"/>
  <c r="E41" i="31"/>
  <c r="E40" i="31"/>
  <c r="E33" i="31"/>
  <c r="E32" i="31"/>
  <c r="H29" i="36"/>
  <c r="E29" i="31"/>
  <c r="E27" i="31"/>
  <c r="E26" i="31"/>
  <c r="E23" i="31"/>
  <c r="E20" i="31"/>
  <c r="E19" i="31"/>
  <c r="E18" i="31"/>
  <c r="E17" i="31"/>
  <c r="E15" i="31"/>
  <c r="E14" i="31"/>
  <c r="E13" i="31"/>
  <c r="E11" i="31"/>
  <c r="E10" i="31"/>
  <c r="E9" i="31"/>
  <c r="E7" i="31"/>
  <c r="E6" i="31"/>
  <c r="E5" i="31"/>
  <c r="E4" i="31"/>
  <c r="E3" i="31"/>
  <c r="N48" i="31" l="1"/>
  <c r="E2" i="31"/>
  <c r="D54" i="31" l="1"/>
  <c r="D47" i="31" l="1"/>
  <c r="D46" i="31"/>
  <c r="D41" i="31"/>
  <c r="D40" i="31"/>
  <c r="D35" i="31"/>
  <c r="D30" i="31"/>
  <c r="D29" i="31"/>
  <c r="D26" i="31"/>
  <c r="D24" i="31"/>
  <c r="D23" i="31"/>
  <c r="D22" i="31"/>
  <c r="D20" i="31"/>
  <c r="D19" i="31"/>
  <c r="D18" i="31"/>
  <c r="D17" i="31"/>
  <c r="D15" i="31"/>
  <c r="D14" i="31"/>
  <c r="D13" i="31"/>
  <c r="D11" i="31"/>
  <c r="D9" i="31"/>
  <c r="D7" i="31"/>
  <c r="D6" i="31"/>
  <c r="D5" i="31"/>
  <c r="D4" i="31"/>
  <c r="D3" i="31"/>
  <c r="D2" i="31"/>
  <c r="D53" i="31" l="1"/>
  <c r="D55" i="31" s="1"/>
  <c r="B54" i="31"/>
  <c r="C47" i="31"/>
  <c r="N47" i="31" s="1"/>
  <c r="C46" i="31"/>
  <c r="C45" i="31"/>
  <c r="C43" i="31"/>
  <c r="C41" i="31"/>
  <c r="C40" i="31"/>
  <c r="C37" i="31"/>
  <c r="C35" i="31"/>
  <c r="C29" i="31"/>
  <c r="C27" i="31"/>
  <c r="C25" i="31"/>
  <c r="C24" i="31"/>
  <c r="C23" i="31"/>
  <c r="C20" i="31"/>
  <c r="C19" i="31"/>
  <c r="C18" i="31"/>
  <c r="C15" i="31"/>
  <c r="C14" i="31"/>
  <c r="C13" i="31"/>
  <c r="C11" i="31"/>
  <c r="C10" i="31"/>
  <c r="C9" i="31"/>
  <c r="C7" i="31"/>
  <c r="C6" i="31"/>
  <c r="C5" i="31"/>
  <c r="C4" i="31"/>
  <c r="C3" i="31"/>
  <c r="C2" i="31"/>
  <c r="B2" i="31"/>
  <c r="C54" i="31"/>
  <c r="O48" i="31"/>
  <c r="P48" i="31" s="1"/>
  <c r="C53" i="31" l="1"/>
  <c r="C55" i="31" s="1"/>
  <c r="N46" i="31"/>
  <c r="H5" i="53"/>
  <c r="O47" i="31" s="1"/>
  <c r="P47" i="31" s="1"/>
  <c r="N45" i="31"/>
  <c r="O46" i="31"/>
  <c r="H4" i="51"/>
  <c r="O45" i="31" s="1"/>
  <c r="P44" i="31" l="1"/>
  <c r="P45" i="31"/>
  <c r="P46" i="31"/>
  <c r="B43" i="31" l="1"/>
  <c r="B41" i="31"/>
  <c r="B40" i="31"/>
  <c r="B35" i="31"/>
  <c r="B31" i="31"/>
  <c r="B29" i="31"/>
  <c r="B27" i="31"/>
  <c r="B23" i="31"/>
  <c r="B20" i="31"/>
  <c r="B19" i="31"/>
  <c r="B18" i="31"/>
  <c r="B17" i="31"/>
  <c r="B15" i="31"/>
  <c r="B14" i="31"/>
  <c r="B13" i="31" l="1"/>
  <c r="B12" i="31"/>
  <c r="B11" i="31"/>
  <c r="B10" i="31"/>
  <c r="B9" i="31"/>
  <c r="B7" i="31"/>
  <c r="B6" i="31"/>
  <c r="B5" i="31"/>
  <c r="B4" i="31" l="1"/>
  <c r="N39" i="31" l="1"/>
  <c r="N36" i="31"/>
  <c r="N34" i="31"/>
  <c r="N32" i="31"/>
  <c r="N28" i="31"/>
  <c r="N8" i="31"/>
  <c r="M53" i="31"/>
  <c r="H171" i="22"/>
  <c r="L53" i="31" l="1"/>
  <c r="K53" i="31"/>
  <c r="K55" i="31" s="1"/>
  <c r="J55" i="31"/>
  <c r="I53" i="31"/>
  <c r="I55" i="31" s="1"/>
  <c r="H40" i="34" l="1"/>
  <c r="O29" i="31" s="1"/>
  <c r="O35" i="31"/>
  <c r="P49" i="31"/>
  <c r="H40" i="49"/>
  <c r="O43" i="31" s="1"/>
  <c r="H6" i="48"/>
  <c r="O42" i="31" s="1"/>
  <c r="H91" i="47"/>
  <c r="O41" i="31" s="1"/>
  <c r="H53" i="46"/>
  <c r="O40" i="31" s="1"/>
  <c r="H4" i="45"/>
  <c r="O39" i="31" s="1"/>
  <c r="P39" i="31" s="1"/>
  <c r="H5" i="44"/>
  <c r="O38" i="31" s="1"/>
  <c r="H8" i="43"/>
  <c r="O37" i="31" s="1"/>
  <c r="H4" i="33"/>
  <c r="O30" i="31" s="1"/>
  <c r="H4" i="42"/>
  <c r="H4" i="39"/>
  <c r="H32" i="37"/>
  <c r="O33" i="31" s="1"/>
  <c r="O32" i="31"/>
  <c r="P32" i="31" s="1"/>
  <c r="H12" i="32"/>
  <c r="O31" i="31" s="1"/>
  <c r="H4" i="30"/>
  <c r="O28" i="31" s="1"/>
  <c r="P28" i="31" s="1"/>
  <c r="H25" i="29"/>
  <c r="O27" i="31" s="1"/>
  <c r="H9" i="28"/>
  <c r="O26" i="31" s="1"/>
  <c r="H6" i="27"/>
  <c r="O25" i="31" s="1"/>
  <c r="H7" i="25"/>
  <c r="O24" i="31" s="1"/>
  <c r="H146" i="23"/>
  <c r="O23" i="31" s="1"/>
  <c r="H10" i="19"/>
  <c r="O22" i="31" s="1"/>
  <c r="H5" i="20"/>
  <c r="O21" i="31" s="1"/>
  <c r="H18" i="21"/>
  <c r="O20" i="31" s="1"/>
  <c r="H50" i="16"/>
  <c r="O19" i="31" s="1"/>
  <c r="H147" i="17"/>
  <c r="O18" i="31" s="1"/>
  <c r="O17" i="31"/>
  <c r="H6" i="2"/>
  <c r="O16" i="31" s="1"/>
  <c r="H82" i="3"/>
  <c r="O15" i="31" s="1"/>
  <c r="H33" i="4"/>
  <c r="O14" i="31" s="1"/>
  <c r="H58" i="5"/>
  <c r="O13" i="31" s="1"/>
  <c r="H18" i="6"/>
  <c r="O12" i="31" s="1"/>
  <c r="H53" i="7"/>
  <c r="O11" i="31" s="1"/>
  <c r="H16" i="8"/>
  <c r="O10" i="31" s="1"/>
  <c r="H78" i="9"/>
  <c r="O9" i="31" s="1"/>
  <c r="H4" i="10"/>
  <c r="O8" i="31" s="1"/>
  <c r="P8" i="31" s="1"/>
  <c r="O7" i="31"/>
  <c r="H51" i="12"/>
  <c r="O6" i="31" s="1"/>
  <c r="H107" i="14"/>
  <c r="O4" i="31" s="1"/>
  <c r="O3" i="31"/>
  <c r="O2" i="31"/>
  <c r="O36" i="31"/>
  <c r="P36" i="31" s="1"/>
  <c r="N35" i="31"/>
  <c r="O34" i="31"/>
  <c r="P34" i="31" s="1"/>
  <c r="N30" i="31"/>
  <c r="N31" i="31" l="1"/>
  <c r="P31" i="31" s="1"/>
  <c r="N38" i="31"/>
  <c r="P38" i="31" s="1"/>
  <c r="N22" i="31"/>
  <c r="P22" i="31" s="1"/>
  <c r="N21" i="31"/>
  <c r="P21" i="31" s="1"/>
  <c r="N16" i="31"/>
  <c r="P16" i="31" s="1"/>
  <c r="N12" i="31"/>
  <c r="P12" i="31" s="1"/>
  <c r="N33" i="31"/>
  <c r="P33" i="31" s="1"/>
  <c r="N29" i="31"/>
  <c r="P29" i="31" s="1"/>
  <c r="N40" i="31"/>
  <c r="P40" i="31" s="1"/>
  <c r="N41" i="31"/>
  <c r="P41" i="31" s="1"/>
  <c r="N42" i="31"/>
  <c r="P42" i="31" s="1"/>
  <c r="N43" i="31"/>
  <c r="P43" i="31" s="1"/>
  <c r="N37" i="31"/>
  <c r="P37" i="31" s="1"/>
  <c r="N27" i="31"/>
  <c r="P27" i="31" s="1"/>
  <c r="N5" i="31"/>
  <c r="P5" i="31" s="1"/>
  <c r="P35" i="31"/>
  <c r="P52" i="31"/>
  <c r="G53" i="31"/>
  <c r="G55" i="31" s="1"/>
  <c r="H53" i="31"/>
  <c r="H55" i="31" s="1"/>
  <c r="E53" i="31"/>
  <c r="E55" i="31" s="1"/>
  <c r="B53" i="31"/>
  <c r="B55" i="31" s="1"/>
  <c r="P30" i="31"/>
  <c r="F53" i="31"/>
  <c r="F55" i="31" s="1"/>
  <c r="N17" i="31" l="1"/>
  <c r="P17" i="31" s="1"/>
  <c r="N25" i="31" l="1"/>
  <c r="P25" i="31" s="1"/>
  <c r="N19" i="31"/>
  <c r="P19" i="31" s="1"/>
  <c r="N9" i="31" l="1"/>
  <c r="P9" i="31" s="1"/>
  <c r="N26" i="31" l="1"/>
  <c r="P26" i="31" s="1"/>
  <c r="N11" i="31"/>
  <c r="P11" i="31" s="1"/>
  <c r="N24" i="31"/>
  <c r="P24" i="31" s="1"/>
  <c r="N14" i="31"/>
  <c r="P14" i="31" s="1"/>
  <c r="N13" i="31"/>
  <c r="P13" i="31" s="1"/>
  <c r="N15" i="31"/>
  <c r="P15" i="31" s="1"/>
  <c r="N18" i="31" l="1"/>
  <c r="P18" i="31" s="1"/>
  <c r="N23" i="31"/>
  <c r="P23" i="31" s="1"/>
  <c r="N20" i="31"/>
  <c r="P20" i="31" s="1"/>
  <c r="N10" i="31"/>
  <c r="P10" i="31" s="1"/>
  <c r="N6" i="31"/>
  <c r="P6" i="31" s="1"/>
  <c r="N7" i="31"/>
  <c r="P7" i="31" s="1"/>
  <c r="N4" i="31"/>
  <c r="P4" i="31" s="1"/>
  <c r="N3" i="31"/>
  <c r="P3" i="31" s="1"/>
  <c r="N2" i="31"/>
  <c r="P2" i="31" l="1"/>
  <c r="N53" i="31"/>
  <c r="P53" i="31" s="1"/>
</calcChain>
</file>

<file path=xl/sharedStrings.xml><?xml version="1.0" encoding="utf-8"?>
<sst xmlns="http://schemas.openxmlformats.org/spreadsheetml/2006/main" count="6150" uniqueCount="1286">
  <si>
    <t>Fecha</t>
  </si>
  <si>
    <t>No. de Factura</t>
  </si>
  <si>
    <t>Cantidad</t>
  </si>
  <si>
    <t>Nombre del Paciente</t>
  </si>
  <si>
    <t>Forma de 
Pago</t>
  </si>
  <si>
    <t>Total</t>
  </si>
  <si>
    <t>Credomatic</t>
  </si>
  <si>
    <t>Visa</t>
  </si>
  <si>
    <t>Tratamiento</t>
  </si>
  <si>
    <t>Acido hialuronico</t>
  </si>
  <si>
    <t>Deposito</t>
  </si>
  <si>
    <t>Efectivo</t>
  </si>
  <si>
    <t>Depilación</t>
  </si>
  <si>
    <t>Cheque</t>
  </si>
  <si>
    <t>Emsculpt</t>
  </si>
  <si>
    <t>Emtone</t>
  </si>
  <si>
    <t>Exfoliación</t>
  </si>
  <si>
    <t>Exilis</t>
  </si>
  <si>
    <t>Facial purificante</t>
  </si>
  <si>
    <t>Visa L.</t>
  </si>
  <si>
    <t>Hifu</t>
  </si>
  <si>
    <t>Hydrafacial</t>
  </si>
  <si>
    <t>Laboratorios</t>
  </si>
  <si>
    <t>Masaje linfatico</t>
  </si>
  <si>
    <t>Mesoterapia</t>
  </si>
  <si>
    <t>Morpheus rostro y cuello</t>
  </si>
  <si>
    <t>Efectivo $</t>
  </si>
  <si>
    <t>Morpheus</t>
  </si>
  <si>
    <t>Pico-láser</t>
  </si>
  <si>
    <t>Porfhilo</t>
  </si>
  <si>
    <t>PRP rostro y cuello</t>
  </si>
  <si>
    <t>PRP</t>
  </si>
  <si>
    <t>Radiofrecuencia rostro y cuello</t>
  </si>
  <si>
    <t>Radiofrecuencia</t>
  </si>
  <si>
    <t>Ultrasonido post-operatorio</t>
  </si>
  <si>
    <t>Velo de acido hialuronico</t>
  </si>
  <si>
    <t>Velox</t>
  </si>
  <si>
    <t>Vitamina C intravenosa</t>
  </si>
  <si>
    <t>Producto</t>
  </si>
  <si>
    <t>Ciclo coolsculpting</t>
  </si>
  <si>
    <t>Dermapen</t>
  </si>
  <si>
    <t>Láser CO2</t>
  </si>
  <si>
    <t>Masaje relajante</t>
  </si>
  <si>
    <t>Oligoelementos</t>
  </si>
  <si>
    <t>Tratamiendo</t>
  </si>
  <si>
    <t xml:space="preserve">Exilis </t>
  </si>
  <si>
    <t xml:space="preserve">Exfoliación </t>
  </si>
  <si>
    <t>Profhilo</t>
  </si>
  <si>
    <t>Ultrasonido</t>
  </si>
  <si>
    <t xml:space="preserve">Masaje relajante </t>
  </si>
  <si>
    <t xml:space="preserve">Dermapen </t>
  </si>
  <si>
    <t>Celulas Madre</t>
  </si>
  <si>
    <t>Procedimiento celulas madres</t>
  </si>
  <si>
    <t>Abono</t>
  </si>
  <si>
    <t>Grow</t>
  </si>
  <si>
    <t>Línea telefonica</t>
  </si>
  <si>
    <t>Abonos</t>
  </si>
  <si>
    <t>Celulas madre</t>
  </si>
  <si>
    <t>Enero</t>
  </si>
  <si>
    <t>Claudia Arrecis</t>
  </si>
  <si>
    <t>Peeling</t>
  </si>
  <si>
    <t>Spectra ginecologico</t>
  </si>
  <si>
    <t>Eliminación de lunares</t>
  </si>
  <si>
    <t>Elimación de lunares</t>
  </si>
  <si>
    <t>Botox</t>
  </si>
  <si>
    <t>Encimas</t>
  </si>
  <si>
    <t>Cambio de tratamiento</t>
  </si>
  <si>
    <t>Microdermoabrasión</t>
  </si>
  <si>
    <t xml:space="preserve">Terapia Luminica </t>
  </si>
  <si>
    <t>Terapia Luminica</t>
  </si>
  <si>
    <t>Oscilación</t>
  </si>
  <si>
    <t>Oscilacion</t>
  </si>
  <si>
    <t>Oscilación profunda</t>
  </si>
  <si>
    <t>Sueros</t>
  </si>
  <si>
    <t>Suero glutation</t>
  </si>
  <si>
    <t>Elizabeth Molina</t>
  </si>
  <si>
    <t>Presoterapia</t>
  </si>
  <si>
    <t>Febrero</t>
  </si>
  <si>
    <t>Diana Linares</t>
  </si>
  <si>
    <t>Claudia Castillo</t>
  </si>
  <si>
    <t>Aplicación de vitamina C intravenosa</t>
  </si>
  <si>
    <t>Julia Sapper</t>
  </si>
  <si>
    <t>Diferencia por cambio de tratamiento</t>
  </si>
  <si>
    <t>Nioo</t>
  </si>
  <si>
    <t>Marzo</t>
  </si>
  <si>
    <t>Norma De Barquin</t>
  </si>
  <si>
    <t>Gloria Ralda</t>
  </si>
  <si>
    <t>Aplicación de botox</t>
  </si>
  <si>
    <t>Maria Elena Gonzalez</t>
  </si>
  <si>
    <t>Rosa Maria Miralles</t>
  </si>
  <si>
    <t>Abril</t>
  </si>
  <si>
    <t>Servicios prestados recepcionista</t>
  </si>
  <si>
    <t>Servicios prestados asistente administrativo</t>
  </si>
  <si>
    <t>Mayo</t>
  </si>
  <si>
    <t>Tere De Bolaños</t>
  </si>
  <si>
    <t>Bessy Chan</t>
  </si>
  <si>
    <t>Esther Pacheco</t>
  </si>
  <si>
    <t>Jennifer Lima</t>
  </si>
  <si>
    <t xml:space="preserve">Junio </t>
  </si>
  <si>
    <t>Karen Orellana</t>
  </si>
  <si>
    <t>Ines Batres</t>
  </si>
  <si>
    <t>Julio</t>
  </si>
  <si>
    <t>Aplicación de profhilo</t>
  </si>
  <si>
    <t>Margarita Wever</t>
  </si>
  <si>
    <t>Virginia Morales</t>
  </si>
  <si>
    <t>Sedación</t>
  </si>
  <si>
    <t>Vanessa Smith De Vargas</t>
  </si>
  <si>
    <t xml:space="preserve">Gabriela Toledo </t>
  </si>
  <si>
    <t>Agosto</t>
  </si>
  <si>
    <t>Septiembre</t>
  </si>
  <si>
    <t>Octubre</t>
  </si>
  <si>
    <t xml:space="preserve">Noviembre </t>
  </si>
  <si>
    <t>Diciembre</t>
  </si>
  <si>
    <t>---</t>
  </si>
  <si>
    <t>Gabriela Pinto De Pontaza</t>
  </si>
  <si>
    <t>Gladys Del Cid De Escobar</t>
  </si>
  <si>
    <t>Frasco de protocol colageno con acido hialuronico</t>
  </si>
  <si>
    <t>Beauty collagen advanced (Protocol)</t>
  </si>
  <si>
    <t>Mario Rafael Gonzalez / Andrea López</t>
  </si>
  <si>
    <t>Olga Lucia Torres De Tercero</t>
  </si>
  <si>
    <t>Avene agua termal</t>
  </si>
  <si>
    <t>Vilma Brown Ochoa</t>
  </si>
  <si>
    <t>Frasco de capsulas heliocare Ultra-D</t>
  </si>
  <si>
    <t>Claudia Maria De León</t>
  </si>
  <si>
    <t>Protecto solar gel oil-freee 360 (Heliocare)</t>
  </si>
  <si>
    <t>Jose Palacios</t>
  </si>
  <si>
    <t>Crema daeses (Sesderma)</t>
  </si>
  <si>
    <t>Michelle Muñoz</t>
  </si>
  <si>
    <t>Depilación axila</t>
  </si>
  <si>
    <t>Depilación bikini</t>
  </si>
  <si>
    <t>Depilación bigote</t>
  </si>
  <si>
    <t>Ivanna Leticia Flores</t>
  </si>
  <si>
    <t>Depilación glúteos</t>
  </si>
  <si>
    <t>Maria Veliz Ortega</t>
  </si>
  <si>
    <t>Emsculpt glúteos</t>
  </si>
  <si>
    <t>Emsculpt abdomen</t>
  </si>
  <si>
    <t>Emtone corporal</t>
  </si>
  <si>
    <t>Exilis abdomen y cintura</t>
  </si>
  <si>
    <t>Exilis abdomen, cintura, espalda completa y parte posterior de la pierna</t>
  </si>
  <si>
    <t>Julia Marina Valdez</t>
  </si>
  <si>
    <t>Exilis abdomen, cintura y espalda alta</t>
  </si>
  <si>
    <t>Iris Veronica Aroche</t>
  </si>
  <si>
    <t>Exilis abdomen completo, cintura y espalda completa</t>
  </si>
  <si>
    <t>José Antonio Corrales</t>
  </si>
  <si>
    <t>Exilis abdomen, cintura y espalda</t>
  </si>
  <si>
    <t>Silvia Martinez De Garza</t>
  </si>
  <si>
    <t>Exilis abdomen, cintura, espalda alta y brazos</t>
  </si>
  <si>
    <t>Exilis abdomen, cintura y pectoral</t>
  </si>
  <si>
    <t>Isabel Castillo</t>
  </si>
  <si>
    <t>Silvia Lorena Paz</t>
  </si>
  <si>
    <t>Hifu ovalos facial y papada</t>
  </si>
  <si>
    <t>Janneth Fischer De Zablah</t>
  </si>
  <si>
    <t>Gabriela Garza</t>
  </si>
  <si>
    <t>Eddy Arroyo</t>
  </si>
  <si>
    <t>Luis Alberto Castellanos</t>
  </si>
  <si>
    <t>Megan Jerez (Alisson Batres)</t>
  </si>
  <si>
    <t>Marilyn Muñoz</t>
  </si>
  <si>
    <t>Mesoterapia abdomen, cintura y espalda</t>
  </si>
  <si>
    <t>Astrid Alvarado De Quan</t>
  </si>
  <si>
    <t>Carla Sena</t>
  </si>
  <si>
    <t>Eugenia Paz</t>
  </si>
  <si>
    <t>Claudia Maria Jose Morales</t>
  </si>
  <si>
    <t>Sara Bolaños</t>
  </si>
  <si>
    <t>Magda Díaz</t>
  </si>
  <si>
    <t>Maria Jose Alvarez</t>
  </si>
  <si>
    <t>Abono a PRP</t>
  </si>
  <si>
    <t>Cancelación a PRP</t>
  </si>
  <si>
    <t>Arecely Boguerin</t>
  </si>
  <si>
    <t>Ada Briceño</t>
  </si>
  <si>
    <t>Mariela Saravia</t>
  </si>
  <si>
    <t>Alcira De Torres</t>
  </si>
  <si>
    <t>Radiofrecuencia abdomen y espalda completa</t>
  </si>
  <si>
    <t>Radiofrecuencia mentoón, cuello y escote</t>
  </si>
  <si>
    <t>Radiofrecuencia abdomen, cintura, espalda alta y gluteos</t>
  </si>
  <si>
    <t>Edgar Muñoz</t>
  </si>
  <si>
    <t>Radiofrecuencia abdomen, cintura, piernas y glúteos</t>
  </si>
  <si>
    <t>Irene Piñol De Morales</t>
  </si>
  <si>
    <t>Wilmer Lopez</t>
  </si>
  <si>
    <t>Joselyn Alvurez</t>
  </si>
  <si>
    <t>Luis Garrido</t>
  </si>
  <si>
    <t>Mary Contraras</t>
  </si>
  <si>
    <t>Obdulio Gomez</t>
  </si>
  <si>
    <t xml:space="preserve">Evelia Morales </t>
  </si>
  <si>
    <t>Ana Herrera</t>
  </si>
  <si>
    <t>Eugenia Madrid De Paredes</t>
  </si>
  <si>
    <t>Quimica Industrial Guatemalteca, S.A.</t>
  </si>
  <si>
    <t>Rita Castillo</t>
  </si>
  <si>
    <t>Eugenia Sandoval De Paz</t>
  </si>
  <si>
    <t>Sandra Rosario Recinos</t>
  </si>
  <si>
    <t>Daniela Sanchez</t>
  </si>
  <si>
    <t>Claudia Sofia Ceballos</t>
  </si>
  <si>
    <t>Abono a oscilación profunda</t>
  </si>
  <si>
    <t>Paola Mendoza</t>
  </si>
  <si>
    <t>Maria Mercedes Moran</t>
  </si>
  <si>
    <t>Maria Mercedes Garcia De Moran</t>
  </si>
  <si>
    <t xml:space="preserve">Nioo trinity abdomen, cintura y espalda </t>
  </si>
  <si>
    <t>Maritza Lopez</t>
  </si>
  <si>
    <t>Xxtralash</t>
  </si>
  <si>
    <t>Mariana De La Cruz</t>
  </si>
  <si>
    <t>Beauty collagen advanced (protocol)</t>
  </si>
  <si>
    <t>Carol Knecusch Toriello</t>
  </si>
  <si>
    <t>RHA Serum (Teoxane)</t>
  </si>
  <si>
    <t>Marcela Barquin</t>
  </si>
  <si>
    <t>Zoila Esperanza Valencia</t>
  </si>
  <si>
    <t>Jabon biretix</t>
  </si>
  <si>
    <t>Melatonina</t>
  </si>
  <si>
    <t>Reina Huerta</t>
  </si>
  <si>
    <t>Scar MD</t>
  </si>
  <si>
    <t>C Ferulic edafence serum</t>
  </si>
  <si>
    <t>Amilcar Requena</t>
  </si>
  <si>
    <t>Telma Toledo</t>
  </si>
  <si>
    <t>Protector solar gel oil-free 360 (heliocare)</t>
  </si>
  <si>
    <t>Cecilia Guerrero</t>
  </si>
  <si>
    <t>Aplicación de acido hialuronico</t>
  </si>
  <si>
    <t>Carolina Orellana</t>
  </si>
  <si>
    <t>Aplicación acido hialuronico nariz</t>
  </si>
  <si>
    <t>Sherlee Perez</t>
  </si>
  <si>
    <t>Aura Estela Herrera</t>
  </si>
  <si>
    <t>Depilación bigote y menton</t>
  </si>
  <si>
    <t xml:space="preserve">Gilma Valdez </t>
  </si>
  <si>
    <t>Maria Jose Herrera</t>
  </si>
  <si>
    <t>Melissica Cohen</t>
  </si>
  <si>
    <t>Dulce Mendoza</t>
  </si>
  <si>
    <t>Marisol Coronado</t>
  </si>
  <si>
    <t>Vanessa de Mancilla</t>
  </si>
  <si>
    <t>Emtone chaparreras, banana roll y parte posterior de la pierna</t>
  </si>
  <si>
    <t>Marcela Duran</t>
  </si>
  <si>
    <t>Emtone medias piernas completas</t>
  </si>
  <si>
    <t>Gabriela Toledo</t>
  </si>
  <si>
    <t>Exilis abdomen, cintura, chaparrera, entrepierna, parte posterior de la pierna y glúteos</t>
  </si>
  <si>
    <t>Nurith De Farrach</t>
  </si>
  <si>
    <t>Exilis rostro y cuello</t>
  </si>
  <si>
    <t>Cheque $</t>
  </si>
  <si>
    <t>Claudia Godoy De Aguilar</t>
  </si>
  <si>
    <t>Exilis medias piernas completas</t>
  </si>
  <si>
    <t>Maria Mercedes Sanchez</t>
  </si>
  <si>
    <t>Isabel Dedet</t>
  </si>
  <si>
    <t>Victoria Silva</t>
  </si>
  <si>
    <t>Ana Maria Herbruger</t>
  </si>
  <si>
    <t>Hifu ovalo facial y papada</t>
  </si>
  <si>
    <t>Patricia Chew</t>
  </si>
  <si>
    <t>Agnes Castillo</t>
  </si>
  <si>
    <t>Monica Ivette Cruz</t>
  </si>
  <si>
    <t>Rebeca Pineda</t>
  </si>
  <si>
    <t>Shelee Perez</t>
  </si>
  <si>
    <t>Mesoterapia reductora abdomen, cintura, gorditos espalda alta y brazos</t>
  </si>
  <si>
    <t>Karin Haeckel De Gonzalez</t>
  </si>
  <si>
    <t>Jenny Orellana</t>
  </si>
  <si>
    <t>Evelyn Hernandez</t>
  </si>
  <si>
    <t>Morpheus corporal</t>
  </si>
  <si>
    <t>Lydia Reyes</t>
  </si>
  <si>
    <t>Maria Mercedes Zelaya</t>
  </si>
  <si>
    <t>Abono a morpheus rostro y cuello</t>
  </si>
  <si>
    <t>Claudia Maria Roca</t>
  </si>
  <si>
    <t>Gisela Castillo</t>
  </si>
  <si>
    <t>PRP rostro</t>
  </si>
  <si>
    <t>Fabiola De Argueta</t>
  </si>
  <si>
    <t>PRP rostro, cuello y manos</t>
  </si>
  <si>
    <t>Yaneth De Velez</t>
  </si>
  <si>
    <t>Flor Casasola</t>
  </si>
  <si>
    <t>Dharma Maldonado</t>
  </si>
  <si>
    <t>Radiofrecuencia corporal</t>
  </si>
  <si>
    <t>Radiofrecuencia medias piernas completas y gluteos</t>
  </si>
  <si>
    <t>Radiofrecuencia piernas completas y glúteos</t>
  </si>
  <si>
    <t>Naima Werren</t>
  </si>
  <si>
    <t>Lissette Cifuentes</t>
  </si>
  <si>
    <t>Aplicación de vitmina C intravenosa</t>
  </si>
  <si>
    <t>Patricia De Suarez</t>
  </si>
  <si>
    <t>Edna Suchite</t>
  </si>
  <si>
    <t>Karen Illescas</t>
  </si>
  <si>
    <t>Wilson Muñoz</t>
  </si>
  <si>
    <t>Marina Martinez</t>
  </si>
  <si>
    <t>Ciclos coolsculpting</t>
  </si>
  <si>
    <t>Dermapen rostro y cuello</t>
  </si>
  <si>
    <t>Otros</t>
  </si>
  <si>
    <t>Alvaro Ruata</t>
  </si>
  <si>
    <t>Diferencias por cambio de tratamiento</t>
  </si>
  <si>
    <t>Andy Reyes</t>
  </si>
  <si>
    <t>Rocio De Pullin</t>
  </si>
  <si>
    <t>Carla Santizo</t>
  </si>
  <si>
    <t>David Font</t>
  </si>
  <si>
    <t>Mercedes Moran</t>
  </si>
  <si>
    <t>Maria Mercedes De Moran</t>
  </si>
  <si>
    <t>Nioo abdomen, cintura, chaparrera, entrepierna y parte posterior de la pierna</t>
  </si>
  <si>
    <t>Masaje de reflexologia</t>
  </si>
  <si>
    <t>Masaje reflexologia</t>
  </si>
  <si>
    <t>Intrasure post-operatorio</t>
  </si>
  <si>
    <t>Mascarilla de megadosis de vitamina C (germaine)</t>
  </si>
  <si>
    <t>Hifu Ultra-forme</t>
  </si>
  <si>
    <t>Hifu ultra-forme papada</t>
  </si>
  <si>
    <t>Serum (Endocare)</t>
  </si>
  <si>
    <t>Eye contour (Teoxane)</t>
  </si>
  <si>
    <t>3D lips (Teoxane)</t>
  </si>
  <si>
    <t>Heidy Karina Cordon</t>
  </si>
  <si>
    <t>Crema repitel</t>
  </si>
  <si>
    <t>Ana Maria Teran</t>
  </si>
  <si>
    <t>Protector solar gel oil-free 360 (Heliocare)</t>
  </si>
  <si>
    <t>Protector solar compacto (HELIOCARE)</t>
  </si>
  <si>
    <t>Claudia De Castillo</t>
  </si>
  <si>
    <t>Isabel Medina</t>
  </si>
  <si>
    <t>Hilda Lucrecia Gonzalez de Lopez</t>
  </si>
  <si>
    <t>Marcela Salazar</t>
  </si>
  <si>
    <t>Aplicación de acido hialuronico nariz</t>
  </si>
  <si>
    <t>Claudia Eugenia Alburez</t>
  </si>
  <si>
    <t>Apliación de acido hiluronio surcos</t>
  </si>
  <si>
    <t>Sandra De Fain</t>
  </si>
  <si>
    <t>Abono aplicación de acido hialuronico menton</t>
  </si>
  <si>
    <t>Cancelación aplicación de acido hialuronico menton</t>
  </si>
  <si>
    <t>Aplicación de acido hialuronico surcos</t>
  </si>
  <si>
    <t>Ana Maria Lopez De Perez</t>
  </si>
  <si>
    <t>Aplicación acido hialorunico labios</t>
  </si>
  <si>
    <t>Aisha Sanchez</t>
  </si>
  <si>
    <t>Adriana Caceres</t>
  </si>
  <si>
    <t>Depilación piernas</t>
  </si>
  <si>
    <t>Ivanna Flores</t>
  </si>
  <si>
    <t>Depilación rostro completo</t>
  </si>
  <si>
    <t>Depilación brazos</t>
  </si>
  <si>
    <t>Nadia Zimeria Chacama</t>
  </si>
  <si>
    <t>Rocio Margarita Molina</t>
  </si>
  <si>
    <t>Cynthia Castillo de Zelaya</t>
  </si>
  <si>
    <t>Emtone abdomen superior e inferior</t>
  </si>
  <si>
    <t>Andrea Torres</t>
  </si>
  <si>
    <t>Nicole Melville</t>
  </si>
  <si>
    <t xml:space="preserve">Exilis cintura y glúteos </t>
  </si>
  <si>
    <t>Maria Renee Solares</t>
  </si>
  <si>
    <t>Jade Alejandra Argueta Alvarez</t>
  </si>
  <si>
    <t xml:space="preserve">Yesenia Larrazabal </t>
  </si>
  <si>
    <t>Facial purificante y exfoliación de manos</t>
  </si>
  <si>
    <t>Claudia Contreras De Alfaro</t>
  </si>
  <si>
    <t>Bonna Marroquin</t>
  </si>
  <si>
    <t xml:space="preserve">Mesoterapia gorditos espalda baja </t>
  </si>
  <si>
    <t>Mesoterapia reductora gorditos espalda alta</t>
  </si>
  <si>
    <t>Mesoterapia abdomen bajo y cintura</t>
  </si>
  <si>
    <t>Morphues rostro y cuello</t>
  </si>
  <si>
    <t>Juliana Bueno</t>
  </si>
  <si>
    <t>Cancelación a morpheus rostro y cuello</t>
  </si>
  <si>
    <t>Maria Gabriela Lopez Cobar</t>
  </si>
  <si>
    <t>Morpheus cara interna de brazos</t>
  </si>
  <si>
    <t>Morpheus frente, cuello y escote</t>
  </si>
  <si>
    <t>Jeny Sanchez Mejia</t>
  </si>
  <si>
    <t>Cancelación a PRP rostro y cuello</t>
  </si>
  <si>
    <t xml:space="preserve">Patricia Galvez </t>
  </si>
  <si>
    <t>Susy Villas</t>
  </si>
  <si>
    <t>Ximena Morales</t>
  </si>
  <si>
    <t>Gabriela Saenz</t>
  </si>
  <si>
    <t>Anna Herrera</t>
  </si>
  <si>
    <t>Lesli Chilin Morales</t>
  </si>
  <si>
    <t>Velox entrepierna, chaparreras y banana roll</t>
  </si>
  <si>
    <t>Jannet Zablah</t>
  </si>
  <si>
    <t>Karla De Bonatti</t>
  </si>
  <si>
    <t>Maziel Arango</t>
  </si>
  <si>
    <t>Joselyn Magaly Guerra</t>
  </si>
  <si>
    <t xml:space="preserve">Silvia Del Pinal Moran </t>
  </si>
  <si>
    <t>Ana Cristina Rios</t>
  </si>
  <si>
    <t>Abono a tratamiento</t>
  </si>
  <si>
    <t>Evelyn Garrido</t>
  </si>
  <si>
    <t>Lorena Asteguieta Figueroa</t>
  </si>
  <si>
    <t>Sonia De Ponciano</t>
  </si>
  <si>
    <t>Lissette Giron De Arana (Liz)</t>
  </si>
  <si>
    <t>Lorena Abularach</t>
  </si>
  <si>
    <t>Evelyn Orantes De Garcia</t>
  </si>
  <si>
    <t>Caro Vasquez</t>
  </si>
  <si>
    <t>Wendy Gonzalez</t>
  </si>
  <si>
    <t>Mariela Cruz</t>
  </si>
  <si>
    <t>Ingrid Berganza</t>
  </si>
  <si>
    <t>Silvia Crow</t>
  </si>
  <si>
    <t>Brenda Sanchinello</t>
  </si>
  <si>
    <t>Victor Hugo Morales</t>
  </si>
  <si>
    <t>Annie Dougherty</t>
  </si>
  <si>
    <t>Ana Lorena Meyer</t>
  </si>
  <si>
    <t>Dunia Ramirez</t>
  </si>
  <si>
    <t>Maria Jose Garcia</t>
  </si>
  <si>
    <t>Danna Garcia</t>
  </si>
  <si>
    <t>Aura Barrera</t>
  </si>
  <si>
    <t>Diego Castillo</t>
  </si>
  <si>
    <t>Juan Jose Rubio</t>
  </si>
  <si>
    <t>Maribel Garcia Manzo</t>
  </si>
  <si>
    <t>Alejandra Gonzalez</t>
  </si>
  <si>
    <t>Nora Seng</t>
  </si>
  <si>
    <t>Alfonso Cruz Berganza</t>
  </si>
  <si>
    <t>Camila Heredia</t>
  </si>
  <si>
    <t>Silvia Canella</t>
  </si>
  <si>
    <t xml:space="preserve">Alisson Batres </t>
  </si>
  <si>
    <t>Patricia Espigares</t>
  </si>
  <si>
    <t>Ana Marina Martinez</t>
  </si>
  <si>
    <t>Concepción Palma</t>
  </si>
  <si>
    <t>Lizbeth Díaz</t>
  </si>
  <si>
    <t>Margarita De Jerez</t>
  </si>
  <si>
    <t>Ada Arango</t>
  </si>
  <si>
    <t>Pedro Nortor</t>
  </si>
  <si>
    <t>Mariela Azuaje</t>
  </si>
  <si>
    <t>Regina Merida</t>
  </si>
  <si>
    <t>Ricardo Castillo</t>
  </si>
  <si>
    <t>Ana Luisa Martinez</t>
  </si>
  <si>
    <t>Anelly Arroyave</t>
  </si>
  <si>
    <t>Beatriz De Ayescas</t>
  </si>
  <si>
    <t>Luisa De Asturias</t>
  </si>
  <si>
    <t>Jose Parrales</t>
  </si>
  <si>
    <t xml:space="preserve">Adriana Marroquin </t>
  </si>
  <si>
    <t>Maria Teresa Gomez</t>
  </si>
  <si>
    <t>Megan Lowy</t>
  </si>
  <si>
    <t>Lucia De Secaira</t>
  </si>
  <si>
    <t>Carolina Ballesteros</t>
  </si>
  <si>
    <t>Doris Garcia</t>
  </si>
  <si>
    <t>Maggie Villela</t>
  </si>
  <si>
    <t>Diana Castillo</t>
  </si>
  <si>
    <t>Amapola Arimany</t>
  </si>
  <si>
    <t>Lidia Coronado</t>
  </si>
  <si>
    <t>Lorena Arzu</t>
  </si>
  <si>
    <t>Stella Arzu</t>
  </si>
  <si>
    <t>Jackeline Villagran</t>
  </si>
  <si>
    <t>Karen Villagran</t>
  </si>
  <si>
    <t>Silvia Fernandez</t>
  </si>
  <si>
    <t>Sara Estrada</t>
  </si>
  <si>
    <t>Vanessa Marin</t>
  </si>
  <si>
    <t>Ismenia del Val</t>
  </si>
  <si>
    <t>Eva Deflsten</t>
  </si>
  <si>
    <t>Anabella Campollo</t>
  </si>
  <si>
    <t>Yohana De León</t>
  </si>
  <si>
    <t>Ingrid Rivera</t>
  </si>
  <si>
    <t xml:space="preserve">Margarita Dominguez </t>
  </si>
  <si>
    <t>Rossana De Morales</t>
  </si>
  <si>
    <t>Claudia Salvaierra</t>
  </si>
  <si>
    <t>Carlos Folgar</t>
  </si>
  <si>
    <t>Claudia Bregel</t>
  </si>
  <si>
    <t>Guissela Ricci</t>
  </si>
  <si>
    <t>Marta Juarez</t>
  </si>
  <si>
    <t>Esther Sierra</t>
  </si>
  <si>
    <t>Dalia Elizabeth Diaz</t>
  </si>
  <si>
    <t>Dalia Maribel Diaz</t>
  </si>
  <si>
    <t>Evelyn Vega De Garcia</t>
  </si>
  <si>
    <t>Noris Cifuentes</t>
  </si>
  <si>
    <t>Karen Wantland</t>
  </si>
  <si>
    <t>Ivonne Olivares</t>
  </si>
  <si>
    <t>Carlos Lopez</t>
  </si>
  <si>
    <t>Anggi Gelvez</t>
  </si>
  <si>
    <t>Beatriz Asturias</t>
  </si>
  <si>
    <t>Silvia Echeverria De León</t>
  </si>
  <si>
    <t>Glenda Porras</t>
  </si>
  <si>
    <t>Jennifer Lobos</t>
  </si>
  <si>
    <t>Gabriela Galvez Morales</t>
  </si>
  <si>
    <t>Carola Brol</t>
  </si>
  <si>
    <t>Luis Galindo</t>
  </si>
  <si>
    <t>Monica Martinez</t>
  </si>
  <si>
    <t>Johana Milian</t>
  </si>
  <si>
    <t>Ethia Dessire Oajaca Hurtado</t>
  </si>
  <si>
    <t>Rony Caballero</t>
  </si>
  <si>
    <t>Ana Lucia Armas</t>
  </si>
  <si>
    <t>Aplicación mascarilla</t>
  </si>
  <si>
    <t xml:space="preserve">Mascarilla </t>
  </si>
  <si>
    <t>Ximena De Bonatti</t>
  </si>
  <si>
    <t>Hifu facial</t>
  </si>
  <si>
    <t>Abono a hifu ultra-formner ovalo facial</t>
  </si>
  <si>
    <t>Cancelación a hifu ultra-formner ovalo facial</t>
  </si>
  <si>
    <t>Hifu ultra-formner papada</t>
  </si>
  <si>
    <t>Yeimi Paola Lopez</t>
  </si>
  <si>
    <t>Beaty collagen advanced (protocol)</t>
  </si>
  <si>
    <t>Ruth Sazo</t>
  </si>
  <si>
    <t>Maria Campollo</t>
  </si>
  <si>
    <t>Sandra Carolina Orellana</t>
  </si>
  <si>
    <t>Protector solar gel oil-free 360 (Helicare)</t>
  </si>
  <si>
    <t>Blanca Carolina Orellana</t>
  </si>
  <si>
    <t>Carlos Rodriguez</t>
  </si>
  <si>
    <t>Heydi Karina Cordon</t>
  </si>
  <si>
    <t>Silvia Fernanda Chacon</t>
  </si>
  <si>
    <t>Contorno de ojos iluminador (ENDOCARE)</t>
  </si>
  <si>
    <t>C Ferulic Edafence Serum</t>
  </si>
  <si>
    <t>Francis Cuellar</t>
  </si>
  <si>
    <t>Jenny Orellana Cruz</t>
  </si>
  <si>
    <t>Protector solar gel (Helicare)</t>
  </si>
  <si>
    <t>Jabon syndet (carnot)</t>
  </si>
  <si>
    <t>Ana Jeannette Ortiz</t>
  </si>
  <si>
    <t>Gel para acne tri-active (BIRETIX)</t>
  </si>
  <si>
    <t>Monica Penedo</t>
  </si>
  <si>
    <t>Aplicación acido hialuronico surco</t>
  </si>
  <si>
    <t>Aplicación acido hialuronico manos</t>
  </si>
  <si>
    <t>Estela Terreza</t>
  </si>
  <si>
    <t xml:space="preserve">Daniela Morales </t>
  </si>
  <si>
    <t>Andrea Celeste Diaz</t>
  </si>
  <si>
    <t>Depilación cuello</t>
  </si>
  <si>
    <t>Depilación medio rostro</t>
  </si>
  <si>
    <t>Maria Jose Garcia Arriola</t>
  </si>
  <si>
    <t>Depilación medios brazos</t>
  </si>
  <si>
    <t>Paulina Rios Echeverria</t>
  </si>
  <si>
    <t>Cesibel Alejos Hidalgo</t>
  </si>
  <si>
    <t>Dalia Maribel Diaz De Diaz</t>
  </si>
  <si>
    <t>Emsculpt triceps</t>
  </si>
  <si>
    <t>Estefany Marion Villatoro</t>
  </si>
  <si>
    <t>Maggie Villeda</t>
  </si>
  <si>
    <t>Emtone abdomen y cintura</t>
  </si>
  <si>
    <t xml:space="preserve">Maria Ines Verdugo </t>
  </si>
  <si>
    <t>Evelyn Castillo De Castañeda</t>
  </si>
  <si>
    <t xml:space="preserve">Exilis abdomen, cintura, espalda alta, entrepierna y parte posterior de la pierna </t>
  </si>
  <si>
    <t>Ileana De Carrera</t>
  </si>
  <si>
    <t>Exilis abdomen, cintura, espalda altra, brazos y piernas</t>
  </si>
  <si>
    <t>Maria Jose Ortiz</t>
  </si>
  <si>
    <t>Exilis flancos y abdomen bajo</t>
  </si>
  <si>
    <t>Cyntia Castillo De Zelaya</t>
  </si>
  <si>
    <t>Exilis abdomen, cintura y espalda baja</t>
  </si>
  <si>
    <t>Exilis abdomen, cintura, espalda y brazos</t>
  </si>
  <si>
    <t>Libni Fileberto Hernandez</t>
  </si>
  <si>
    <t>Maria Jose Rios</t>
  </si>
  <si>
    <t>Silvia Patricia Cabrera</t>
  </si>
  <si>
    <t>Maria Lourdes Garcia</t>
  </si>
  <si>
    <t>Rosalina Donis Muñoz</t>
  </si>
  <si>
    <t>Masaje linfatico facial</t>
  </si>
  <si>
    <t>Reyna Garcia</t>
  </si>
  <si>
    <t>Dessire Oajaca</t>
  </si>
  <si>
    <t>Daniela Orellana</t>
  </si>
  <si>
    <t>Mesoterapia flancos y abdomen bajo</t>
  </si>
  <si>
    <t>Mesoterapia reductora espalda baja, banana roll y brazos</t>
  </si>
  <si>
    <t>Morpheus rostro, cuello y escote en V</t>
  </si>
  <si>
    <t>Andrea Meany</t>
  </si>
  <si>
    <t>Ana Silvia Lopez Quijada</t>
  </si>
  <si>
    <t>PRP cuello</t>
  </si>
  <si>
    <t>Gabriela Morales</t>
  </si>
  <si>
    <t>Ana Gisela Castillo</t>
  </si>
  <si>
    <t>Maria Jose Castillo</t>
  </si>
  <si>
    <t>Maria Jose Garcia Gordillo</t>
  </si>
  <si>
    <t>Melanie Nigrin</t>
  </si>
  <si>
    <t>PRP capilar</t>
  </si>
  <si>
    <t>Barbara de Maer</t>
  </si>
  <si>
    <t>Maria Mercedes Madrona</t>
  </si>
  <si>
    <t>Ninett Vargas Pahau</t>
  </si>
  <si>
    <t>Sonia Chiroy De Rodriguez</t>
  </si>
  <si>
    <t>Josselyn Rodriguez</t>
  </si>
  <si>
    <t>PRP manos</t>
  </si>
  <si>
    <t>Maria Regina Palma</t>
  </si>
  <si>
    <t>Mirian Vanessa Castillo</t>
  </si>
  <si>
    <t>Radiofrecuencia abdomen y cintura</t>
  </si>
  <si>
    <t>Radiofrecuencia brazos</t>
  </si>
  <si>
    <t>Wendy Paola Giron</t>
  </si>
  <si>
    <t>Wilson Gomez</t>
  </si>
  <si>
    <t>Viviano Gomez</t>
  </si>
  <si>
    <t>Karla Sarti de Bonatti</t>
  </si>
  <si>
    <t>Guillermo Gonzalez</t>
  </si>
  <si>
    <t>Adan Jimenez</t>
  </si>
  <si>
    <t>Evelia Morales</t>
  </si>
  <si>
    <t>Feliciana Gomez</t>
  </si>
  <si>
    <t>Debora Salome Cividanis De Garrido</t>
  </si>
  <si>
    <t>Laser CO2</t>
  </si>
  <si>
    <t>Peeling manos</t>
  </si>
  <si>
    <t>Peeling duosomado</t>
  </si>
  <si>
    <t>Stephanie Aizenstatd</t>
  </si>
  <si>
    <t>Rony Caballeros</t>
  </si>
  <si>
    <t>Karen Alebon</t>
  </si>
  <si>
    <t>Nioo abdomen y cintura</t>
  </si>
  <si>
    <t xml:space="preserve">Nioo abdomen, cintura y espalda </t>
  </si>
  <si>
    <t>Nioo abdomen, cintura, entrepierna y parte posterior de la pierna</t>
  </si>
  <si>
    <t>Evelyn Cerna De Hurtado</t>
  </si>
  <si>
    <t>Por servicio de sedación</t>
  </si>
  <si>
    <t>Hifu ultraformer papada</t>
  </si>
  <si>
    <t>Hifu ultraformer ojos y frente</t>
  </si>
  <si>
    <t>Hifu ultraformercontorno mandibular</t>
  </si>
  <si>
    <t>Hifu ultraformer ovalo facial</t>
  </si>
  <si>
    <t>Hifu ultraformer cuello</t>
  </si>
  <si>
    <t>Andrea Díaz</t>
  </si>
  <si>
    <t>Rafael Medina</t>
  </si>
  <si>
    <t>Powershape</t>
  </si>
  <si>
    <t>Powershape moldeo de glúteos y parte posterior de la pierna</t>
  </si>
  <si>
    <t>Mascarilla</t>
  </si>
  <si>
    <t>Karla Pineda</t>
  </si>
  <si>
    <t>Loraine Bouscayrol</t>
  </si>
  <si>
    <t>Abono a frasco de protocol colageno con acido hialuronico</t>
  </si>
  <si>
    <t>Cancelación a frasco de protocol colageno con acido hialuronico</t>
  </si>
  <si>
    <t xml:space="preserve">Jenny Orellana </t>
  </si>
  <si>
    <t>Aracely Bougerin</t>
  </si>
  <si>
    <t>Silvia Fernanda Chacon de Sandoval</t>
  </si>
  <si>
    <t>Melissa Picon</t>
  </si>
  <si>
    <t>Protector solar spray (heliocare)</t>
  </si>
  <si>
    <t>Luisa Dougherty</t>
  </si>
  <si>
    <t>Aplicación acido hialuronico labios</t>
  </si>
  <si>
    <t>Marilu Pierri</t>
  </si>
  <si>
    <t>Loidy  Mariela Pineda</t>
  </si>
  <si>
    <t>Andrea Diaz</t>
  </si>
  <si>
    <t>Maria Andreina Rodriguez</t>
  </si>
  <si>
    <t>Valentina Valero</t>
  </si>
  <si>
    <t>Agustina Echeverria Mendizabal</t>
  </si>
  <si>
    <t>Depilación media espalda</t>
  </si>
  <si>
    <t>Depilación abdomen</t>
  </si>
  <si>
    <t>Adriana Picon</t>
  </si>
  <si>
    <t>Ana Lucia De Robles</t>
  </si>
  <si>
    <t>Jose Manuel Castellanos</t>
  </si>
  <si>
    <t>Abono a emsculpt abdomen</t>
  </si>
  <si>
    <t>Yanci Palma Ortiz</t>
  </si>
  <si>
    <t>Emtone abdomen, cintura y parte posterior de la pierna</t>
  </si>
  <si>
    <t>Marta De Rosales</t>
  </si>
  <si>
    <t>Sergio Rosales</t>
  </si>
  <si>
    <t>Powershape abdomen, cintura y espalda</t>
  </si>
  <si>
    <t>Jose Estuardo Galvez</t>
  </si>
  <si>
    <t>Emtone abdomen, cintura y espalda baja</t>
  </si>
  <si>
    <t>Exilis abdomen, cintura, brazos y parte posterior de la pierna</t>
  </si>
  <si>
    <t>Exilis abdomen, cintura, espalda alta, chaparreras, entrepierna y parte posterior de la pierna</t>
  </si>
  <si>
    <t>Exilis abdomen, cintura, pectoral, y espalda alta</t>
  </si>
  <si>
    <t>Elena Mack</t>
  </si>
  <si>
    <t>Exilis abdomen completo, cintura y brazos</t>
  </si>
  <si>
    <t>Maria Alejandra Chacon</t>
  </si>
  <si>
    <t>Exilis abdomen, cintura, espalda alta y baja</t>
  </si>
  <si>
    <t>Claudia Evelyn Alvarez de Jerez</t>
  </si>
  <si>
    <t>Exilis abdomen, cintura y piernas</t>
  </si>
  <si>
    <t>Melita Pivaral</t>
  </si>
  <si>
    <t>Exilis piernas</t>
  </si>
  <si>
    <t>Vanessa De Ceballos / Nia Ceballos</t>
  </si>
  <si>
    <t>Karin Melissa Pineda</t>
  </si>
  <si>
    <t>Wendy Lopez</t>
  </si>
  <si>
    <t>Sonia Yesenia Merida</t>
  </si>
  <si>
    <t>Kirin Promalani</t>
  </si>
  <si>
    <t>Hydracial</t>
  </si>
  <si>
    <t>Ximena Orellana</t>
  </si>
  <si>
    <t>Virginia Hernandez</t>
  </si>
  <si>
    <t>Ana Gabriela Linares</t>
  </si>
  <si>
    <t>Andrea Moreno</t>
  </si>
  <si>
    <t>Beatriz Cerezo De Ayestas</t>
  </si>
  <si>
    <t>Barbara Morales</t>
  </si>
  <si>
    <t>Gabriela Alejandra Alejo Morales</t>
  </si>
  <si>
    <t>Mesoterapia abdomen y cintura</t>
  </si>
  <si>
    <t>Wanda Serovic</t>
  </si>
  <si>
    <t>Margarita Cordon</t>
  </si>
  <si>
    <t>Melanie Guerra</t>
  </si>
  <si>
    <t>Sandra Duarte</t>
  </si>
  <si>
    <t>Alma Portillo</t>
  </si>
  <si>
    <t>Oneyda Lucrecia Ruiz Reyes</t>
  </si>
  <si>
    <t>Maria Isabel Riley</t>
  </si>
  <si>
    <t>Karla Michelle Pellecer</t>
  </si>
  <si>
    <t>Vivian Mariela Porres</t>
  </si>
  <si>
    <t>Aida Yanett Barco Garcia</t>
  </si>
  <si>
    <t>Rocio Molina</t>
  </si>
  <si>
    <t>Mario Enrique Hernandez</t>
  </si>
  <si>
    <t>Karla Sapper</t>
  </si>
  <si>
    <t>Velox abdomen, cintura y banana roll</t>
  </si>
  <si>
    <t>Velox abdomen y cintura</t>
  </si>
  <si>
    <t>Ethel Velasquez Rivera</t>
  </si>
  <si>
    <t>Velox abdomen, cintura y espalda alta</t>
  </si>
  <si>
    <t>Myriam Mijangos De Weller</t>
  </si>
  <si>
    <t>Sergio Ortiz</t>
  </si>
  <si>
    <t xml:space="preserve">Quimica Industrial Guatemalteca, S.A. </t>
  </si>
  <si>
    <t>Linea telefonica</t>
  </si>
  <si>
    <t>Peeling rostro</t>
  </si>
  <si>
    <t>Michelle Leonardo</t>
  </si>
  <si>
    <t>Shirley Contreras Samayoa</t>
  </si>
  <si>
    <t>Williams Lopez Dieguez</t>
  </si>
  <si>
    <t>Karla De Caballeros</t>
  </si>
  <si>
    <t xml:space="preserve">Suero glutation </t>
  </si>
  <si>
    <t>Servicio por sedación</t>
  </si>
  <si>
    <t>Claudia Romero</t>
  </si>
  <si>
    <t xml:space="preserve">Melanie Jonanis  </t>
  </si>
  <si>
    <t>Irma Argentina Olivares</t>
  </si>
  <si>
    <t>Hifu ultraformer contorno mandibular</t>
  </si>
  <si>
    <t>Hifu ultraformer linea madibular y papada</t>
  </si>
  <si>
    <t>Jessica Meza</t>
  </si>
  <si>
    <t>Heidi Mariela Garcia Figueroa</t>
  </si>
  <si>
    <t>Hifu ultraformer full face</t>
  </si>
  <si>
    <t>Veronica Jimenez</t>
  </si>
  <si>
    <t>Sandra Jimenez</t>
  </si>
  <si>
    <t>Hifu ultraformer rostro y cuello</t>
  </si>
  <si>
    <t>Powershape abdomen, espalda, cintura y brazos</t>
  </si>
  <si>
    <t>Powershape abdomen, cintura y piernas</t>
  </si>
  <si>
    <t>Maria Gabriela Salles</t>
  </si>
  <si>
    <t>Beauty collagen advanced</t>
  </si>
  <si>
    <t>Vilma Brown</t>
  </si>
  <si>
    <t>Multi renovador peeling noite (BABE)</t>
  </si>
  <si>
    <t>Zoila Valencia Marroquin</t>
  </si>
  <si>
    <t>Protector solar fotoultra 100 (ISDIN)</t>
  </si>
  <si>
    <t>Sofia Del Rosario Muñoz</t>
  </si>
  <si>
    <t>Brenda Zaldaña</t>
  </si>
  <si>
    <t>Gel para acne tri-actibe (BIRETIX)</t>
  </si>
  <si>
    <t>Olga Lucia Torres de Tercero</t>
  </si>
  <si>
    <t>Iveth Bojorquez</t>
  </si>
  <si>
    <t>Agustina Echeverria</t>
  </si>
  <si>
    <t>Protector solar matificante (BABE)</t>
  </si>
  <si>
    <t>Patricia Godoy de Alloud</t>
  </si>
  <si>
    <t>Sol Lopez</t>
  </si>
  <si>
    <t>Karin Castellanos De Moliviatis</t>
  </si>
  <si>
    <t>Eduardo Lavarreda Gargollo</t>
  </si>
  <si>
    <t>Depilación espalda</t>
  </si>
  <si>
    <t xml:space="preserve">Mary Contreras </t>
  </si>
  <si>
    <t>Guillermo Mendoza</t>
  </si>
  <si>
    <t>Emsculpt biceps</t>
  </si>
  <si>
    <t>Emsculpt pantorrilla</t>
  </si>
  <si>
    <t>Bonna Marriquin</t>
  </si>
  <si>
    <t>Fabiola Alejandra Flores</t>
  </si>
  <si>
    <t>Natalia Morales</t>
  </si>
  <si>
    <t>Emtone abdomen, cintura, brazos y parte posterior de la piernas</t>
  </si>
  <si>
    <t>Gloria Maria Sanchez</t>
  </si>
  <si>
    <t>Emtone brazos, medias piernas y gluteos</t>
  </si>
  <si>
    <t>Francis Maria Cuellar</t>
  </si>
  <si>
    <t>Edgar Velez</t>
  </si>
  <si>
    <t>Debora Cividanis De Garrido</t>
  </si>
  <si>
    <t>Exilis entrepierna, Chaparrera y parte posterior de la pierna</t>
  </si>
  <si>
    <t>Ana Patricia Rivera</t>
  </si>
  <si>
    <t>Luis Arriola</t>
  </si>
  <si>
    <t>Exilis abdomen, flancos y area debajo de axila</t>
  </si>
  <si>
    <t>Exilis abdomen, cintura, chaparreras, enrepierna y parte posterior de la pierna</t>
  </si>
  <si>
    <t>Josselyn Paola Fajardo</t>
  </si>
  <si>
    <t>Carlos Sanabria</t>
  </si>
  <si>
    <t xml:space="preserve">Brenda Galicia </t>
  </si>
  <si>
    <t>Facial purificante "piel sensible"</t>
  </si>
  <si>
    <t>Bea Tambasco</t>
  </si>
  <si>
    <t>Jessica Arevalo</t>
  </si>
  <si>
    <t>Gabriela Alonzo</t>
  </si>
  <si>
    <t>Rolando Archila</t>
  </si>
  <si>
    <t>Ariana Mendoza</t>
  </si>
  <si>
    <t>Hifu microson papada</t>
  </si>
  <si>
    <t>Hifu microson</t>
  </si>
  <si>
    <t>Patricia Gonzalez</t>
  </si>
  <si>
    <t>Norma De Castellamos</t>
  </si>
  <si>
    <t>Laboratorios pre-células</t>
  </si>
  <si>
    <t>Senia Vargas Arias</t>
  </si>
  <si>
    <t>Silvia Chacon de Sandoval</t>
  </si>
  <si>
    <t>Mesoterapia reductora brazos</t>
  </si>
  <si>
    <t>Morpheus rodilla</t>
  </si>
  <si>
    <t>Diana Ayala Mancilla</t>
  </si>
  <si>
    <t>Dina De Calvo</t>
  </si>
  <si>
    <t>Morpheus rostro, cuello y escote en "V"</t>
  </si>
  <si>
    <t>Delia Chour</t>
  </si>
  <si>
    <t>Maria Andre Gandara</t>
  </si>
  <si>
    <t>Ernesto Guzman Escobar</t>
  </si>
  <si>
    <t>Hector Ponciado Mancilla</t>
  </si>
  <si>
    <t>Janeth Zablah de Fischer</t>
  </si>
  <si>
    <t>Radiofrecuencia abdomen, cintura, espalda alta y glúteos</t>
  </si>
  <si>
    <t>Velox chaparreras, banana roll y 
entrepierna</t>
  </si>
  <si>
    <t>Velox chaparrera y banana roll</t>
  </si>
  <si>
    <t>Velox abdomen, cintura y piernas</t>
  </si>
  <si>
    <t>Ruth Nohemi Valdez</t>
  </si>
  <si>
    <t>Keny Marquez</t>
  </si>
  <si>
    <t>Paulina Ralda</t>
  </si>
  <si>
    <t>Sthephanie Aizenstatd</t>
  </si>
  <si>
    <t>Marlene Meany</t>
  </si>
  <si>
    <t>Silvia Crowe</t>
  </si>
  <si>
    <t>Ricado Crowe</t>
  </si>
  <si>
    <t>Abono aplicación de vitamina C intravenosa</t>
  </si>
  <si>
    <t>Cancelación aplicación de vitamina C intravenosa</t>
  </si>
  <si>
    <t>Gustavo Oliva</t>
  </si>
  <si>
    <t>Procedimieno celulas madres</t>
  </si>
  <si>
    <t xml:space="preserve">Gladys Montenegro </t>
  </si>
  <si>
    <t>Jesenia Galvan</t>
  </si>
  <si>
    <t>Lidia Azalia Jordan</t>
  </si>
  <si>
    <t>Alejandro Villavicencio</t>
  </si>
  <si>
    <t>Suero regenerativo</t>
  </si>
  <si>
    <t>Nina Roman</t>
  </si>
  <si>
    <t>Eva Recinos Vasquez</t>
  </si>
  <si>
    <t>Florencia De La Roca Flores</t>
  </si>
  <si>
    <t>Lourdes Maria Garcia Ralon</t>
  </si>
  <si>
    <t>Sofia Del Pilar Argueta</t>
  </si>
  <si>
    <t>Genesis Lorenzana</t>
  </si>
  <si>
    <t>Abono hifu ultraformer ovalo facial y papada</t>
  </si>
  <si>
    <t>Cancelación hifu ultraformer ovalo facial y papada</t>
  </si>
  <si>
    <t>Powershape medias piernas completas</t>
  </si>
  <si>
    <t>Ramon Adolfo Canek</t>
  </si>
  <si>
    <t>Powershape abdomen y cintura</t>
  </si>
  <si>
    <t>Powershape entrepierna, chaparrera, banana roll, parte posterior de la pierna y gluteos</t>
  </si>
  <si>
    <t>Powershape abdomen, cintura y piernas (parte posterior)</t>
  </si>
  <si>
    <t>Mariana Marquez</t>
  </si>
  <si>
    <t>Protector solar spray (HELIOCARE)</t>
  </si>
  <si>
    <t>Protector solar gel oil-freee 360 (HELIOCARE)</t>
  </si>
  <si>
    <t>Daniela Medizabal De Matheu</t>
  </si>
  <si>
    <t>Paola Bouscayrol De Criado</t>
  </si>
  <si>
    <t>Sissel Morales</t>
  </si>
  <si>
    <t>Vitamina C - Cevilat</t>
  </si>
  <si>
    <t>Heidi Moran</t>
  </si>
  <si>
    <t>Marita Hidalgo Nuñez</t>
  </si>
  <si>
    <t>Mireya Campollo</t>
  </si>
  <si>
    <t>Tensage cream (endocare)</t>
  </si>
  <si>
    <t>Contorno de ojo (avene)</t>
  </si>
  <si>
    <t xml:space="preserve">Estela Terraza </t>
  </si>
  <si>
    <t>Fabiola Paz De Argueta</t>
  </si>
  <si>
    <t>Abono aplicación acido hialuronico labios</t>
  </si>
  <si>
    <t>Cancelación aplicación acido hialuronico labios</t>
  </si>
  <si>
    <t>Paola Calderon</t>
  </si>
  <si>
    <t>Aplicación de acido hialuronico labios</t>
  </si>
  <si>
    <t>Lilian Cobox</t>
  </si>
  <si>
    <t>Pricila Duarte</t>
  </si>
  <si>
    <t>Yesenia Larrazabal</t>
  </si>
  <si>
    <t>Apilcación de acido hialuronico manos</t>
  </si>
  <si>
    <t>Apilcación de acido hialuronico nariz</t>
  </si>
  <si>
    <t>Apilcación de acido hialuronico pomulos</t>
  </si>
  <si>
    <t>Stephanie Sigal</t>
  </si>
  <si>
    <t>Valeria Rosales</t>
  </si>
  <si>
    <t>Natalia Rosales</t>
  </si>
  <si>
    <t>Jacqueline Vargas</t>
  </si>
  <si>
    <t>Mary Contreras</t>
  </si>
  <si>
    <t>Emtone entrepierna y parte postrior de la pierna</t>
  </si>
  <si>
    <t xml:space="preserve">Emtone gorditos abajo de axila, brazos completos y espalda baja </t>
  </si>
  <si>
    <t>Francisco Samayoa</t>
  </si>
  <si>
    <t>Emtone abdomen completo enfatizar abdomen bajo, cintura y espalda baja</t>
  </si>
  <si>
    <t>Emtone abdomen, cintura, brazos, entrepierna, chaparrera y parte posterior de la pierna</t>
  </si>
  <si>
    <t>Thomas Elfmont</t>
  </si>
  <si>
    <r>
      <t xml:space="preserve">Exilis rostro y cuello </t>
    </r>
    <r>
      <rPr>
        <b/>
        <sz val="10"/>
        <rFont val="Trebuchet MS"/>
        <family val="2"/>
      </rPr>
      <t>(factura con exención de IVA)</t>
    </r>
  </si>
  <si>
    <t>Facial purficante</t>
  </si>
  <si>
    <t>Ruth Noemi Valdez</t>
  </si>
  <si>
    <t>Hifu microson ovalo facial y papada</t>
  </si>
  <si>
    <t>Aury De Toledo</t>
  </si>
  <si>
    <t>Mesoterapia brazos,  espalda alta y media</t>
  </si>
  <si>
    <t>Mesoterapia facial</t>
  </si>
  <si>
    <t>Silvia Chacon De Sandoval</t>
  </si>
  <si>
    <t>Mesoterapia ovalo facial y papada (lipoface OB)</t>
  </si>
  <si>
    <t>Cancelación morpheus rostro y cuello</t>
  </si>
  <si>
    <t>Karin Guada</t>
  </si>
  <si>
    <t>Silvana Martinez De Pineda</t>
  </si>
  <si>
    <t>Pablo Otto Palma</t>
  </si>
  <si>
    <t>Vivian Dougherty</t>
  </si>
  <si>
    <t>Luis Valladares</t>
  </si>
  <si>
    <t>Ninett Vargas</t>
  </si>
  <si>
    <t>Carol Knebusch</t>
  </si>
  <si>
    <t>Peeling luninoso</t>
  </si>
  <si>
    <t>Peeling luninoso (Sesderma)</t>
  </si>
  <si>
    <t>Peeling luminoso (sesderma)</t>
  </si>
  <si>
    <t xml:space="preserve">Karla Bocaletti De Enriquez  </t>
  </si>
  <si>
    <t>Margarita Dominguez Kestler</t>
  </si>
  <si>
    <t>Monica Thomas Dominguez</t>
  </si>
  <si>
    <t>Cecilia De Castillo</t>
  </si>
  <si>
    <t>Mara Baldizon</t>
  </si>
  <si>
    <t>Heidy Reinoso</t>
  </si>
  <si>
    <t>Maria Isabel Chocano</t>
  </si>
  <si>
    <t>Carolina Flores</t>
  </si>
  <si>
    <t>Paula Selana Quintana</t>
  </si>
  <si>
    <t>Mariela Berrios De Estrada</t>
  </si>
  <si>
    <t>Maria Andree Lemus</t>
  </si>
  <si>
    <t>Mishell Melville</t>
  </si>
  <si>
    <t>Norma De Melville</t>
  </si>
  <si>
    <t>Marcela Mieses</t>
  </si>
  <si>
    <t>Claudia De Bregel</t>
  </si>
  <si>
    <t>Marianne Bachmann</t>
  </si>
  <si>
    <t>Evelyn Orantes De Garcias</t>
  </si>
  <si>
    <t>Norma de Barquin</t>
  </si>
  <si>
    <t>Ana Gabriela Jimenez</t>
  </si>
  <si>
    <t>Brenda Sanchinelli</t>
  </si>
  <si>
    <t>Samara Toledo</t>
  </si>
  <si>
    <t>Raquel Calderon</t>
  </si>
  <si>
    <t>Patricia Sierra</t>
  </si>
  <si>
    <t>Laura Flores</t>
  </si>
  <si>
    <t>Marisol Padilla</t>
  </si>
  <si>
    <t>Lucrecia Paiz</t>
  </si>
  <si>
    <t>Marco Silva</t>
  </si>
  <si>
    <t>Dalia Diaz</t>
  </si>
  <si>
    <t>Gisell Sanzogni</t>
  </si>
  <si>
    <t>Silvia Fenandez De Castellanos</t>
  </si>
  <si>
    <t>Claudia Carias</t>
  </si>
  <si>
    <t>Kimberly Aldana</t>
  </si>
  <si>
    <t>Oscar Daniel Perez</t>
  </si>
  <si>
    <t>Lucia De Castillo</t>
  </si>
  <si>
    <t>Monica Sieveking</t>
  </si>
  <si>
    <t>Anyansi Serra</t>
  </si>
  <si>
    <t>Rosalina Donis</t>
  </si>
  <si>
    <t>Conchita Vasquez</t>
  </si>
  <si>
    <t>Rainero Parrales</t>
  </si>
  <si>
    <t>Maricela Alvarez</t>
  </si>
  <si>
    <t>Wilson Moscoso</t>
  </si>
  <si>
    <t>Alisson Batres</t>
  </si>
  <si>
    <t>Maria Cristina Quiñonez</t>
  </si>
  <si>
    <t>Melany Guerra</t>
  </si>
  <si>
    <t>Claudia Patricia Salvatierra</t>
  </si>
  <si>
    <t>Beberly Cordon</t>
  </si>
  <si>
    <t>Betty De Villagran</t>
  </si>
  <si>
    <t xml:space="preserve">Ximena Pinto </t>
  </si>
  <si>
    <t>Silvia Ramos De Samayoa</t>
  </si>
  <si>
    <t>Anika Lozano</t>
  </si>
  <si>
    <t>Reyna Garcia Gomez</t>
  </si>
  <si>
    <t>Luisa Fernanda Enriquez</t>
  </si>
  <si>
    <t xml:space="preserve">Fredy Velasquez </t>
  </si>
  <si>
    <t>Rebeca Eguizabal</t>
  </si>
  <si>
    <t>Daphne Urrutia</t>
  </si>
  <si>
    <t>Ayleen Alvarado</t>
  </si>
  <si>
    <t>Sandra Campo Castro</t>
  </si>
  <si>
    <t>Flor Vasquez Rodas</t>
  </si>
  <si>
    <t>Beyla Estrada</t>
  </si>
  <si>
    <t>Hifu ultraformer ovalo facial y cuello</t>
  </si>
  <si>
    <t>Arturo Salvatierra</t>
  </si>
  <si>
    <t xml:space="preserve">Mariela Cruz </t>
  </si>
  <si>
    <t>Hifu ultraformer ovalo facial y papada</t>
  </si>
  <si>
    <t>Powershape medias piernas completas, abdomen y cintura</t>
  </si>
  <si>
    <r>
      <t xml:space="preserve">Abono hifu microson ovalo facial y papada </t>
    </r>
    <r>
      <rPr>
        <b/>
        <sz val="10"/>
        <rFont val="Trebuchet MS"/>
        <family val="2"/>
      </rPr>
      <t>(factura con exención de IVA)</t>
    </r>
  </si>
  <si>
    <r>
      <t xml:space="preserve">Cancelación hifu microson ovalo facial y papada </t>
    </r>
    <r>
      <rPr>
        <b/>
        <sz val="10"/>
        <rFont val="Trebuchet MS"/>
        <family val="2"/>
      </rPr>
      <t>(factura con exención de IVA)</t>
    </r>
  </si>
  <si>
    <t>Emsculpt NEO</t>
  </si>
  <si>
    <t>Emsculpt neo parte frenta de la pierna</t>
  </si>
  <si>
    <t>Emsculpt neo parte postrior de la pierna</t>
  </si>
  <si>
    <t>Cinthya Pacheco Garcia</t>
  </si>
  <si>
    <t>Rosa Magdalena Gomez</t>
  </si>
  <si>
    <t>Abono láser CO2</t>
  </si>
  <si>
    <t>Exion</t>
  </si>
  <si>
    <t xml:space="preserve">Exion abdomen, cintura, pectoral y espalda </t>
  </si>
  <si>
    <t>Exion rostro y cuello</t>
  </si>
  <si>
    <t>Evelyn Zelaya Reyes</t>
  </si>
  <si>
    <t>Laro Lojo</t>
  </si>
  <si>
    <t>Frasco de protocl colageno con acido hialuonufa</t>
  </si>
  <si>
    <t>Abono a beauty collagen advanced (protocol)</t>
  </si>
  <si>
    <t>Cancelación a beauty collagen advanced (protocol)</t>
  </si>
  <si>
    <t>Magadith Estrada</t>
  </si>
  <si>
    <t>Atache Cvital</t>
  </si>
  <si>
    <t>Complete collagen (protocol)</t>
  </si>
  <si>
    <t>Geraldina Gularte</t>
  </si>
  <si>
    <t>Mascarilla de megadosis de vitamina C (Gemaine)</t>
  </si>
  <si>
    <t>Carlos Humberto Rodriguez</t>
  </si>
  <si>
    <t>Aplicación acido hialuronico surcos</t>
  </si>
  <si>
    <t>Aplicación acido hialuronico pomulos</t>
  </si>
  <si>
    <t>Lucrecia Gonzalez</t>
  </si>
  <si>
    <t>Aplicación acido hialuronico ojeras</t>
  </si>
  <si>
    <t>Betzalia Arriaga</t>
  </si>
  <si>
    <t>22/08/20204</t>
  </si>
  <si>
    <t>Melissa Portillo</t>
  </si>
  <si>
    <t>Sofia Suchini Lopez</t>
  </si>
  <si>
    <t>Ximena Ventura</t>
  </si>
  <si>
    <t>Gabriel Lozano</t>
  </si>
  <si>
    <t>Depilación interglutea</t>
  </si>
  <si>
    <t>Daylin Noemi Arevalo</t>
  </si>
  <si>
    <t>Depilación espalda baja</t>
  </si>
  <si>
    <t>Depilación línea de abdomen</t>
  </si>
  <si>
    <t>Sonia Marisol Yol</t>
  </si>
  <si>
    <t>Dilsia Revolorio</t>
  </si>
  <si>
    <t>Ximea Echeverria</t>
  </si>
  <si>
    <t>Mariana Hernandez</t>
  </si>
  <si>
    <t>Exilis abdomen, cintura, entrepierna, chaparrera y parte posterio de la pierna</t>
  </si>
  <si>
    <t>Mariana de la Cruz</t>
  </si>
  <si>
    <t>Exilis abdomen, cintura, espalda alta, y brazos</t>
  </si>
  <si>
    <t>Gladys Montenegro Dubon</t>
  </si>
  <si>
    <t>Marilyn Ivonne Barascout</t>
  </si>
  <si>
    <t>Vinicio Suchini</t>
  </si>
  <si>
    <t xml:space="preserve">Norma Pineda </t>
  </si>
  <si>
    <t>Clara Garcia</t>
  </si>
  <si>
    <t>Diana De Balbas</t>
  </si>
  <si>
    <t>Ana Victoria Morales</t>
  </si>
  <si>
    <t>Carlos Pinto</t>
  </si>
  <si>
    <t>Bertha de Pinto</t>
  </si>
  <si>
    <t>Michelle Solorzano</t>
  </si>
  <si>
    <t>Hifu microson ovalo facil y papada</t>
  </si>
  <si>
    <t xml:space="preserve">Cheque </t>
  </si>
  <si>
    <t>Carmen Urrutia</t>
  </si>
  <si>
    <t>Zoila Valencia</t>
  </si>
  <si>
    <t>Evelyn Zelaya</t>
  </si>
  <si>
    <t>Erica Mancilla</t>
  </si>
  <si>
    <t>Pablo Palma</t>
  </si>
  <si>
    <t>Mesoterapia reductora abdomen y cintura</t>
  </si>
  <si>
    <t>Noelia Torres Palma</t>
  </si>
  <si>
    <t>Wendy Marisol Gonzalez</t>
  </si>
  <si>
    <t>Erika Aquino</t>
  </si>
  <si>
    <t>20/08/20204</t>
  </si>
  <si>
    <t>Isabel Pivaral</t>
  </si>
  <si>
    <t>Hilda De Zimeri</t>
  </si>
  <si>
    <t>PRP rodillas</t>
  </si>
  <si>
    <t>Mabby Morales</t>
  </si>
  <si>
    <t>Maria Fernanda Mejia</t>
  </si>
  <si>
    <t>Silvia Villanueva</t>
  </si>
  <si>
    <t>Radiofrecuencia  abdomen, cintura, espalda, brazos, glúteos y parte posterior de la pierna</t>
  </si>
  <si>
    <t>Wilson Muñoz y acompañantes</t>
  </si>
  <si>
    <t>Marcela Escobar</t>
  </si>
  <si>
    <t>Bibian Ramirez</t>
  </si>
  <si>
    <t>Edgar Ordoñez</t>
  </si>
  <si>
    <t xml:space="preserve">Vivian Porres </t>
  </si>
  <si>
    <t>Emanuel Lorenzana</t>
  </si>
  <si>
    <t>Reyna Yessenia Garcia</t>
  </si>
  <si>
    <t>Fabiola Reyes</t>
  </si>
  <si>
    <t>Astrid Barrera</t>
  </si>
  <si>
    <t>Carolina Ybarra</t>
  </si>
  <si>
    <t>Intrasuere post-operatorio</t>
  </si>
  <si>
    <t>Monica Maria Valladares</t>
  </si>
  <si>
    <t>Emsculpt neo glúteos</t>
  </si>
  <si>
    <t>Exion radiofrecuencia fraccionada rostro y papada</t>
  </si>
  <si>
    <t>Exion abdomen completo, cintura y espalda baja</t>
  </si>
  <si>
    <t>Angie Vitola</t>
  </si>
  <si>
    <t>Exion abdomen y cintura</t>
  </si>
  <si>
    <t>Exion abdomen, cintura, brazos y medias piernas</t>
  </si>
  <si>
    <t>Exion abdomen, cintura, espalda altra y brazos</t>
  </si>
  <si>
    <t>Monica Valladares</t>
  </si>
  <si>
    <t>Exion abdomen, cintura, espalda y brazos</t>
  </si>
  <si>
    <t>Canelación láser CO2</t>
  </si>
  <si>
    <t>Hector Ponciano Mancilla</t>
  </si>
  <si>
    <t>Mario Andres Acevedo</t>
  </si>
  <si>
    <t>Hector Leal</t>
  </si>
  <si>
    <t>Cevilat</t>
  </si>
  <si>
    <t>Gabriela Cuellar</t>
  </si>
  <si>
    <t>Protector solar gel oil free 360 con color (Heliocare)</t>
  </si>
  <si>
    <t>Alva Noelia Torres</t>
  </si>
  <si>
    <t>Andrea Dougherty</t>
  </si>
  <si>
    <t>Virginia Castillo</t>
  </si>
  <si>
    <t>Wendy Serrano de Quintana</t>
  </si>
  <si>
    <t>Aplicación de acido hialuronico ojeras</t>
  </si>
  <si>
    <t>Rita De Castillo</t>
  </si>
  <si>
    <t>Depilación dedos</t>
  </si>
  <si>
    <t>Miguel Angel Martinez</t>
  </si>
  <si>
    <t>Emtone abdomen, cintura, y espalda baja</t>
  </si>
  <si>
    <t>Emtone banana roll, entrepierna y parte posterior de la pierna</t>
  </si>
  <si>
    <t>Exilis abdomen, cintura, gorditos espalda alta y brazos</t>
  </si>
  <si>
    <t>Maria Paola Gonzalez De Wever</t>
  </si>
  <si>
    <t>Jessica Rubio Montes De Leal</t>
  </si>
  <si>
    <t>Exilis flancos, abdomen bajo y medias piernas completas</t>
  </si>
  <si>
    <t>Josselyn Paola Iyescas</t>
  </si>
  <si>
    <t>Exilis abdomen completo, cintura y espalda baja</t>
  </si>
  <si>
    <t>Maria Jose Escobar</t>
  </si>
  <si>
    <t>Ana Lucia Del Rio</t>
  </si>
  <si>
    <t>Rolando Torres</t>
  </si>
  <si>
    <t>Mesoterapia anticelulitis entrepierna y parte posterior de la pierna</t>
  </si>
  <si>
    <t xml:space="preserve">Mesoterapia reafirmante brazos </t>
  </si>
  <si>
    <t>Morpheus parte frente de la pierna llegando hasta rodilla</t>
  </si>
  <si>
    <t>Abono morpheus rostro y cuello</t>
  </si>
  <si>
    <t>Roxana Gabriel Lopez</t>
  </si>
  <si>
    <t>Morpheus cara interna de la pierna</t>
  </si>
  <si>
    <t>Miriam Vanessa Castillo</t>
  </si>
  <si>
    <t>Silvia Arevalo</t>
  </si>
  <si>
    <t>Mariela De La Cruz</t>
  </si>
  <si>
    <t>Maria Gabriela Lopez</t>
  </si>
  <si>
    <t>PRP cara interna de pierna</t>
  </si>
  <si>
    <t>PRP antebrazo</t>
  </si>
  <si>
    <t>Diana Ritz</t>
  </si>
  <si>
    <t>Radiofrecuencia lado derecho del glúteo</t>
  </si>
  <si>
    <t>Radiofrecuencia glúteos</t>
  </si>
  <si>
    <t xml:space="preserve">Janeth Zablah de Fischer </t>
  </si>
  <si>
    <t xml:space="preserve">Pedro Ochandiano </t>
  </si>
  <si>
    <t>Eugenia Franco</t>
  </si>
  <si>
    <t>Gladys De Leon</t>
  </si>
  <si>
    <t>Maria Jose Solares</t>
  </si>
  <si>
    <t>Peeling toskani</t>
  </si>
  <si>
    <t xml:space="preserve">Violeta Del Cid </t>
  </si>
  <si>
    <t>Abono a peeling rostro</t>
  </si>
  <si>
    <t>Cancelación a peeling rostro</t>
  </si>
  <si>
    <t>Peeling corporal (espalda)</t>
  </si>
  <si>
    <t>Peeling corporal (codos)</t>
  </si>
  <si>
    <t>Peeling corporal (axila)</t>
  </si>
  <si>
    <t>Abono spectra ginecologico</t>
  </si>
  <si>
    <t>Jennifer Gonzalez</t>
  </si>
  <si>
    <t>Cristina Tejada</t>
  </si>
  <si>
    <t>Milvian Orellana</t>
  </si>
  <si>
    <t>Joyce Arguello</t>
  </si>
  <si>
    <t>Maria Andrea Gamazo</t>
  </si>
  <si>
    <t>Jung Ki Lee</t>
  </si>
  <si>
    <t>Elda Maribel Estrada</t>
  </si>
  <si>
    <t>Kimberly Rodas</t>
  </si>
  <si>
    <t>Powershape medias piernas completas y flancos</t>
  </si>
  <si>
    <t>Powershape abdomen, cintura, espalda completa</t>
  </si>
  <si>
    <t>Emculpt neo</t>
  </si>
  <si>
    <t>Emsculpt neo piernas</t>
  </si>
  <si>
    <t>Exión</t>
  </si>
  <si>
    <t>Exión rostro y cuello</t>
  </si>
  <si>
    <t xml:space="preserve">Exión abdomen, cintura, brazos y 
medias piernas </t>
  </si>
  <si>
    <t>Fidel Santos</t>
  </si>
  <si>
    <t>Protector solar spray (Heliocare)</t>
  </si>
  <si>
    <t>Eye Contour (Teoxane)</t>
  </si>
  <si>
    <t>Sandra Cifuentes</t>
  </si>
  <si>
    <t>Rony Alvarado</t>
  </si>
  <si>
    <t>Acive whey &amp; collagen</t>
  </si>
  <si>
    <t>Beatriz Cuyan</t>
  </si>
  <si>
    <t>Mascarilla de megadosis de vitamina C (Germaine)</t>
  </si>
  <si>
    <t>Gel para acne tri-active (biretix)</t>
  </si>
  <si>
    <t>Jabon biretix duo</t>
  </si>
  <si>
    <t>Doris Pozadas</t>
  </si>
  <si>
    <t>Aplicación de acido hialuronico pomulos</t>
  </si>
  <si>
    <t>Aplicación acido hialuronico en codigo de barras</t>
  </si>
  <si>
    <t xml:space="preserve">Aplicación acido hialuronico </t>
  </si>
  <si>
    <t>Roxana Gabriel</t>
  </si>
  <si>
    <t>Aplicación acido hialuronico rostro</t>
  </si>
  <si>
    <t>Abono aplicación acido hialuronico</t>
  </si>
  <si>
    <t>Cancelación aplicación acido hialuronico</t>
  </si>
  <si>
    <t>Andrea Corado</t>
  </si>
  <si>
    <t>Dina Eliza Lopez</t>
  </si>
  <si>
    <t>Fabiola De Reyes</t>
  </si>
  <si>
    <t>Patricia de Mejicanos</t>
  </si>
  <si>
    <t>Maria Conchita Vasquez</t>
  </si>
  <si>
    <t>Emtone medias piernas completas, abdomen y cintura</t>
  </si>
  <si>
    <t>Jhoana De Leon</t>
  </si>
  <si>
    <t>Abono a emtone parte posterior de la pierna</t>
  </si>
  <si>
    <t>Paola Gonzalez De Wever</t>
  </si>
  <si>
    <t>Cancelación a emtone parte posterior de la pierna</t>
  </si>
  <si>
    <t>Abono a mesoterapia rodilla interna</t>
  </si>
  <si>
    <t>Alma Regina Gandara</t>
  </si>
  <si>
    <t>Exilis abdomen, cintura y entrepierna</t>
  </si>
  <si>
    <t>Cinthia Pacheco</t>
  </si>
  <si>
    <t>Jovana Bock</t>
  </si>
  <si>
    <t>Gabriela Paiz Palma</t>
  </si>
  <si>
    <t>Ivon Martinez</t>
  </si>
  <si>
    <t>Sergio Rosales (Hijo)</t>
  </si>
  <si>
    <t>Monica Secaira</t>
  </si>
  <si>
    <t xml:space="preserve">Alcira Torres </t>
  </si>
  <si>
    <t>Laboratorios pre-celulas</t>
  </si>
  <si>
    <t>Mesoterapia rodilla interna</t>
  </si>
  <si>
    <t>Cancelación a mesoterapia rodilla interna</t>
  </si>
  <si>
    <t>Otto Villeda</t>
  </si>
  <si>
    <t>Mesoterapia abdomen, cintura y espalda baja</t>
  </si>
  <si>
    <t>Glendy Catalan De Monzon</t>
  </si>
  <si>
    <t>Magdalena Diaz</t>
  </si>
  <si>
    <t>Ernesto Guzman</t>
  </si>
  <si>
    <t>Arturo Salvartierra</t>
  </si>
  <si>
    <t>Yaravi Morales</t>
  </si>
  <si>
    <t>Francisco Arce</t>
  </si>
  <si>
    <t xml:space="preserve">Gissell Sanzogni </t>
  </si>
  <si>
    <t>Radiofrecuencia entrepierna y parte posterior, brazos completos enfatizar cara interna</t>
  </si>
  <si>
    <t>Radiofrecuencia abdomen, cintura, espalda alta, brazos y medias piernas</t>
  </si>
  <si>
    <t xml:space="preserve">Radiofecuencia abdomen, cintura, brazos, entrepierna y parte posterior de la pierna </t>
  </si>
  <si>
    <t>Radiofrecuencia abdomen, cintura, espalda baja y pectoral</t>
  </si>
  <si>
    <t>Raisa Hernandez</t>
  </si>
  <si>
    <t>Paula Leal</t>
  </si>
  <si>
    <t>Andrea Gamazo</t>
  </si>
  <si>
    <t>Miram Mijangos de Weller</t>
  </si>
  <si>
    <t>Noelia Lemus</t>
  </si>
  <si>
    <t>Carlos Wever</t>
  </si>
  <si>
    <t>Gabriela Garcia</t>
  </si>
  <si>
    <t>Cancelación spectra ginecologico</t>
  </si>
  <si>
    <t>Abono a spectra ginecologico</t>
  </si>
  <si>
    <t>Dania Paola Pinto</t>
  </si>
  <si>
    <t xml:space="preserve">Alicia Vasquez </t>
  </si>
  <si>
    <t>Dora De La Cruz</t>
  </si>
  <si>
    <t>Erica Aquino</t>
  </si>
  <si>
    <t>Patricia Ruiz</t>
  </si>
  <si>
    <t>Lisbeth Viviana Davila</t>
  </si>
  <si>
    <t>Evelyn De Hurtado</t>
  </si>
  <si>
    <t>Pamela Toralla</t>
  </si>
  <si>
    <t>Leidy Johana Tamayo De Avila</t>
  </si>
  <si>
    <t>Antonela Ricci</t>
  </si>
  <si>
    <t>Powershape corporal</t>
  </si>
  <si>
    <t>Emsculpt neo</t>
  </si>
  <si>
    <t>Francisco Lavarreda</t>
  </si>
  <si>
    <t>Abono a emsculpt neo</t>
  </si>
  <si>
    <t>Mariela Guzman</t>
  </si>
  <si>
    <t>Limpieza profunda espalda</t>
  </si>
  <si>
    <t>Luisa Fernanda Ordoñez</t>
  </si>
  <si>
    <t xml:space="preserve">Exion abdomen, cintura, brazos, y espalda alta </t>
  </si>
  <si>
    <t>Valeria Von De Urrutia</t>
  </si>
  <si>
    <t>Eva Masilla</t>
  </si>
  <si>
    <t>Cesibel Alejos</t>
  </si>
  <si>
    <t>Tannia Moscoso Sanabria</t>
  </si>
  <si>
    <t>Bloqueador solar (eclipsol) mineral SPF 50</t>
  </si>
  <si>
    <t>Marleny Sandoval</t>
  </si>
  <si>
    <t>Dabalash</t>
  </si>
  <si>
    <t>Elien Flores</t>
  </si>
  <si>
    <t>Protocol collagen skin plus (mpaque rosado)</t>
  </si>
  <si>
    <t>Oneida Rodriguez</t>
  </si>
  <si>
    <t>Com-vid retinol</t>
  </si>
  <si>
    <t>Com-vid lifting (dermix)</t>
  </si>
  <si>
    <t>Com-vid gloden C</t>
  </si>
  <si>
    <t>Dione Avila</t>
  </si>
  <si>
    <t>Protector solar compacto (ISIS PHARMA)</t>
  </si>
  <si>
    <t>Abono a booster multi-rejuvencedor BABÉ</t>
  </si>
  <si>
    <t>Cancelación a booster multi-rejuvencedor BABÉ</t>
  </si>
  <si>
    <t>Norma Pineda</t>
  </si>
  <si>
    <t>Mascara by Dabalash</t>
  </si>
  <si>
    <t>Active whey &amp; collagen</t>
  </si>
  <si>
    <t>Ana Eloisa De Lopez</t>
  </si>
  <si>
    <t>Aplicación acido hiluronico</t>
  </si>
  <si>
    <t>Olga Torres de Tercero</t>
  </si>
  <si>
    <t>Analia Garcia</t>
  </si>
  <si>
    <t>Aplicación acido hiluronico nariz</t>
  </si>
  <si>
    <t>Cristina Palacios</t>
  </si>
  <si>
    <t>Liza Santisteban</t>
  </si>
  <si>
    <t>Aplicacón acido hialuronico</t>
  </si>
  <si>
    <t>Maria Eugenia Sandoval De Paz</t>
  </si>
  <si>
    <t>Sergio Castro</t>
  </si>
  <si>
    <t>Carolina Estrada De Obiols</t>
  </si>
  <si>
    <t>Aplicación acido hialuronico</t>
  </si>
  <si>
    <t>Carla Rogriguez Mejia</t>
  </si>
  <si>
    <t>Eduardo Lavarreda</t>
  </si>
  <si>
    <t>Depilación hombros</t>
  </si>
  <si>
    <t>Depilación piernas completas</t>
  </si>
  <si>
    <t>Danury Samayoa</t>
  </si>
  <si>
    <t>Emtone chaparreras, entrepierna y parte posterior de la pierna</t>
  </si>
  <si>
    <t>Rene De Fumagalli</t>
  </si>
  <si>
    <t>Oscar Catu</t>
  </si>
  <si>
    <t xml:space="preserve">Exilis abdomen, cintura, espalda </t>
  </si>
  <si>
    <t>Monica Gonzalez De Garcia</t>
  </si>
  <si>
    <t xml:space="preserve">Exilis abdomen completo, cintura, espalda </t>
  </si>
  <si>
    <t>Alejandro Arevalo</t>
  </si>
  <si>
    <t>Ximenta Ventura</t>
  </si>
  <si>
    <t>Monica De Arce</t>
  </si>
  <si>
    <t>Katherine Jordan</t>
  </si>
  <si>
    <t>Norma Duque</t>
  </si>
  <si>
    <t>Vilma Duque</t>
  </si>
  <si>
    <t>Alejandra Quinto</t>
  </si>
  <si>
    <t>Mesoterapia vitamina C glúteos</t>
  </si>
  <si>
    <t>Mesoterapia anticelulitis parte posterior de la pierna</t>
  </si>
  <si>
    <t>Teresa Pineda Jesus</t>
  </si>
  <si>
    <t>Antonella Ricci</t>
  </si>
  <si>
    <t>Elida Sepulveda Alvarez</t>
  </si>
  <si>
    <t>Estela Lorenzana</t>
  </si>
  <si>
    <t>Janeth Zablah</t>
  </si>
  <si>
    <t>Maria Jose Gonzalez</t>
  </si>
  <si>
    <t>Jose Miguel Rosa</t>
  </si>
  <si>
    <t>Radiofrecuencia abdomen, cintura, espalda alta y brazos</t>
  </si>
  <si>
    <t>Noelia Lemus e hijas</t>
  </si>
  <si>
    <t>Paola De Wever</t>
  </si>
  <si>
    <t>Karen Juarez Sandoval</t>
  </si>
  <si>
    <t>Sandra Perez</t>
  </si>
  <si>
    <t xml:space="preserve">Stella Matheu </t>
  </si>
  <si>
    <t>Concepcion Palma</t>
  </si>
  <si>
    <t>Camila Orantes</t>
  </si>
  <si>
    <t>Delma Vasquez</t>
  </si>
  <si>
    <t>Jessica Solias</t>
  </si>
  <si>
    <t>Fabiola Meoño</t>
  </si>
  <si>
    <t>Claudia Amano De Bregel</t>
  </si>
  <si>
    <t>Margarita Jerez Gonzalez</t>
  </si>
  <si>
    <t>Liz De Arana</t>
  </si>
  <si>
    <t>Dalia Diaz (hija)</t>
  </si>
  <si>
    <t>Maria Isabel Pineda</t>
  </si>
  <si>
    <t>Dalia Diaz (mamá)</t>
  </si>
  <si>
    <t>Anabella Knecusch</t>
  </si>
  <si>
    <t>Paulina Matzer</t>
  </si>
  <si>
    <t>Michelle Michelle</t>
  </si>
  <si>
    <t xml:space="preserve">Oscar Grasiozzo </t>
  </si>
  <si>
    <t>Shirley Contreras De Esocabar</t>
  </si>
  <si>
    <t>Carmen Monroy</t>
  </si>
  <si>
    <t>Margarita Dominguez</t>
  </si>
  <si>
    <t>Maria Jose Juarez</t>
  </si>
  <si>
    <t>Ana Lorena Arias</t>
  </si>
  <si>
    <t>Cecilia Gil</t>
  </si>
  <si>
    <t>Mayra Valdez</t>
  </si>
  <si>
    <t>Ana Luisa Merida</t>
  </si>
  <si>
    <t>Elizabeth De Molina</t>
  </si>
  <si>
    <t>Ana Cecilia Cardenas</t>
  </si>
  <si>
    <t>Julyssa Valdez</t>
  </si>
  <si>
    <t>Carolina Vallesteros</t>
  </si>
  <si>
    <t>Carlos Flogar</t>
  </si>
  <si>
    <t>Loydi Pineda</t>
  </si>
  <si>
    <t>Melina Muñoz</t>
  </si>
  <si>
    <t>Juan Manuel Funes</t>
  </si>
  <si>
    <t>Ana Maria Estrada</t>
  </si>
  <si>
    <t>Veronica De Davila</t>
  </si>
  <si>
    <t>Jeny Sanchez</t>
  </si>
  <si>
    <t>Merli Sanchez</t>
  </si>
  <si>
    <t>Ana Lucia Moreno</t>
  </si>
  <si>
    <t>Sandra Campo</t>
  </si>
  <si>
    <t>Carmen Contreras</t>
  </si>
  <si>
    <t>Keshy Godoy</t>
  </si>
  <si>
    <t>Gissell Sanzogni</t>
  </si>
  <si>
    <t>Isabel Garzuzi</t>
  </si>
  <si>
    <t>Alma Judith Merida</t>
  </si>
  <si>
    <t>Fabiola de Argueta</t>
  </si>
  <si>
    <t>Martha Perez De Chen</t>
  </si>
  <si>
    <t>Maria Fernandez De Asturias</t>
  </si>
  <si>
    <t>Maria Teresa Sosa</t>
  </si>
  <si>
    <t>Fredy Muñoz</t>
  </si>
  <si>
    <t>Jaqueline Villagran</t>
  </si>
  <si>
    <t>Vicky De Rivera</t>
  </si>
  <si>
    <t>Annette Bouscayrol</t>
  </si>
  <si>
    <t>Silvia Ninett Echeverria</t>
  </si>
  <si>
    <t>Ana Maria Martinez</t>
  </si>
  <si>
    <t>Lissette Pereira</t>
  </si>
  <si>
    <t>Paulina Andrede</t>
  </si>
  <si>
    <t>Silvia Fernandez De Castellanos</t>
  </si>
  <si>
    <t>Walesca Melara</t>
  </si>
  <si>
    <t>Elver Rottman</t>
  </si>
  <si>
    <t>Sara Spennemann Gramajo</t>
  </si>
  <si>
    <t>Leni Aldana</t>
  </si>
  <si>
    <t>Viole Guzman</t>
  </si>
  <si>
    <t>Sandra Lemus</t>
  </si>
  <si>
    <t>Abono a hifu ultraformer ojos</t>
  </si>
  <si>
    <t>Cancelación a hifu ultraformer ojos</t>
  </si>
  <si>
    <t>Rebeca Higueros del Carro</t>
  </si>
  <si>
    <t>Emsculpt neo femoral</t>
  </si>
  <si>
    <t>Ana Patricia Martinez</t>
  </si>
  <si>
    <t>Protocolo collageno skin plus (empaque rosado)</t>
  </si>
  <si>
    <t>Senia Vargas</t>
  </si>
  <si>
    <t>Edna Dubon</t>
  </si>
  <si>
    <t>Ana Paola Solates</t>
  </si>
  <si>
    <t>Valeria Florido</t>
  </si>
  <si>
    <t>Ana Elisa Gonzalez</t>
  </si>
  <si>
    <t>Francias Cuellar</t>
  </si>
  <si>
    <t>Emtone entrepierna, chaparrera y parte posterior de la pierna</t>
  </si>
  <si>
    <t>Claudia Mendez Batres</t>
  </si>
  <si>
    <t xml:space="preserve">Exilis abodmen, cintura, espalda alta, brazos, espalda alta </t>
  </si>
  <si>
    <t>Vanessa León</t>
  </si>
  <si>
    <t>Eva Mansilla</t>
  </si>
  <si>
    <t xml:space="preserve">Josseline </t>
  </si>
  <si>
    <t>Stephanie Madrid</t>
  </si>
  <si>
    <t>Linda Lorena Mejia</t>
  </si>
  <si>
    <t>Masaja linfatico</t>
  </si>
  <si>
    <t>Vera Ortiz</t>
  </si>
  <si>
    <t>Maria Jose Avila</t>
  </si>
  <si>
    <t>Jose Batres</t>
  </si>
  <si>
    <t>Ana Gabriela Bagnasco</t>
  </si>
  <si>
    <t>Josseline Rodriguez</t>
  </si>
  <si>
    <t>Anabella Torcelli De Knebusch</t>
  </si>
  <si>
    <t>Abono PRP rostro y cuello</t>
  </si>
  <si>
    <t>Cancelación PRP rostro y cuello</t>
  </si>
  <si>
    <t>Michelle Castillo</t>
  </si>
  <si>
    <t xml:space="preserve">Mirza Monterroso De Morales </t>
  </si>
  <si>
    <t>Mayra Lucrecia Morales De Morales</t>
  </si>
  <si>
    <t>Radiofrecuencia entrepierna y parte posterior de la pierna</t>
  </si>
  <si>
    <t xml:space="preserve">Radiofrecuencia rostro, cuello y escote </t>
  </si>
  <si>
    <t>Radiofrecuencia abdomen, cintura, espalda alta, entrepierna y glúteos</t>
  </si>
  <si>
    <t>Laura Quiroa Samayoa</t>
  </si>
  <si>
    <t>Fabiola Tenas</t>
  </si>
  <si>
    <t>Luis Araya</t>
  </si>
  <si>
    <t>Wendy López</t>
  </si>
  <si>
    <t>Aplicación oligoelementos</t>
  </si>
  <si>
    <t>Miriam Nurith Barrientos De Farrach</t>
  </si>
  <si>
    <t>Gina Rossi</t>
  </si>
  <si>
    <t>Karen Juarez</t>
  </si>
  <si>
    <t>Eliana Mazariegos</t>
  </si>
  <si>
    <t>Hifu ultraformer cotorno mandibular</t>
  </si>
  <si>
    <t>Mesoterapia reductora abdomen inferior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</si>
</sst>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Q&quot;* #,##0.00_-;\-&quot;Q&quot;* #,##0.00_-;_-&quot;Q&quot;* &quot;-&quot;??_-;_-@_-"/>
    <numFmt numFmtId="164" formatCode="dd\-mm\-yy;@"/>
    <numFmt numFmtId="165" formatCode="[$Q-100A]#,##0.00"/>
  </numFmts>
  <fonts count="13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6"/>
      <color theme="1"/>
      <name val="Arial"/>
      <family val="2"/>
    </font>
    <font>
      <sz val="11"/>
      <name val="Calibri"/>
      <family val="2"/>
      <scheme val="minor"/>
    </font>
    <font>
      <b/>
      <sz val="16"/>
      <color rgb="FFFF0000"/>
      <name val="Arial"/>
      <family val="2"/>
    </font>
    <font>
      <b/>
      <sz val="16"/>
      <color theme="4"/>
      <name val="Arial"/>
      <family val="2"/>
    </font>
    <font>
      <sz val="10"/>
      <color rgb="FFFF0000"/>
      <name val="Trebuchet MS"/>
      <family val="2"/>
    </font>
    <font>
      <sz val="10"/>
      <name val="Trebuchet MS"/>
      <family val="2"/>
    </font>
    <font>
      <b/>
      <sz val="10"/>
      <name val="Trebuchet MS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CC66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91">
    <xf numFmtId="0" fontId="0" fillId="0" borderId="0" xfId="0"/>
    <xf numFmtId="0" fontId="0" fillId="0" borderId="0" xfId="0" applyAlignment="1">
      <alignment horizontal="center"/>
    </xf>
    <xf numFmtId="14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 applyProtection="1">
      <alignment horizontal="center"/>
      <protection locked="0"/>
    </xf>
    <xf numFmtId="165" fontId="3" fillId="0" borderId="1" xfId="0" applyNumberFormat="1" applyFont="1" applyBorder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/>
    <xf numFmtId="165" fontId="2" fillId="2" borderId="0" xfId="0" applyNumberFormat="1" applyFont="1" applyFill="1" applyAlignment="1">
      <alignment horizontal="center"/>
    </xf>
    <xf numFmtId="0" fontId="3" fillId="0" borderId="1" xfId="0" applyFont="1" applyBorder="1" applyAlignment="1" applyProtection="1">
      <alignment horizontal="center" wrapText="1"/>
      <protection locked="0"/>
    </xf>
    <xf numFmtId="165" fontId="3" fillId="0" borderId="1" xfId="0" applyNumberFormat="1" applyFont="1" applyBorder="1" applyAlignment="1">
      <alignment vertical="center" wrapText="1"/>
    </xf>
    <xf numFmtId="0" fontId="2" fillId="2" borderId="0" xfId="0" applyFont="1" applyFill="1" applyAlignment="1">
      <alignment horizontal="center"/>
    </xf>
    <xf numFmtId="0" fontId="1" fillId="3" borderId="5" xfId="0" applyFont="1" applyFill="1" applyBorder="1"/>
    <xf numFmtId="0" fontId="1" fillId="3" borderId="6" xfId="0" applyFont="1" applyFill="1" applyBorder="1"/>
    <xf numFmtId="0" fontId="1" fillId="3" borderId="6" xfId="0" applyFont="1" applyFill="1" applyBorder="1" applyAlignment="1">
      <alignment horizontal="center"/>
    </xf>
    <xf numFmtId="0" fontId="1" fillId="3" borderId="7" xfId="0" applyFont="1" applyFill="1" applyBorder="1"/>
    <xf numFmtId="165" fontId="2" fillId="3" borderId="7" xfId="0" applyNumberFormat="1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1" fillId="3" borderId="5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165" fontId="2" fillId="3" borderId="8" xfId="0" applyNumberFormat="1" applyFont="1" applyFill="1" applyBorder="1" applyAlignment="1">
      <alignment horizontal="center" vertical="center"/>
    </xf>
    <xf numFmtId="165" fontId="2" fillId="3" borderId="8" xfId="0" applyNumberFormat="1" applyFont="1" applyFill="1" applyBorder="1" applyAlignment="1">
      <alignment horizontal="center"/>
    </xf>
    <xf numFmtId="0" fontId="1" fillId="3" borderId="6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1" fillId="3" borderId="6" xfId="0" applyFont="1" applyFill="1" applyBorder="1" applyAlignment="1">
      <alignment horizontal="left"/>
    </xf>
    <xf numFmtId="0" fontId="2" fillId="2" borderId="0" xfId="0" applyFont="1" applyFill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5" fillId="0" borderId="1" xfId="0" applyFont="1" applyBorder="1"/>
    <xf numFmtId="0" fontId="1" fillId="4" borderId="1" xfId="0" applyFont="1" applyFill="1" applyBorder="1" applyAlignment="1">
      <alignment horizontal="center" vertical="center"/>
    </xf>
    <xf numFmtId="0" fontId="0" fillId="2" borderId="0" xfId="0" applyFill="1"/>
    <xf numFmtId="0" fontId="6" fillId="2" borderId="5" xfId="0" applyFont="1" applyFill="1" applyBorder="1" applyAlignment="1">
      <alignment horizontal="center"/>
    </xf>
    <xf numFmtId="165" fontId="0" fillId="0" borderId="0" xfId="0" applyNumberFormat="1"/>
    <xf numFmtId="0" fontId="2" fillId="4" borderId="1" xfId="0" applyFont="1" applyFill="1" applyBorder="1" applyAlignment="1">
      <alignment horizontal="center" vertical="center"/>
    </xf>
    <xf numFmtId="0" fontId="7" fillId="0" borderId="0" xfId="0" applyFont="1"/>
    <xf numFmtId="0" fontId="3" fillId="0" borderId="1" xfId="0" applyFont="1" applyBorder="1"/>
    <xf numFmtId="0" fontId="7" fillId="2" borderId="0" xfId="0" applyFont="1" applyFill="1"/>
    <xf numFmtId="0" fontId="1" fillId="4" borderId="0" xfId="0" applyFont="1" applyFill="1" applyAlignment="1">
      <alignment horizontal="center" vertical="center"/>
    </xf>
    <xf numFmtId="44" fontId="5" fillId="0" borderId="0" xfId="1" applyFont="1" applyBorder="1" applyAlignment="1"/>
    <xf numFmtId="165" fontId="2" fillId="3" borderId="7" xfId="0" applyNumberFormat="1" applyFont="1" applyFill="1" applyBorder="1" applyAlignment="1">
      <alignment horizontal="right"/>
    </xf>
    <xf numFmtId="44" fontId="3" fillId="0" borderId="1" xfId="1" applyFont="1" applyBorder="1" applyAlignment="1">
      <alignment vertical="center"/>
    </xf>
    <xf numFmtId="44" fontId="5" fillId="0" borderId="1" xfId="1" applyFont="1" applyBorder="1" applyAlignment="1">
      <alignment vertical="center"/>
    </xf>
    <xf numFmtId="44" fontId="8" fillId="2" borderId="1" xfId="0" applyNumberFormat="1" applyFont="1" applyFill="1" applyBorder="1" applyAlignment="1">
      <alignment horizontal="center" vertical="center"/>
    </xf>
    <xf numFmtId="44" fontId="6" fillId="2" borderId="1" xfId="0" applyNumberFormat="1" applyFont="1" applyFill="1" applyBorder="1" applyAlignment="1">
      <alignment vertical="center"/>
    </xf>
    <xf numFmtId="44" fontId="9" fillId="2" borderId="0" xfId="0" applyNumberFormat="1" applyFont="1" applyFill="1" applyAlignment="1">
      <alignment horizontal="center" vertical="center"/>
    </xf>
    <xf numFmtId="44" fontId="9" fillId="2" borderId="0" xfId="0" applyNumberFormat="1" applyFont="1" applyFill="1" applyAlignment="1">
      <alignment vertical="center"/>
    </xf>
    <xf numFmtId="44" fontId="7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7" fillId="0" borderId="0" xfId="0" applyFont="1" applyAlignment="1">
      <alignment vertical="center"/>
    </xf>
    <xf numFmtId="44" fontId="3" fillId="0" borderId="1" xfId="1" applyFont="1" applyFill="1" applyBorder="1" applyAlignment="1">
      <alignment vertical="center"/>
    </xf>
    <xf numFmtId="44" fontId="8" fillId="0" borderId="1" xfId="0" applyNumberFormat="1" applyFont="1" applyBorder="1" applyAlignment="1">
      <alignment horizontal="center" vertical="center"/>
    </xf>
    <xf numFmtId="44" fontId="9" fillId="0" borderId="0" xfId="0" applyNumberFormat="1" applyFont="1" applyAlignment="1">
      <alignment horizontal="center" vertical="center"/>
    </xf>
    <xf numFmtId="14" fontId="3" fillId="0" borderId="1" xfId="0" quotePrefix="1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165" fontId="10" fillId="0" borderId="0" xfId="0" applyNumberFormat="1" applyFont="1" applyAlignment="1">
      <alignment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2" xfId="0" applyFont="1" applyBorder="1" applyAlignment="1">
      <alignment vertical="center" wrapText="1"/>
    </xf>
    <xf numFmtId="165" fontId="11" fillId="0" borderId="1" xfId="0" applyNumberFormat="1" applyFont="1" applyBorder="1" applyAlignment="1">
      <alignment vertical="center"/>
    </xf>
    <xf numFmtId="0" fontId="11" fillId="0" borderId="1" xfId="0" quotePrefix="1" applyFont="1" applyBorder="1" applyAlignment="1" applyProtection="1">
      <alignment horizontal="center" vertical="center"/>
      <protection locked="0"/>
    </xf>
    <xf numFmtId="14" fontId="3" fillId="0" borderId="2" xfId="0" applyNumberFormat="1" applyFont="1" applyBorder="1" applyAlignment="1">
      <alignment horizontal="center" vertical="center" wrapText="1"/>
    </xf>
    <xf numFmtId="14" fontId="11" fillId="0" borderId="2" xfId="0" applyNumberFormat="1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" xfId="0" quotePrefix="1" applyFont="1" applyBorder="1" applyAlignment="1" applyProtection="1">
      <alignment horizontal="center" vertical="center"/>
      <protection locked="0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165" fontId="2" fillId="3" borderId="3" xfId="0" applyNumberFormat="1" applyFont="1" applyFill="1" applyBorder="1" applyAlignment="1">
      <alignment horizontal="center" vertical="center"/>
    </xf>
    <xf numFmtId="165" fontId="2" fillId="3" borderId="2" xfId="0" applyNumberFormat="1" applyFont="1" applyFill="1" applyBorder="1" applyAlignment="1">
      <alignment horizontal="center" vertical="center"/>
    </xf>
    <xf numFmtId="164" fontId="2" fillId="3" borderId="3" xfId="0" applyNumberFormat="1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65" fontId="2" fillId="3" borderId="1" xfId="0" applyNumberFormat="1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4" fontId="2" fillId="3" borderId="3" xfId="0" applyNumberFormat="1" applyFont="1" applyFill="1" applyBorder="1" applyAlignment="1">
      <alignment horizontal="center" vertical="center" wrapText="1"/>
    </xf>
    <xf numFmtId="164" fontId="2" fillId="3" borderId="4" xfId="0" applyNumberFormat="1" applyFont="1" applyFill="1" applyBorder="1" applyAlignment="1">
      <alignment horizontal="center" vertical="center" wrapText="1"/>
    </xf>
    <xf numFmtId="164" fontId="2" fillId="3" borderId="2" xfId="0" applyNumberFormat="1" applyFont="1" applyFill="1" applyBorder="1" applyAlignment="1">
      <alignment horizontal="center" vertical="center" wrapText="1"/>
    </xf>
    <xf numFmtId="164" fontId="2" fillId="3" borderId="9" xfId="0" applyNumberFormat="1" applyFont="1" applyFill="1" applyBorder="1" applyAlignment="1">
      <alignment horizontal="center" vertical="center" wrapText="1"/>
    </xf>
    <xf numFmtId="164" fontId="2" fillId="3" borderId="8" xfId="0" applyNumberFormat="1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colors>
    <mruColors>
      <color rgb="FF00CC66"/>
      <color rgb="FF33CCFF"/>
      <color rgb="FFFF9933"/>
      <color rgb="FF9999FF"/>
      <color rgb="FF0099CC"/>
      <color rgb="FFFF5050"/>
      <color rgb="FFFF66FF"/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GT" sz="200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Resultado de ventas</a:t>
            </a:r>
            <a:r>
              <a:rPr lang="es-GT" sz="2000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s-GT" sz="200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GT"/>
        </a:p>
      </c:txPr>
    </c:title>
    <c:autoTitleDeleted val="0"/>
    <c:plotArea>
      <c:layout>
        <c:manualLayout>
          <c:layoutTarget val="inner"/>
          <c:xMode val="edge"/>
          <c:yMode val="edge"/>
          <c:x val="6.9027537520521612E-2"/>
          <c:y val="9.7151074057419545E-2"/>
          <c:w val="0.92906881774105909"/>
          <c:h val="0.7196908718097802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'PRESENTACIÓN DE RESULTADOS'!$N$1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dLbls>
            <c:dLbl>
              <c:idx val="3"/>
              <c:layout>
                <c:manualLayout>
                  <c:x val="-2.8293545534924846E-3"/>
                  <c:y val="-6.0542820191823612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4EC-4FF4-8DD0-192EA494DB0F}"/>
                </c:ext>
              </c:extLst>
            </c:dLbl>
            <c:dLbl>
              <c:idx val="4"/>
              <c:layout>
                <c:manualLayout>
                  <c:x val="0"/>
                  <c:y val="-6.6047475913798073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4EC-4FF4-8DD0-192EA494DB0F}"/>
                </c:ext>
              </c:extLst>
            </c:dLbl>
            <c:dLbl>
              <c:idx val="9"/>
              <c:layout>
                <c:manualLayout>
                  <c:x val="-2.579605063480421E-3"/>
                  <c:y val="-1.4794265928911492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021-461A-AB94-002B85E3F185}"/>
                </c:ext>
              </c:extLst>
            </c:dLbl>
            <c:dLbl>
              <c:idx val="17"/>
              <c:layout>
                <c:manualLayout>
                  <c:x val="-4.9513704686119514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358-4F75-A38A-1DB20A182652}"/>
                </c:ext>
              </c:extLst>
            </c:dLbl>
            <c:dLbl>
              <c:idx val="18"/>
              <c:layout>
                <c:manualLayout>
                  <c:x val="7.073386383731211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4EC-4FF4-8DD0-192EA494DB0F}"/>
                </c:ext>
              </c:extLst>
            </c:dLbl>
            <c:dLbl>
              <c:idx val="19"/>
              <c:layout>
                <c:manualLayout>
                  <c:x val="-3.8694075952205604E-3"/>
                  <c:y val="-1.0849003019258971E-1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4EC-4FF4-8DD0-192EA494DB0F}"/>
                </c:ext>
              </c:extLst>
            </c:dLbl>
            <c:dLbl>
              <c:idx val="20"/>
              <c:layout>
                <c:manualLayout>
                  <c:x val="3.2245063293504673E-3"/>
                  <c:y val="-2.9588531857820816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021-461A-AB94-002B85E3F185}"/>
                </c:ext>
              </c:extLst>
            </c:dLbl>
            <c:dLbl>
              <c:idx val="21"/>
              <c:layout>
                <c:manualLayout>
                  <c:x val="-6.4490126587009344E-4"/>
                  <c:y val="-7.3971329644553123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021-461A-AB94-002B85E3F185}"/>
                </c:ext>
              </c:extLst>
            </c:dLbl>
            <c:dLbl>
              <c:idx val="22"/>
              <c:layout>
                <c:manualLayout>
                  <c:x val="-6.4490126587009344E-4"/>
                  <c:y val="-2.9588531857820816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358-4F75-A38A-1DB20A182652}"/>
                </c:ext>
              </c:extLst>
            </c:dLbl>
            <c:dLbl>
              <c:idx val="23"/>
              <c:layout>
                <c:manualLayout>
                  <c:x val="-5.1592101269607475E-3"/>
                  <c:y val="-7.3971329644552039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021-461A-AB94-002B85E3F185}"/>
                </c:ext>
              </c:extLst>
            </c:dLbl>
            <c:dLbl>
              <c:idx val="24"/>
              <c:layout>
                <c:manualLayout>
                  <c:x val="0"/>
                  <c:y val="-4.9535606935349015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021-461A-AB94-002B85E3F185}"/>
                </c:ext>
              </c:extLst>
            </c:dLbl>
            <c:dLbl>
              <c:idx val="26"/>
              <c:layout>
                <c:manualLayout>
                  <c:x val="3.2245063293503727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021-461A-AB94-002B85E3F18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G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'PRESENTACIÓN DE RESULTADOS'!$A$2:$A$52</c:f>
              <c:strCache>
                <c:ptCount val="50"/>
                <c:pt idx="0">
                  <c:v>Producto</c:v>
                </c:pt>
                <c:pt idx="1">
                  <c:v>Acido hialuronico</c:v>
                </c:pt>
                <c:pt idx="2">
                  <c:v>Depilación</c:v>
                </c:pt>
                <c:pt idx="3">
                  <c:v>Emsculpt</c:v>
                </c:pt>
                <c:pt idx="4">
                  <c:v>Emtone</c:v>
                </c:pt>
                <c:pt idx="5">
                  <c:v>Exilis </c:v>
                </c:pt>
                <c:pt idx="6">
                  <c:v>Exfoliación </c:v>
                </c:pt>
                <c:pt idx="7">
                  <c:v>Facial purificante</c:v>
                </c:pt>
                <c:pt idx="8">
                  <c:v>Hifu microson</c:v>
                </c:pt>
                <c:pt idx="9">
                  <c:v>Hydrafacial</c:v>
                </c:pt>
                <c:pt idx="10">
                  <c:v>Laboratorios</c:v>
                </c:pt>
                <c:pt idx="11">
                  <c:v>Masaje linfatico</c:v>
                </c:pt>
                <c:pt idx="12">
                  <c:v>Mesoterapia</c:v>
                </c:pt>
                <c:pt idx="13">
                  <c:v>Morpheus</c:v>
                </c:pt>
                <c:pt idx="14">
                  <c:v>Pico-láser</c:v>
                </c:pt>
                <c:pt idx="15">
                  <c:v>Profhilo</c:v>
                </c:pt>
                <c:pt idx="16">
                  <c:v>PRP</c:v>
                </c:pt>
                <c:pt idx="17">
                  <c:v>Radiofrecuencia</c:v>
                </c:pt>
                <c:pt idx="18">
                  <c:v>Ultrasonido</c:v>
                </c:pt>
                <c:pt idx="19">
                  <c:v>Velo de acido hialuronico</c:v>
                </c:pt>
                <c:pt idx="20">
                  <c:v>Velox</c:v>
                </c:pt>
                <c:pt idx="21">
                  <c:v>Vitamina C intravenosa</c:v>
                </c:pt>
                <c:pt idx="22">
                  <c:v>Ciclo coolsculpting</c:v>
                </c:pt>
                <c:pt idx="23">
                  <c:v>Dermapen </c:v>
                </c:pt>
                <c:pt idx="24">
                  <c:v>Láser CO2</c:v>
                </c:pt>
                <c:pt idx="25">
                  <c:v>Masaje relajante </c:v>
                </c:pt>
                <c:pt idx="26">
                  <c:v>Oligoelementos</c:v>
                </c:pt>
                <c:pt idx="27">
                  <c:v>Grow</c:v>
                </c:pt>
                <c:pt idx="28">
                  <c:v>Abonos</c:v>
                </c:pt>
                <c:pt idx="29">
                  <c:v>Celulas madre</c:v>
                </c:pt>
                <c:pt idx="30">
                  <c:v>Peeling</c:v>
                </c:pt>
                <c:pt idx="31">
                  <c:v>Spectra ginecologico</c:v>
                </c:pt>
                <c:pt idx="32">
                  <c:v>Elimación de lunares</c:v>
                </c:pt>
                <c:pt idx="33">
                  <c:v>Botox</c:v>
                </c:pt>
                <c:pt idx="34">
                  <c:v>Encimas</c:v>
                </c:pt>
                <c:pt idx="35">
                  <c:v>Cambio de tratamiento</c:v>
                </c:pt>
                <c:pt idx="36">
                  <c:v>Microdermoabrasión</c:v>
                </c:pt>
                <c:pt idx="37">
                  <c:v>Terapia Luminica</c:v>
                </c:pt>
                <c:pt idx="38">
                  <c:v>Oscilacion</c:v>
                </c:pt>
                <c:pt idx="39">
                  <c:v>Sueros</c:v>
                </c:pt>
                <c:pt idx="40">
                  <c:v>Presoterapia</c:v>
                </c:pt>
                <c:pt idx="41">
                  <c:v>Nioo</c:v>
                </c:pt>
                <c:pt idx="42">
                  <c:v>Sedación</c:v>
                </c:pt>
                <c:pt idx="43">
                  <c:v>Masaje reflexologia</c:v>
                </c:pt>
                <c:pt idx="44">
                  <c:v>Intrasure post-operatorio</c:v>
                </c:pt>
                <c:pt idx="45">
                  <c:v>Mascarilla </c:v>
                </c:pt>
                <c:pt idx="46">
                  <c:v>Hifu Ultra-forme</c:v>
                </c:pt>
                <c:pt idx="47">
                  <c:v>Powershape</c:v>
                </c:pt>
                <c:pt idx="48">
                  <c:v>Emsculpt NEO</c:v>
                </c:pt>
                <c:pt idx="49">
                  <c:v>Exion</c:v>
                </c:pt>
              </c:strCache>
            </c:strRef>
          </c:cat>
          <c:val>
            <c:numRef>
              <c:f>'PRESENTACIÓN DE RESULTADOS'!$N$2:$N$52</c:f>
              <c:numCache>
                <c:formatCode>_("Q"* #,##0.00_);_("Q"* \(#,##0.00\);_("Q"* "-"??_);_(@_)</c:formatCode>
                <c:ptCount val="51"/>
                <c:pt idx="0">
                  <c:v>111886.97</c:v>
                </c:pt>
                <c:pt idx="1">
                  <c:v>259696</c:v>
                </c:pt>
                <c:pt idx="2">
                  <c:v>88154</c:v>
                </c:pt>
                <c:pt idx="3">
                  <c:v>133000</c:v>
                </c:pt>
                <c:pt idx="4">
                  <c:v>148975</c:v>
                </c:pt>
                <c:pt idx="5">
                  <c:v>332202.54000000004</c:v>
                </c:pt>
                <c:pt idx="6">
                  <c:v>0</c:v>
                </c:pt>
                <c:pt idx="7">
                  <c:v>33197.5</c:v>
                </c:pt>
                <c:pt idx="8">
                  <c:v>33000</c:v>
                </c:pt>
                <c:pt idx="9">
                  <c:v>45253</c:v>
                </c:pt>
                <c:pt idx="10">
                  <c:v>5550</c:v>
                </c:pt>
                <c:pt idx="11">
                  <c:v>37349.999949999998</c:v>
                </c:pt>
                <c:pt idx="12">
                  <c:v>87976</c:v>
                </c:pt>
                <c:pt idx="13">
                  <c:v>714460</c:v>
                </c:pt>
                <c:pt idx="14">
                  <c:v>0</c:v>
                </c:pt>
                <c:pt idx="15">
                  <c:v>122500</c:v>
                </c:pt>
                <c:pt idx="16">
                  <c:v>304240</c:v>
                </c:pt>
                <c:pt idx="17">
                  <c:v>157289.5</c:v>
                </c:pt>
                <c:pt idx="18">
                  <c:v>21720</c:v>
                </c:pt>
                <c:pt idx="19">
                  <c:v>1300</c:v>
                </c:pt>
                <c:pt idx="20">
                  <c:v>20450</c:v>
                </c:pt>
                <c:pt idx="21">
                  <c:v>145406</c:v>
                </c:pt>
                <c:pt idx="22">
                  <c:v>45000</c:v>
                </c:pt>
                <c:pt idx="23">
                  <c:v>10200</c:v>
                </c:pt>
                <c:pt idx="24">
                  <c:v>25300</c:v>
                </c:pt>
                <c:pt idx="25">
                  <c:v>24950</c:v>
                </c:pt>
                <c:pt idx="26">
                  <c:v>1400</c:v>
                </c:pt>
                <c:pt idx="27">
                  <c:v>96145.079999999973</c:v>
                </c:pt>
                <c:pt idx="28">
                  <c:v>1000</c:v>
                </c:pt>
                <c:pt idx="29">
                  <c:v>107658</c:v>
                </c:pt>
                <c:pt idx="30">
                  <c:v>29795</c:v>
                </c:pt>
                <c:pt idx="31">
                  <c:v>33800</c:v>
                </c:pt>
                <c:pt idx="32">
                  <c:v>0</c:v>
                </c:pt>
                <c:pt idx="33">
                  <c:v>750659.99211999995</c:v>
                </c:pt>
                <c:pt idx="34">
                  <c:v>0</c:v>
                </c:pt>
                <c:pt idx="35">
                  <c:v>1500</c:v>
                </c:pt>
                <c:pt idx="36">
                  <c:v>350</c:v>
                </c:pt>
                <c:pt idx="37">
                  <c:v>0</c:v>
                </c:pt>
                <c:pt idx="38">
                  <c:v>90610</c:v>
                </c:pt>
                <c:pt idx="39">
                  <c:v>78070</c:v>
                </c:pt>
                <c:pt idx="40">
                  <c:v>250</c:v>
                </c:pt>
                <c:pt idx="41">
                  <c:v>14856</c:v>
                </c:pt>
                <c:pt idx="42">
                  <c:v>2910</c:v>
                </c:pt>
                <c:pt idx="43">
                  <c:v>200</c:v>
                </c:pt>
                <c:pt idx="44">
                  <c:v>205600</c:v>
                </c:pt>
                <c:pt idx="45">
                  <c:v>800</c:v>
                </c:pt>
                <c:pt idx="46">
                  <c:v>226045</c:v>
                </c:pt>
                <c:pt idx="47">
                  <c:v>63796</c:v>
                </c:pt>
                <c:pt idx="48">
                  <c:v>114999.9952</c:v>
                </c:pt>
                <c:pt idx="49">
                  <c:v>126000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56D-470B-9323-B9EA74FFF8F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64"/>
        <c:axId val="959599360"/>
        <c:axId val="959591456"/>
      </c:barChart>
      <c:catAx>
        <c:axId val="9595993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solidFill>
            <a:schemeClr val="bg1"/>
          </a:solidFill>
          <a:ln w="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959591456"/>
        <c:crosses val="autoZero"/>
        <c:auto val="0"/>
        <c:lblAlgn val="ctr"/>
        <c:lblOffset val="100"/>
        <c:noMultiLvlLbl val="0"/>
      </c:catAx>
      <c:valAx>
        <c:axId val="959591456"/>
        <c:scaling>
          <c:orientation val="minMax"/>
        </c:scaling>
        <c:delete val="0"/>
        <c:axPos val="l"/>
        <c:numFmt formatCode="_(&quot;Q&quot;* #,##0.00_);_(&quot;Q&quot;* \(#,##0.00\);_(&quot;Q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959599360"/>
        <c:crossesAt val="1"/>
        <c:crossBetween val="between"/>
      </c:valAx>
      <c:spPr>
        <a:noFill/>
        <a:ln>
          <a:noFill/>
        </a:ln>
        <a:effectLst>
          <a:outerShdw blurRad="50800" dist="38100" dir="13500000" algn="br" rotWithShape="0">
            <a:prstClr val="black">
              <a:alpha val="40000"/>
            </a:prstClr>
          </a:outerShdw>
        </a:effectLst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G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523873</xdr:colOff>
      <xdr:row>0</xdr:row>
      <xdr:rowOff>13607</xdr:rowOff>
    </xdr:from>
    <xdr:to>
      <xdr:col>55</xdr:col>
      <xdr:colOff>272143</xdr:colOff>
      <xdr:row>26</xdr:row>
      <xdr:rowOff>122464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srv-altramedic\Contabilidad\FERNANDA%20LOPEZ\INVERSIONES%202024\Acumulado%20INVERSIONES%202024.xlsx" TargetMode="External"/><Relationship Id="rId1" Type="http://schemas.openxmlformats.org/officeDocument/2006/relationships/externalLinkPath" Target="/FERNANDA%20LOPEZ/INVERSIONES%202024/Acumulado%20INVERSIONES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nero 24"/>
      <sheetName val="Febrero 24"/>
      <sheetName val="Marzo 24"/>
      <sheetName val="Abril 24"/>
      <sheetName val="Mayo 24"/>
      <sheetName val="Junio 24"/>
      <sheetName val="Julio 24"/>
      <sheetName val="Agosto 24"/>
      <sheetName val="Septiembre 24"/>
      <sheetName val="Octubre 24"/>
      <sheetName val="Noviembre 24"/>
      <sheetName val="Diciembre 24"/>
    </sheetNames>
    <sheetDataSet>
      <sheetData sheetId="0">
        <row r="141">
          <cell r="B141">
            <v>290719.59000000003</v>
          </cell>
        </row>
      </sheetData>
      <sheetData sheetId="1">
        <row r="146">
          <cell r="B146">
            <v>356338.85000000003</v>
          </cell>
        </row>
      </sheetData>
      <sheetData sheetId="2">
        <row r="217">
          <cell r="B217">
            <v>498218.59</v>
          </cell>
        </row>
      </sheetData>
      <sheetData sheetId="3">
        <row r="159">
          <cell r="B159">
            <v>329084.09000000003</v>
          </cell>
        </row>
      </sheetData>
      <sheetData sheetId="4">
        <row r="143">
          <cell r="B143">
            <v>386234.69</v>
          </cell>
        </row>
      </sheetData>
      <sheetData sheetId="5">
        <row r="136">
          <cell r="B136">
            <v>392048.58999999997</v>
          </cell>
        </row>
      </sheetData>
      <sheetData sheetId="6">
        <row r="240">
          <cell r="B240">
            <v>594427.09</v>
          </cell>
        </row>
      </sheetData>
      <sheetData sheetId="7">
        <row r="153">
          <cell r="B153">
            <v>381474.09</v>
          </cell>
        </row>
      </sheetData>
      <sheetData sheetId="8">
        <row r="138">
          <cell r="B138">
            <v>341973.08999999997</v>
          </cell>
        </row>
      </sheetData>
      <sheetData sheetId="9">
        <row r="171">
          <cell r="B171">
            <v>411931.09</v>
          </cell>
        </row>
      </sheetData>
      <sheetData sheetId="10">
        <row r="271">
          <cell r="B271">
            <v>628800.64</v>
          </cell>
        </row>
      </sheetData>
      <sheetData sheetId="11">
        <row r="111">
          <cell r="B111">
            <v>244251.09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72"/>
  <sheetViews>
    <sheetView topLeftCell="A160" workbookViewId="0">
      <selection activeCell="H175" sqref="H175"/>
    </sheetView>
  </sheetViews>
  <sheetFormatPr baseColWidth="10" defaultColWidth="9.140625" defaultRowHeight="15" x14ac:dyDescent="0.25"/>
  <cols>
    <col min="1" max="1" width="11.42578125" bestFit="1" customWidth="1"/>
    <col min="2" max="2" width="12.7109375" bestFit="1" customWidth="1"/>
    <col min="3" max="3" width="17.42578125" customWidth="1"/>
    <col min="4" max="4" width="11" customWidth="1"/>
    <col min="5" max="5" width="36.140625" bestFit="1" customWidth="1"/>
    <col min="6" max="6" width="66.7109375" style="1" bestFit="1" customWidth="1"/>
    <col min="7" max="7" width="16.140625" customWidth="1"/>
    <col min="8" max="8" width="14.28515625" bestFit="1" customWidth="1"/>
  </cols>
  <sheetData>
    <row r="1" spans="1:8" ht="15" customHeight="1" x14ac:dyDescent="0.25">
      <c r="A1" s="65" t="s">
        <v>38</v>
      </c>
      <c r="B1" s="72" t="s">
        <v>0</v>
      </c>
      <c r="C1" s="74" t="s">
        <v>1</v>
      </c>
      <c r="D1" s="74" t="s">
        <v>2</v>
      </c>
      <c r="E1" s="74" t="s">
        <v>3</v>
      </c>
      <c r="F1" s="74" t="s">
        <v>8</v>
      </c>
      <c r="G1" s="68" t="s">
        <v>4</v>
      </c>
      <c r="H1" s="70" t="s">
        <v>5</v>
      </c>
    </row>
    <row r="2" spans="1:8" ht="15" customHeight="1" x14ac:dyDescent="0.25">
      <c r="A2" s="66"/>
      <c r="B2" s="73"/>
      <c r="C2" s="75"/>
      <c r="D2" s="75"/>
      <c r="E2" s="75"/>
      <c r="F2" s="75"/>
      <c r="G2" s="69"/>
      <c r="H2" s="71"/>
    </row>
    <row r="3" spans="1:8" ht="20.100000000000001" customHeight="1" x14ac:dyDescent="0.25">
      <c r="A3" s="66"/>
      <c r="B3" s="2">
        <v>45296</v>
      </c>
      <c r="C3" s="3">
        <v>3555935180</v>
      </c>
      <c r="D3" s="3">
        <v>1</v>
      </c>
      <c r="E3" s="4" t="s">
        <v>79</v>
      </c>
      <c r="F3" s="19" t="s">
        <v>116</v>
      </c>
      <c r="G3" s="5" t="s">
        <v>7</v>
      </c>
      <c r="H3" s="6">
        <v>550</v>
      </c>
    </row>
    <row r="4" spans="1:8" ht="20.100000000000001" customHeight="1" x14ac:dyDescent="0.25">
      <c r="A4" s="66"/>
      <c r="B4" s="2">
        <v>45296</v>
      </c>
      <c r="C4" s="3">
        <v>3555935180</v>
      </c>
      <c r="D4" s="3">
        <v>1</v>
      </c>
      <c r="E4" s="4" t="s">
        <v>79</v>
      </c>
      <c r="F4" s="19" t="s">
        <v>117</v>
      </c>
      <c r="G4" s="5" t="s">
        <v>7</v>
      </c>
      <c r="H4" s="6">
        <v>850</v>
      </c>
    </row>
    <row r="5" spans="1:8" ht="30" x14ac:dyDescent="0.25">
      <c r="A5" s="66"/>
      <c r="B5" s="2">
        <v>45296</v>
      </c>
      <c r="C5" s="3">
        <v>889341831</v>
      </c>
      <c r="D5" s="3">
        <v>2</v>
      </c>
      <c r="E5" s="4" t="s">
        <v>118</v>
      </c>
      <c r="F5" s="19" t="s">
        <v>116</v>
      </c>
      <c r="G5" s="5" t="s">
        <v>11</v>
      </c>
      <c r="H5" s="6">
        <v>1100</v>
      </c>
    </row>
    <row r="6" spans="1:8" ht="30" x14ac:dyDescent="0.25">
      <c r="A6" s="66"/>
      <c r="B6" s="2">
        <v>45296</v>
      </c>
      <c r="C6" s="3">
        <v>889341831</v>
      </c>
      <c r="D6" s="3">
        <v>2</v>
      </c>
      <c r="E6" s="4" t="s">
        <v>118</v>
      </c>
      <c r="F6" s="19" t="s">
        <v>117</v>
      </c>
      <c r="G6" s="5" t="s">
        <v>11</v>
      </c>
      <c r="H6" s="6">
        <v>1700</v>
      </c>
    </row>
    <row r="7" spans="1:8" ht="20.100000000000001" customHeight="1" x14ac:dyDescent="0.25">
      <c r="A7" s="66"/>
      <c r="B7" s="2">
        <v>45307</v>
      </c>
      <c r="C7" s="3">
        <v>2980136370</v>
      </c>
      <c r="D7" s="3">
        <v>1</v>
      </c>
      <c r="E7" s="4" t="s">
        <v>85</v>
      </c>
      <c r="F7" s="19" t="s">
        <v>117</v>
      </c>
      <c r="G7" s="5" t="s">
        <v>11</v>
      </c>
      <c r="H7" s="6">
        <v>850</v>
      </c>
    </row>
    <row r="8" spans="1:8" ht="20.100000000000001" customHeight="1" x14ac:dyDescent="0.25">
      <c r="A8" s="66"/>
      <c r="B8" s="2">
        <v>45307</v>
      </c>
      <c r="C8" s="3">
        <v>1221872685</v>
      </c>
      <c r="D8" s="3">
        <v>2</v>
      </c>
      <c r="E8" s="4" t="s">
        <v>59</v>
      </c>
      <c r="F8" s="19" t="s">
        <v>120</v>
      </c>
      <c r="G8" s="5" t="s">
        <v>11</v>
      </c>
      <c r="H8" s="6">
        <v>580</v>
      </c>
    </row>
    <row r="9" spans="1:8" ht="20.100000000000001" customHeight="1" x14ac:dyDescent="0.25">
      <c r="A9" s="66"/>
      <c r="B9" s="2">
        <v>45307</v>
      </c>
      <c r="C9" s="3">
        <v>2186233116</v>
      </c>
      <c r="D9" s="3">
        <v>1</v>
      </c>
      <c r="E9" s="4" t="s">
        <v>119</v>
      </c>
      <c r="F9" s="19" t="s">
        <v>116</v>
      </c>
      <c r="G9" s="5" t="s">
        <v>6</v>
      </c>
      <c r="H9" s="6">
        <v>550</v>
      </c>
    </row>
    <row r="10" spans="1:8" ht="20.100000000000001" customHeight="1" x14ac:dyDescent="0.25">
      <c r="A10" s="66"/>
      <c r="B10" s="2">
        <v>45309</v>
      </c>
      <c r="C10" s="3">
        <v>2259435610</v>
      </c>
      <c r="D10" s="3">
        <v>2</v>
      </c>
      <c r="E10" s="4" t="s">
        <v>121</v>
      </c>
      <c r="F10" s="19" t="s">
        <v>122</v>
      </c>
      <c r="G10" s="5" t="s">
        <v>11</v>
      </c>
      <c r="H10" s="6">
        <v>900</v>
      </c>
    </row>
    <row r="11" spans="1:8" ht="20.100000000000001" customHeight="1" x14ac:dyDescent="0.25">
      <c r="A11" s="66"/>
      <c r="B11" s="2">
        <v>45315</v>
      </c>
      <c r="C11" s="3">
        <v>4134423119</v>
      </c>
      <c r="D11" s="3">
        <v>1</v>
      </c>
      <c r="E11" s="4" t="s">
        <v>123</v>
      </c>
      <c r="F11" s="19" t="s">
        <v>117</v>
      </c>
      <c r="G11" s="5" t="s">
        <v>7</v>
      </c>
      <c r="H11" s="6">
        <v>850</v>
      </c>
    </row>
    <row r="12" spans="1:8" ht="20.100000000000001" customHeight="1" x14ac:dyDescent="0.25">
      <c r="A12" s="66"/>
      <c r="B12" s="2">
        <v>45315</v>
      </c>
      <c r="C12" s="3">
        <v>4134423119</v>
      </c>
      <c r="D12" s="3">
        <v>1</v>
      </c>
      <c r="E12" s="4" t="s">
        <v>123</v>
      </c>
      <c r="F12" s="19" t="s">
        <v>124</v>
      </c>
      <c r="G12" s="5" t="s">
        <v>7</v>
      </c>
      <c r="H12" s="6">
        <v>420</v>
      </c>
    </row>
    <row r="13" spans="1:8" ht="20.100000000000001" customHeight="1" x14ac:dyDescent="0.25">
      <c r="A13" s="66"/>
      <c r="B13" s="2">
        <v>45322</v>
      </c>
      <c r="C13" s="3">
        <v>1725254502</v>
      </c>
      <c r="D13" s="3">
        <v>1</v>
      </c>
      <c r="E13" s="4" t="s">
        <v>125</v>
      </c>
      <c r="F13" s="19" t="s">
        <v>126</v>
      </c>
      <c r="G13" s="5" t="s">
        <v>6</v>
      </c>
      <c r="H13" s="6">
        <v>880</v>
      </c>
    </row>
    <row r="14" spans="1:8" ht="20.100000000000001" customHeight="1" x14ac:dyDescent="0.25">
      <c r="A14" s="66"/>
      <c r="B14" s="2">
        <v>45327</v>
      </c>
      <c r="C14" s="3">
        <v>1349075359</v>
      </c>
      <c r="D14" s="3">
        <v>1</v>
      </c>
      <c r="E14" s="4" t="s">
        <v>196</v>
      </c>
      <c r="F14" s="19" t="s">
        <v>197</v>
      </c>
      <c r="G14" s="5" t="s">
        <v>6</v>
      </c>
      <c r="H14" s="6">
        <v>850</v>
      </c>
    </row>
    <row r="15" spans="1:8" ht="20.100000000000001" customHeight="1" x14ac:dyDescent="0.25">
      <c r="A15" s="66"/>
      <c r="B15" s="2">
        <v>45331</v>
      </c>
      <c r="C15" s="3">
        <v>4224271816</v>
      </c>
      <c r="D15" s="3">
        <v>1</v>
      </c>
      <c r="E15" s="4" t="s">
        <v>198</v>
      </c>
      <c r="F15" s="19" t="s">
        <v>199</v>
      </c>
      <c r="G15" s="5" t="s">
        <v>6</v>
      </c>
      <c r="H15" s="6">
        <v>850</v>
      </c>
    </row>
    <row r="16" spans="1:8" ht="20.100000000000001" customHeight="1" x14ac:dyDescent="0.25">
      <c r="A16" s="66"/>
      <c r="B16" s="2">
        <v>45335</v>
      </c>
      <c r="C16" s="3">
        <v>1498893936</v>
      </c>
      <c r="D16" s="3">
        <v>1</v>
      </c>
      <c r="E16" s="4" t="s">
        <v>200</v>
      </c>
      <c r="F16" s="19" t="s">
        <v>199</v>
      </c>
      <c r="G16" s="5" t="s">
        <v>7</v>
      </c>
      <c r="H16" s="6">
        <v>850</v>
      </c>
    </row>
    <row r="17" spans="1:8" ht="20.100000000000001" customHeight="1" x14ac:dyDescent="0.25">
      <c r="A17" s="66"/>
      <c r="B17" s="2">
        <v>45335</v>
      </c>
      <c r="C17" s="3">
        <v>1498893936</v>
      </c>
      <c r="D17" s="3">
        <v>1</v>
      </c>
      <c r="E17" s="4" t="s">
        <v>200</v>
      </c>
      <c r="F17" s="19" t="s">
        <v>116</v>
      </c>
      <c r="G17" s="5" t="s">
        <v>7</v>
      </c>
      <c r="H17" s="6">
        <v>550</v>
      </c>
    </row>
    <row r="18" spans="1:8" ht="20.100000000000001" customHeight="1" x14ac:dyDescent="0.25">
      <c r="A18" s="66"/>
      <c r="B18" s="2">
        <v>45341</v>
      </c>
      <c r="C18" s="3">
        <v>3959507354</v>
      </c>
      <c r="D18" s="3">
        <v>2</v>
      </c>
      <c r="E18" s="4" t="s">
        <v>59</v>
      </c>
      <c r="F18" s="19" t="s">
        <v>201</v>
      </c>
      <c r="G18" s="5" t="s">
        <v>11</v>
      </c>
      <c r="H18" s="6">
        <v>2560</v>
      </c>
    </row>
    <row r="19" spans="1:8" ht="20.100000000000001" customHeight="1" x14ac:dyDescent="0.25">
      <c r="A19" s="66"/>
      <c r="B19" s="2">
        <v>45343</v>
      </c>
      <c r="C19" s="3">
        <v>2906148830</v>
      </c>
      <c r="D19" s="3">
        <v>1</v>
      </c>
      <c r="E19" s="4" t="s">
        <v>202</v>
      </c>
      <c r="F19" s="19" t="s">
        <v>199</v>
      </c>
      <c r="G19" s="5" t="s">
        <v>6</v>
      </c>
      <c r="H19" s="6">
        <v>850</v>
      </c>
    </row>
    <row r="20" spans="1:8" ht="20.100000000000001" customHeight="1" x14ac:dyDescent="0.25">
      <c r="A20" s="66"/>
      <c r="B20" s="2">
        <v>45343</v>
      </c>
      <c r="C20" s="3">
        <v>3602204070</v>
      </c>
      <c r="D20" s="3">
        <v>1</v>
      </c>
      <c r="E20" s="4" t="s">
        <v>203</v>
      </c>
      <c r="F20" s="19" t="s">
        <v>204</v>
      </c>
      <c r="G20" s="5" t="s">
        <v>6</v>
      </c>
      <c r="H20" s="6">
        <v>450</v>
      </c>
    </row>
    <row r="21" spans="1:8" ht="20.100000000000001" customHeight="1" x14ac:dyDescent="0.25">
      <c r="A21" s="66"/>
      <c r="B21" s="2">
        <v>45343</v>
      </c>
      <c r="C21" s="3">
        <v>3602204070</v>
      </c>
      <c r="D21" s="3">
        <v>1</v>
      </c>
      <c r="E21" s="4" t="s">
        <v>203</v>
      </c>
      <c r="F21" s="19" t="s">
        <v>205</v>
      </c>
      <c r="G21" s="5" t="s">
        <v>6</v>
      </c>
      <c r="H21" s="6">
        <v>320</v>
      </c>
    </row>
    <row r="22" spans="1:8" ht="20.100000000000001" customHeight="1" x14ac:dyDescent="0.25">
      <c r="A22" s="66"/>
      <c r="B22" s="2">
        <v>45344</v>
      </c>
      <c r="C22" s="3">
        <v>4027927837</v>
      </c>
      <c r="D22" s="3">
        <v>1</v>
      </c>
      <c r="E22" s="4" t="s">
        <v>162</v>
      </c>
      <c r="F22" s="19" t="s">
        <v>199</v>
      </c>
      <c r="G22" s="5" t="s">
        <v>11</v>
      </c>
      <c r="H22" s="6">
        <v>850</v>
      </c>
    </row>
    <row r="23" spans="1:8" ht="20.100000000000001" customHeight="1" x14ac:dyDescent="0.25">
      <c r="A23" s="66"/>
      <c r="B23" s="2">
        <v>45345</v>
      </c>
      <c r="C23" s="3">
        <v>29837764</v>
      </c>
      <c r="D23" s="3">
        <v>2</v>
      </c>
      <c r="E23" s="4" t="s">
        <v>156</v>
      </c>
      <c r="F23" s="19" t="s">
        <v>207</v>
      </c>
      <c r="G23" s="5" t="s">
        <v>6</v>
      </c>
      <c r="H23" s="6">
        <v>700</v>
      </c>
    </row>
    <row r="24" spans="1:8" ht="20.100000000000001" customHeight="1" x14ac:dyDescent="0.25">
      <c r="A24" s="66"/>
      <c r="B24" s="2">
        <v>45345</v>
      </c>
      <c r="C24" s="3">
        <v>2390376620</v>
      </c>
      <c r="D24" s="3">
        <v>1</v>
      </c>
      <c r="E24" s="4" t="s">
        <v>206</v>
      </c>
      <c r="F24" s="19" t="s">
        <v>208</v>
      </c>
      <c r="G24" s="5" t="s">
        <v>7</v>
      </c>
      <c r="H24" s="6">
        <v>650</v>
      </c>
    </row>
    <row r="25" spans="1:8" ht="20.100000000000001" customHeight="1" x14ac:dyDescent="0.25">
      <c r="A25" s="66"/>
      <c r="B25" s="2">
        <v>45345</v>
      </c>
      <c r="C25" s="3">
        <v>2390376620</v>
      </c>
      <c r="D25" s="3">
        <v>1</v>
      </c>
      <c r="E25" s="4" t="s">
        <v>206</v>
      </c>
      <c r="F25" s="19" t="s">
        <v>207</v>
      </c>
      <c r="G25" s="5" t="s">
        <v>7</v>
      </c>
      <c r="H25" s="6">
        <v>350</v>
      </c>
    </row>
    <row r="26" spans="1:8" ht="20.100000000000001" customHeight="1" x14ac:dyDescent="0.25">
      <c r="A26" s="66"/>
      <c r="B26" s="2">
        <v>45345</v>
      </c>
      <c r="C26" s="3">
        <v>4261498165</v>
      </c>
      <c r="D26" s="3">
        <v>1</v>
      </c>
      <c r="E26" s="4" t="s">
        <v>209</v>
      </c>
      <c r="F26" s="19" t="s">
        <v>204</v>
      </c>
      <c r="G26" s="5" t="s">
        <v>6</v>
      </c>
      <c r="H26" s="6">
        <v>217.72</v>
      </c>
    </row>
    <row r="27" spans="1:8" ht="20.100000000000001" customHeight="1" x14ac:dyDescent="0.25">
      <c r="A27" s="66"/>
      <c r="B27" s="2">
        <v>45350</v>
      </c>
      <c r="C27" s="3">
        <v>1573799748</v>
      </c>
      <c r="D27" s="3">
        <v>1</v>
      </c>
      <c r="E27" s="4" t="s">
        <v>210</v>
      </c>
      <c r="F27" s="19" t="s">
        <v>211</v>
      </c>
      <c r="G27" s="5" t="s">
        <v>6</v>
      </c>
      <c r="H27" s="6">
        <v>420</v>
      </c>
    </row>
    <row r="28" spans="1:8" ht="20.100000000000001" customHeight="1" x14ac:dyDescent="0.25">
      <c r="A28" s="66"/>
      <c r="B28" s="2">
        <v>45350</v>
      </c>
      <c r="C28" s="3">
        <v>1237076442</v>
      </c>
      <c r="D28" s="3">
        <v>4</v>
      </c>
      <c r="E28" s="4" t="s">
        <v>59</v>
      </c>
      <c r="F28" s="19" t="s">
        <v>120</v>
      </c>
      <c r="G28" s="5" t="s">
        <v>11</v>
      </c>
      <c r="H28" s="6">
        <v>1160</v>
      </c>
    </row>
    <row r="29" spans="1:8" ht="20.100000000000001" customHeight="1" x14ac:dyDescent="0.25">
      <c r="A29" s="66"/>
      <c r="B29" s="2">
        <v>45357</v>
      </c>
      <c r="C29" s="3">
        <v>2918336822</v>
      </c>
      <c r="D29" s="3">
        <v>1</v>
      </c>
      <c r="E29" s="4" t="s">
        <v>212</v>
      </c>
      <c r="F29" s="19" t="s">
        <v>290</v>
      </c>
      <c r="G29" s="5" t="s">
        <v>6</v>
      </c>
      <c r="H29" s="6">
        <v>580</v>
      </c>
    </row>
    <row r="30" spans="1:8" ht="20.100000000000001" customHeight="1" x14ac:dyDescent="0.25">
      <c r="A30" s="66"/>
      <c r="B30" s="2">
        <v>45358</v>
      </c>
      <c r="C30" s="3">
        <v>949701435</v>
      </c>
      <c r="D30" s="3">
        <v>1</v>
      </c>
      <c r="E30" s="4" t="s">
        <v>59</v>
      </c>
      <c r="F30" s="19" t="s">
        <v>291</v>
      </c>
      <c r="G30" s="5" t="s">
        <v>11</v>
      </c>
      <c r="H30" s="6">
        <v>900</v>
      </c>
    </row>
    <row r="31" spans="1:8" ht="20.100000000000001" customHeight="1" x14ac:dyDescent="0.25">
      <c r="A31" s="66"/>
      <c r="B31" s="2">
        <v>45358</v>
      </c>
      <c r="C31" s="3">
        <v>949701435</v>
      </c>
      <c r="D31" s="3">
        <v>1</v>
      </c>
      <c r="E31" s="4" t="s">
        <v>59</v>
      </c>
      <c r="F31" s="19" t="s">
        <v>292</v>
      </c>
      <c r="G31" s="5" t="s">
        <v>11</v>
      </c>
      <c r="H31" s="6">
        <v>596</v>
      </c>
    </row>
    <row r="32" spans="1:8" ht="20.100000000000001" customHeight="1" x14ac:dyDescent="0.25">
      <c r="A32" s="66"/>
      <c r="B32" s="2">
        <v>45358</v>
      </c>
      <c r="C32" s="3">
        <v>2791131138</v>
      </c>
      <c r="D32" s="3">
        <v>1</v>
      </c>
      <c r="E32" s="4" t="s">
        <v>293</v>
      </c>
      <c r="F32" s="19" t="s">
        <v>294</v>
      </c>
      <c r="G32" s="5" t="s">
        <v>6</v>
      </c>
      <c r="H32" s="6">
        <v>280</v>
      </c>
    </row>
    <row r="33" spans="1:8" ht="20.100000000000001" customHeight="1" x14ac:dyDescent="0.25">
      <c r="A33" s="66"/>
      <c r="B33" s="2">
        <v>45363</v>
      </c>
      <c r="C33" s="3">
        <v>4056829543</v>
      </c>
      <c r="D33" s="3">
        <v>1</v>
      </c>
      <c r="E33" s="4" t="s">
        <v>202</v>
      </c>
      <c r="F33" s="19" t="s">
        <v>117</v>
      </c>
      <c r="G33" s="5" t="s">
        <v>10</v>
      </c>
      <c r="H33" s="6">
        <v>850</v>
      </c>
    </row>
    <row r="34" spans="1:8" ht="20.100000000000001" customHeight="1" x14ac:dyDescent="0.25">
      <c r="A34" s="66"/>
      <c r="B34" s="2">
        <v>45363</v>
      </c>
      <c r="C34" s="3">
        <v>4257106175</v>
      </c>
      <c r="D34" s="3">
        <v>1</v>
      </c>
      <c r="E34" s="4" t="s">
        <v>295</v>
      </c>
      <c r="F34" s="19" t="s">
        <v>296</v>
      </c>
      <c r="G34" s="5" t="s">
        <v>7</v>
      </c>
      <c r="H34" s="6">
        <v>420</v>
      </c>
    </row>
    <row r="35" spans="1:8" ht="20.100000000000001" customHeight="1" x14ac:dyDescent="0.25">
      <c r="A35" s="66"/>
      <c r="B35" s="2">
        <v>45363</v>
      </c>
      <c r="C35" s="3">
        <v>4257106175</v>
      </c>
      <c r="D35" s="3">
        <v>1</v>
      </c>
      <c r="E35" s="4" t="s">
        <v>295</v>
      </c>
      <c r="F35" s="19" t="s">
        <v>122</v>
      </c>
      <c r="G35" s="5" t="s">
        <v>7</v>
      </c>
      <c r="H35" s="6">
        <v>450</v>
      </c>
    </row>
    <row r="36" spans="1:8" ht="20.100000000000001" customHeight="1" x14ac:dyDescent="0.25">
      <c r="A36" s="66"/>
      <c r="B36" s="2">
        <v>45365</v>
      </c>
      <c r="C36" s="3">
        <v>3896462466</v>
      </c>
      <c r="D36" s="3">
        <v>1</v>
      </c>
      <c r="E36" s="4" t="s">
        <v>250</v>
      </c>
      <c r="F36" s="19" t="s">
        <v>294</v>
      </c>
      <c r="G36" s="5" t="s">
        <v>6</v>
      </c>
      <c r="H36" s="6">
        <v>280</v>
      </c>
    </row>
    <row r="37" spans="1:8" ht="20.100000000000001" customHeight="1" x14ac:dyDescent="0.25">
      <c r="A37" s="66"/>
      <c r="B37" s="2">
        <v>45366</v>
      </c>
      <c r="C37" s="3">
        <v>1058947235</v>
      </c>
      <c r="D37" s="3">
        <v>1</v>
      </c>
      <c r="E37" s="4" t="s">
        <v>81</v>
      </c>
      <c r="F37" s="19" t="s">
        <v>294</v>
      </c>
      <c r="G37" s="5" t="s">
        <v>7</v>
      </c>
      <c r="H37" s="6">
        <v>280</v>
      </c>
    </row>
    <row r="38" spans="1:8" ht="20.100000000000001" customHeight="1" x14ac:dyDescent="0.25">
      <c r="A38" s="66"/>
      <c r="B38" s="2">
        <v>45371</v>
      </c>
      <c r="C38" s="3">
        <v>2611496389</v>
      </c>
      <c r="D38" s="3">
        <v>1</v>
      </c>
      <c r="E38" s="4" t="s">
        <v>106</v>
      </c>
      <c r="F38" s="19" t="s">
        <v>297</v>
      </c>
      <c r="G38" s="5" t="s">
        <v>7</v>
      </c>
      <c r="H38" s="6">
        <v>450</v>
      </c>
    </row>
    <row r="39" spans="1:8" ht="20.100000000000001" customHeight="1" x14ac:dyDescent="0.25">
      <c r="A39" s="66"/>
      <c r="B39" s="2">
        <v>45371</v>
      </c>
      <c r="C39" s="3">
        <v>679037730</v>
      </c>
      <c r="D39" s="3">
        <v>1</v>
      </c>
      <c r="E39" s="4" t="s">
        <v>298</v>
      </c>
      <c r="F39" s="19" t="s">
        <v>297</v>
      </c>
      <c r="G39" s="5" t="s">
        <v>7</v>
      </c>
      <c r="H39" s="6">
        <v>450</v>
      </c>
    </row>
    <row r="40" spans="1:8" ht="20.100000000000001" customHeight="1" x14ac:dyDescent="0.25">
      <c r="A40" s="66"/>
      <c r="B40" s="2">
        <v>45371</v>
      </c>
      <c r="C40" s="3">
        <v>679037730</v>
      </c>
      <c r="D40" s="3">
        <v>1</v>
      </c>
      <c r="E40" s="4" t="s">
        <v>298</v>
      </c>
      <c r="F40" s="19" t="s">
        <v>122</v>
      </c>
      <c r="G40" s="5" t="s">
        <v>7</v>
      </c>
      <c r="H40" s="6">
        <v>450</v>
      </c>
    </row>
    <row r="41" spans="1:8" ht="15.75" x14ac:dyDescent="0.25">
      <c r="A41" s="66"/>
      <c r="B41" s="2">
        <v>45371</v>
      </c>
      <c r="C41" s="3">
        <v>2948940576</v>
      </c>
      <c r="D41" s="3">
        <v>1</v>
      </c>
      <c r="E41" s="4" t="s">
        <v>299</v>
      </c>
      <c r="F41" s="19" t="s">
        <v>117</v>
      </c>
      <c r="G41" s="5" t="s">
        <v>7</v>
      </c>
      <c r="H41" s="6">
        <v>850</v>
      </c>
    </row>
    <row r="42" spans="1:8" ht="15.75" x14ac:dyDescent="0.25">
      <c r="A42" s="66"/>
      <c r="B42" s="2">
        <v>45372</v>
      </c>
      <c r="C42" s="3">
        <v>2788051740</v>
      </c>
      <c r="D42" s="3">
        <v>1</v>
      </c>
      <c r="E42" s="4" t="s">
        <v>300</v>
      </c>
      <c r="F42" s="19" t="s">
        <v>116</v>
      </c>
      <c r="G42" s="5" t="s">
        <v>11</v>
      </c>
      <c r="H42" s="6">
        <v>550</v>
      </c>
    </row>
    <row r="43" spans="1:8" ht="20.100000000000001" customHeight="1" x14ac:dyDescent="0.25">
      <c r="A43" s="66"/>
      <c r="B43" s="2">
        <v>45372</v>
      </c>
      <c r="C43" s="3">
        <v>4156506623</v>
      </c>
      <c r="D43" s="3">
        <v>1</v>
      </c>
      <c r="E43" s="4" t="s">
        <v>300</v>
      </c>
      <c r="F43" s="19" t="s">
        <v>122</v>
      </c>
      <c r="G43" s="5" t="s">
        <v>11</v>
      </c>
      <c r="H43" s="6">
        <v>450</v>
      </c>
    </row>
    <row r="44" spans="1:8" ht="20.100000000000001" customHeight="1" x14ac:dyDescent="0.25">
      <c r="A44" s="66"/>
      <c r="B44" s="2">
        <v>45383</v>
      </c>
      <c r="C44" s="3">
        <v>3434957148</v>
      </c>
      <c r="D44" s="3">
        <v>1</v>
      </c>
      <c r="E44" s="4" t="s">
        <v>202</v>
      </c>
      <c r="F44" s="19" t="s">
        <v>456</v>
      </c>
      <c r="G44" s="5" t="s">
        <v>11</v>
      </c>
      <c r="H44" s="6">
        <v>850</v>
      </c>
    </row>
    <row r="45" spans="1:8" ht="20.100000000000001" customHeight="1" x14ac:dyDescent="0.25">
      <c r="A45" s="66"/>
      <c r="B45" s="2">
        <v>45384</v>
      </c>
      <c r="C45" s="3">
        <v>173884984</v>
      </c>
      <c r="D45" s="3">
        <v>1</v>
      </c>
      <c r="E45" s="4" t="s">
        <v>457</v>
      </c>
      <c r="F45" s="19" t="s">
        <v>294</v>
      </c>
      <c r="G45" s="5" t="s">
        <v>7</v>
      </c>
      <c r="H45" s="6">
        <v>280</v>
      </c>
    </row>
    <row r="46" spans="1:8" ht="20.100000000000001" customHeight="1" x14ac:dyDescent="0.25">
      <c r="A46" s="66"/>
      <c r="B46" s="2">
        <v>45386</v>
      </c>
      <c r="C46" s="3">
        <v>3667673662</v>
      </c>
      <c r="D46" s="3">
        <v>1</v>
      </c>
      <c r="E46" s="4" t="s">
        <v>458</v>
      </c>
      <c r="F46" s="19" t="s">
        <v>116</v>
      </c>
      <c r="G46" s="5" t="s">
        <v>6</v>
      </c>
      <c r="H46" s="6">
        <v>550</v>
      </c>
    </row>
    <row r="47" spans="1:8" ht="20.100000000000001" customHeight="1" x14ac:dyDescent="0.25">
      <c r="A47" s="66"/>
      <c r="B47" s="2">
        <v>45387</v>
      </c>
      <c r="C47" s="3">
        <v>3695988484</v>
      </c>
      <c r="D47" s="3">
        <v>2</v>
      </c>
      <c r="E47" s="4" t="s">
        <v>459</v>
      </c>
      <c r="F47" s="19" t="s">
        <v>294</v>
      </c>
      <c r="G47" s="5" t="s">
        <v>6</v>
      </c>
      <c r="H47" s="6">
        <v>560</v>
      </c>
    </row>
    <row r="48" spans="1:8" ht="20.100000000000001" customHeight="1" x14ac:dyDescent="0.25">
      <c r="A48" s="66"/>
      <c r="B48" s="2">
        <v>45387</v>
      </c>
      <c r="C48" s="3">
        <v>3695988484</v>
      </c>
      <c r="D48" s="3">
        <v>1</v>
      </c>
      <c r="E48" s="4" t="s">
        <v>459</v>
      </c>
      <c r="F48" s="19" t="s">
        <v>460</v>
      </c>
      <c r="G48" s="5" t="s">
        <v>6</v>
      </c>
      <c r="H48" s="6">
        <v>420</v>
      </c>
    </row>
    <row r="49" spans="1:8" ht="20.100000000000001" customHeight="1" x14ac:dyDescent="0.25">
      <c r="A49" s="66"/>
      <c r="B49" s="2">
        <v>45387</v>
      </c>
      <c r="C49" s="3">
        <v>3695988484</v>
      </c>
      <c r="D49" s="3">
        <v>1</v>
      </c>
      <c r="E49" s="4" t="s">
        <v>459</v>
      </c>
      <c r="F49" s="19" t="s">
        <v>199</v>
      </c>
      <c r="G49" s="5" t="s">
        <v>6</v>
      </c>
      <c r="H49" s="6">
        <v>850</v>
      </c>
    </row>
    <row r="50" spans="1:8" ht="20.100000000000001" customHeight="1" x14ac:dyDescent="0.25">
      <c r="A50" s="66"/>
      <c r="B50" s="2">
        <v>45387</v>
      </c>
      <c r="C50" s="3">
        <v>1457213430</v>
      </c>
      <c r="D50" s="3">
        <v>1</v>
      </c>
      <c r="E50" s="4" t="s">
        <v>461</v>
      </c>
      <c r="F50" s="19" t="s">
        <v>294</v>
      </c>
      <c r="G50" s="5" t="s">
        <v>7</v>
      </c>
      <c r="H50" s="6">
        <v>280</v>
      </c>
    </row>
    <row r="51" spans="1:8" ht="20.100000000000001" customHeight="1" x14ac:dyDescent="0.25">
      <c r="A51" s="66"/>
      <c r="B51" s="2">
        <v>45387</v>
      </c>
      <c r="C51" s="3">
        <v>2598979692</v>
      </c>
      <c r="D51" s="3">
        <v>1</v>
      </c>
      <c r="E51" s="4" t="s">
        <v>462</v>
      </c>
      <c r="F51" s="19" t="s">
        <v>199</v>
      </c>
      <c r="G51" s="5" t="s">
        <v>11</v>
      </c>
      <c r="H51" s="6">
        <v>850</v>
      </c>
    </row>
    <row r="52" spans="1:8" ht="20.100000000000001" customHeight="1" x14ac:dyDescent="0.25">
      <c r="A52" s="66"/>
      <c r="B52" s="2">
        <v>45393</v>
      </c>
      <c r="C52" s="3">
        <v>3493416607</v>
      </c>
      <c r="D52" s="3">
        <v>1</v>
      </c>
      <c r="E52" s="4" t="s">
        <v>463</v>
      </c>
      <c r="F52" s="19" t="s">
        <v>294</v>
      </c>
      <c r="G52" s="5" t="s">
        <v>11</v>
      </c>
      <c r="H52" s="6">
        <v>280</v>
      </c>
    </row>
    <row r="53" spans="1:8" ht="20.100000000000001" customHeight="1" x14ac:dyDescent="0.25">
      <c r="A53" s="66"/>
      <c r="B53" s="2">
        <v>45393</v>
      </c>
      <c r="C53" s="3">
        <v>847072703</v>
      </c>
      <c r="D53" s="3">
        <v>1</v>
      </c>
      <c r="E53" s="4" t="s">
        <v>464</v>
      </c>
      <c r="F53" s="19" t="s">
        <v>199</v>
      </c>
      <c r="G53" s="5" t="s">
        <v>6</v>
      </c>
      <c r="H53" s="6">
        <v>850</v>
      </c>
    </row>
    <row r="54" spans="1:8" ht="20.100000000000001" customHeight="1" x14ac:dyDescent="0.25">
      <c r="A54" s="66"/>
      <c r="B54" s="2">
        <v>45394</v>
      </c>
      <c r="C54" s="3">
        <v>910181423</v>
      </c>
      <c r="D54" s="3">
        <v>1</v>
      </c>
      <c r="E54" s="4" t="s">
        <v>251</v>
      </c>
      <c r="F54" s="19" t="s">
        <v>465</v>
      </c>
      <c r="G54" s="5" t="s">
        <v>6</v>
      </c>
      <c r="H54" s="6">
        <v>650</v>
      </c>
    </row>
    <row r="55" spans="1:8" ht="20.100000000000001" customHeight="1" x14ac:dyDescent="0.25">
      <c r="A55" s="66"/>
      <c r="B55" s="2">
        <v>45400</v>
      </c>
      <c r="C55" s="3">
        <v>4122493492</v>
      </c>
      <c r="D55" s="3">
        <v>1</v>
      </c>
      <c r="E55" s="4" t="s">
        <v>206</v>
      </c>
      <c r="F55" s="19" t="s">
        <v>466</v>
      </c>
      <c r="G55" s="5" t="s">
        <v>19</v>
      </c>
      <c r="H55" s="6">
        <v>650</v>
      </c>
    </row>
    <row r="56" spans="1:8" ht="20.100000000000001" customHeight="1" x14ac:dyDescent="0.25">
      <c r="A56" s="66"/>
      <c r="B56" s="2">
        <v>45400</v>
      </c>
      <c r="C56" s="3">
        <v>52775396</v>
      </c>
      <c r="D56" s="3">
        <v>1</v>
      </c>
      <c r="E56" s="4" t="s">
        <v>467</v>
      </c>
      <c r="F56" s="19" t="s">
        <v>116</v>
      </c>
      <c r="G56" s="5" t="s">
        <v>6</v>
      </c>
      <c r="H56" s="6">
        <v>550</v>
      </c>
    </row>
    <row r="57" spans="1:8" ht="20.100000000000001" customHeight="1" x14ac:dyDescent="0.25">
      <c r="A57" s="66"/>
      <c r="B57" s="2">
        <v>45400</v>
      </c>
      <c r="C57" s="3">
        <v>2878947999</v>
      </c>
      <c r="D57" s="3">
        <v>1</v>
      </c>
      <c r="E57" s="4" t="s">
        <v>468</v>
      </c>
      <c r="F57" s="19" t="s">
        <v>199</v>
      </c>
      <c r="G57" s="5" t="s">
        <v>7</v>
      </c>
      <c r="H57" s="6">
        <v>850</v>
      </c>
    </row>
    <row r="58" spans="1:8" ht="20.100000000000001" customHeight="1" x14ac:dyDescent="0.25">
      <c r="A58" s="66"/>
      <c r="B58" s="2">
        <v>45400</v>
      </c>
      <c r="C58" s="3">
        <v>2878947999</v>
      </c>
      <c r="D58" s="3">
        <v>1</v>
      </c>
      <c r="E58" s="4" t="s">
        <v>468</v>
      </c>
      <c r="F58" s="19" t="s">
        <v>469</v>
      </c>
      <c r="G58" s="5" t="s">
        <v>7</v>
      </c>
      <c r="H58" s="6">
        <v>350</v>
      </c>
    </row>
    <row r="59" spans="1:8" ht="20.100000000000001" customHeight="1" x14ac:dyDescent="0.25">
      <c r="A59" s="66"/>
      <c r="B59" s="2">
        <v>45400</v>
      </c>
      <c r="C59" s="3">
        <v>2878947999</v>
      </c>
      <c r="D59" s="3">
        <v>1</v>
      </c>
      <c r="E59" s="4" t="s">
        <v>468</v>
      </c>
      <c r="F59" s="19" t="s">
        <v>470</v>
      </c>
      <c r="G59" s="5" t="s">
        <v>7</v>
      </c>
      <c r="H59" s="6">
        <v>280</v>
      </c>
    </row>
    <row r="60" spans="1:8" ht="20.100000000000001" customHeight="1" x14ac:dyDescent="0.25">
      <c r="A60" s="66"/>
      <c r="B60" s="2">
        <v>45400</v>
      </c>
      <c r="C60" s="3">
        <v>2878947999</v>
      </c>
      <c r="D60" s="3">
        <v>1</v>
      </c>
      <c r="E60" s="4" t="s">
        <v>468</v>
      </c>
      <c r="F60" s="19" t="s">
        <v>294</v>
      </c>
      <c r="G60" s="5" t="s">
        <v>7</v>
      </c>
      <c r="H60" s="6">
        <v>280</v>
      </c>
    </row>
    <row r="61" spans="1:8" ht="20.100000000000001" customHeight="1" x14ac:dyDescent="0.25">
      <c r="A61" s="66"/>
      <c r="B61" s="2">
        <v>45400</v>
      </c>
      <c r="C61" s="3">
        <v>3693102747</v>
      </c>
      <c r="D61" s="3">
        <v>1</v>
      </c>
      <c r="E61" s="4" t="s">
        <v>471</v>
      </c>
      <c r="F61" s="19" t="s">
        <v>472</v>
      </c>
      <c r="G61" s="5" t="s">
        <v>11</v>
      </c>
      <c r="H61" s="6">
        <v>450</v>
      </c>
    </row>
    <row r="62" spans="1:8" ht="20.100000000000001" customHeight="1" x14ac:dyDescent="0.25">
      <c r="A62" s="66"/>
      <c r="B62" s="2">
        <v>45404</v>
      </c>
      <c r="C62" s="3">
        <v>775834032</v>
      </c>
      <c r="D62" s="3">
        <v>1</v>
      </c>
      <c r="E62" s="4" t="s">
        <v>119</v>
      </c>
      <c r="F62" s="19" t="s">
        <v>199</v>
      </c>
      <c r="G62" s="5" t="s">
        <v>6</v>
      </c>
      <c r="H62" s="6">
        <v>850</v>
      </c>
    </row>
    <row r="63" spans="1:8" ht="20.100000000000001" customHeight="1" x14ac:dyDescent="0.25">
      <c r="A63" s="66"/>
      <c r="B63" s="2">
        <v>45412</v>
      </c>
      <c r="C63" s="3">
        <v>3848161816</v>
      </c>
      <c r="D63" s="3">
        <v>1</v>
      </c>
      <c r="E63" s="4" t="s">
        <v>473</v>
      </c>
      <c r="F63" s="19" t="s">
        <v>199</v>
      </c>
      <c r="G63" s="5" t="s">
        <v>7</v>
      </c>
      <c r="H63" s="6">
        <v>850</v>
      </c>
    </row>
    <row r="64" spans="1:8" ht="20.100000000000001" customHeight="1" x14ac:dyDescent="0.25">
      <c r="A64" s="66"/>
      <c r="B64" s="2">
        <v>45414</v>
      </c>
      <c r="C64" s="3">
        <v>2748203484</v>
      </c>
      <c r="D64" s="3">
        <v>1</v>
      </c>
      <c r="E64" s="4" t="s">
        <v>561</v>
      </c>
      <c r="F64" s="19" t="s">
        <v>199</v>
      </c>
      <c r="G64" s="5" t="s">
        <v>6</v>
      </c>
      <c r="H64" s="6">
        <v>850</v>
      </c>
    </row>
    <row r="65" spans="1:8" ht="20.100000000000001" customHeight="1" x14ac:dyDescent="0.25">
      <c r="A65" s="66"/>
      <c r="B65" s="2">
        <v>45418</v>
      </c>
      <c r="C65" s="3">
        <v>3619245717</v>
      </c>
      <c r="D65" s="3">
        <v>1</v>
      </c>
      <c r="E65" s="4" t="s">
        <v>562</v>
      </c>
      <c r="F65" s="19" t="s">
        <v>563</v>
      </c>
      <c r="G65" s="5" t="s">
        <v>6</v>
      </c>
      <c r="H65" s="6">
        <v>900</v>
      </c>
    </row>
    <row r="66" spans="1:8" ht="20.100000000000001" customHeight="1" x14ac:dyDescent="0.25">
      <c r="A66" s="66"/>
      <c r="B66" s="2">
        <v>45418</v>
      </c>
      <c r="C66" s="3">
        <v>3619245717</v>
      </c>
      <c r="D66" s="3">
        <v>1</v>
      </c>
      <c r="E66" s="4" t="s">
        <v>562</v>
      </c>
      <c r="F66" s="19" t="s">
        <v>564</v>
      </c>
      <c r="G66" s="5" t="s">
        <v>11</v>
      </c>
      <c r="H66" s="6">
        <v>200</v>
      </c>
    </row>
    <row r="67" spans="1:8" ht="15.75" x14ac:dyDescent="0.25">
      <c r="A67" s="66"/>
      <c r="B67" s="2">
        <v>45429</v>
      </c>
      <c r="C67" s="3">
        <v>2079408841</v>
      </c>
      <c r="D67" s="3">
        <v>1</v>
      </c>
      <c r="E67" s="4" t="s">
        <v>565</v>
      </c>
      <c r="F67" s="19" t="s">
        <v>199</v>
      </c>
      <c r="G67" s="5" t="s">
        <v>6</v>
      </c>
      <c r="H67" s="6">
        <v>850</v>
      </c>
    </row>
    <row r="68" spans="1:8" ht="20.100000000000001" customHeight="1" x14ac:dyDescent="0.25">
      <c r="A68" s="66"/>
      <c r="B68" s="2">
        <v>45429</v>
      </c>
      <c r="C68" s="3">
        <v>1199263095</v>
      </c>
      <c r="D68" s="3">
        <v>1</v>
      </c>
      <c r="E68" s="4" t="s">
        <v>566</v>
      </c>
      <c r="F68" s="19" t="s">
        <v>116</v>
      </c>
      <c r="G68" s="5" t="s">
        <v>6</v>
      </c>
      <c r="H68" s="6">
        <v>550</v>
      </c>
    </row>
    <row r="69" spans="1:8" ht="20.100000000000001" customHeight="1" x14ac:dyDescent="0.25">
      <c r="A69" s="66"/>
      <c r="B69" s="2">
        <v>45440</v>
      </c>
      <c r="C69" s="3">
        <v>1734886493</v>
      </c>
      <c r="D69" s="3">
        <v>1</v>
      </c>
      <c r="E69" s="4" t="s">
        <v>567</v>
      </c>
      <c r="F69" s="19" t="s">
        <v>294</v>
      </c>
      <c r="G69" s="5" t="s">
        <v>6</v>
      </c>
      <c r="H69" s="6">
        <v>280</v>
      </c>
    </row>
    <row r="70" spans="1:8" ht="20.100000000000001" customHeight="1" x14ac:dyDescent="0.25">
      <c r="A70" s="66"/>
      <c r="B70" s="2">
        <v>45441</v>
      </c>
      <c r="C70" s="3">
        <v>1692156041</v>
      </c>
      <c r="D70" s="3">
        <v>1</v>
      </c>
      <c r="E70" s="4" t="s">
        <v>568</v>
      </c>
      <c r="F70" s="19" t="s">
        <v>569</v>
      </c>
      <c r="G70" s="5" t="s">
        <v>6</v>
      </c>
      <c r="H70" s="6">
        <v>380</v>
      </c>
    </row>
    <row r="71" spans="1:8" ht="20.100000000000001" customHeight="1" x14ac:dyDescent="0.25">
      <c r="A71" s="66"/>
      <c r="B71" s="2">
        <v>45443</v>
      </c>
      <c r="C71" s="3">
        <v>2167098021</v>
      </c>
      <c r="D71" s="3">
        <v>1</v>
      </c>
      <c r="E71" s="4" t="s">
        <v>228</v>
      </c>
      <c r="F71" s="19" t="s">
        <v>116</v>
      </c>
      <c r="G71" s="5" t="s">
        <v>6</v>
      </c>
      <c r="H71" s="6">
        <v>550</v>
      </c>
    </row>
    <row r="72" spans="1:8" ht="20.100000000000001" customHeight="1" x14ac:dyDescent="0.25">
      <c r="A72" s="66"/>
      <c r="B72" s="2">
        <v>45454</v>
      </c>
      <c r="C72" s="3">
        <v>1079067845</v>
      </c>
      <c r="D72" s="3">
        <v>1</v>
      </c>
      <c r="E72" s="4" t="s">
        <v>657</v>
      </c>
      <c r="F72" s="19" t="s">
        <v>116</v>
      </c>
      <c r="G72" s="5" t="s">
        <v>7</v>
      </c>
      <c r="H72" s="6">
        <v>550</v>
      </c>
    </row>
    <row r="73" spans="1:8" ht="20.100000000000001" customHeight="1" x14ac:dyDescent="0.25">
      <c r="A73" s="66"/>
      <c r="B73" s="2">
        <v>45454</v>
      </c>
      <c r="C73" s="3">
        <v>1079067845</v>
      </c>
      <c r="D73" s="3">
        <v>1</v>
      </c>
      <c r="E73" s="4" t="s">
        <v>657</v>
      </c>
      <c r="F73" s="19" t="s">
        <v>658</v>
      </c>
      <c r="G73" s="5" t="s">
        <v>7</v>
      </c>
      <c r="H73" s="6">
        <v>850</v>
      </c>
    </row>
    <row r="74" spans="1:8" ht="20.100000000000001" customHeight="1" x14ac:dyDescent="0.25">
      <c r="A74" s="66"/>
      <c r="B74" s="2">
        <v>45455</v>
      </c>
      <c r="C74" s="3">
        <v>2768716344</v>
      </c>
      <c r="D74" s="3">
        <v>1</v>
      </c>
      <c r="E74" s="4" t="s">
        <v>202</v>
      </c>
      <c r="F74" s="19" t="s">
        <v>658</v>
      </c>
      <c r="G74" s="5" t="s">
        <v>10</v>
      </c>
      <c r="H74" s="6">
        <v>850</v>
      </c>
    </row>
    <row r="75" spans="1:8" ht="20.100000000000001" customHeight="1" x14ac:dyDescent="0.25">
      <c r="A75" s="66"/>
      <c r="B75" s="2">
        <v>45455</v>
      </c>
      <c r="C75" s="3">
        <v>3490924841</v>
      </c>
      <c r="D75" s="3">
        <v>1</v>
      </c>
      <c r="E75" s="4" t="s">
        <v>659</v>
      </c>
      <c r="F75" s="19" t="s">
        <v>660</v>
      </c>
      <c r="G75" s="5" t="s">
        <v>6</v>
      </c>
      <c r="H75" s="6">
        <v>550</v>
      </c>
    </row>
    <row r="76" spans="1:8" ht="20.100000000000001" customHeight="1" x14ac:dyDescent="0.25">
      <c r="A76" s="66"/>
      <c r="B76" s="2">
        <v>45461</v>
      </c>
      <c r="C76" s="3">
        <v>2075607868</v>
      </c>
      <c r="D76" s="3">
        <v>1</v>
      </c>
      <c r="E76" s="4" t="s">
        <v>661</v>
      </c>
      <c r="F76" s="19" t="s">
        <v>662</v>
      </c>
      <c r="G76" s="5" t="s">
        <v>6</v>
      </c>
      <c r="H76" s="6">
        <v>450</v>
      </c>
    </row>
    <row r="77" spans="1:8" ht="20.100000000000001" customHeight="1" x14ac:dyDescent="0.25">
      <c r="A77" s="66"/>
      <c r="B77" s="2">
        <v>45461</v>
      </c>
      <c r="C77" s="3">
        <v>113396615</v>
      </c>
      <c r="D77" s="3">
        <v>1</v>
      </c>
      <c r="E77" s="4" t="s">
        <v>663</v>
      </c>
      <c r="F77" s="19" t="s">
        <v>116</v>
      </c>
      <c r="G77" s="5" t="s">
        <v>7</v>
      </c>
      <c r="H77" s="6">
        <v>550</v>
      </c>
    </row>
    <row r="78" spans="1:8" ht="20.100000000000001" customHeight="1" x14ac:dyDescent="0.25">
      <c r="A78" s="66"/>
      <c r="B78" s="2">
        <v>45462</v>
      </c>
      <c r="C78" s="3">
        <v>237061341</v>
      </c>
      <c r="D78" s="3">
        <v>1</v>
      </c>
      <c r="E78" s="4" t="s">
        <v>664</v>
      </c>
      <c r="F78" s="19" t="s">
        <v>665</v>
      </c>
      <c r="G78" s="5" t="s">
        <v>6</v>
      </c>
      <c r="H78" s="6">
        <v>450</v>
      </c>
    </row>
    <row r="79" spans="1:8" ht="20.100000000000001" customHeight="1" x14ac:dyDescent="0.25">
      <c r="A79" s="66"/>
      <c r="B79" s="2">
        <v>45464</v>
      </c>
      <c r="C79" s="3">
        <v>1200442043</v>
      </c>
      <c r="D79" s="3">
        <v>2</v>
      </c>
      <c r="E79" s="4" t="s">
        <v>493</v>
      </c>
      <c r="F79" s="19" t="s">
        <v>122</v>
      </c>
      <c r="G79" s="5" t="s">
        <v>6</v>
      </c>
      <c r="H79" s="6">
        <v>900</v>
      </c>
    </row>
    <row r="80" spans="1:8" ht="20.100000000000001" customHeight="1" x14ac:dyDescent="0.25">
      <c r="A80" s="66"/>
      <c r="B80" s="2">
        <v>45464</v>
      </c>
      <c r="C80" s="3">
        <v>1200442043</v>
      </c>
      <c r="D80" s="3">
        <v>1</v>
      </c>
      <c r="E80" s="4" t="s">
        <v>493</v>
      </c>
      <c r="F80" s="19" t="s">
        <v>297</v>
      </c>
      <c r="G80" s="5" t="s">
        <v>6</v>
      </c>
      <c r="H80" s="6">
        <v>450</v>
      </c>
    </row>
    <row r="81" spans="1:8" ht="20.100000000000001" customHeight="1" x14ac:dyDescent="0.25">
      <c r="A81" s="66"/>
      <c r="B81" s="2">
        <v>45470</v>
      </c>
      <c r="C81" s="3">
        <v>2994622322</v>
      </c>
      <c r="D81" s="3">
        <v>2</v>
      </c>
      <c r="E81" s="4" t="s">
        <v>666</v>
      </c>
      <c r="F81" s="19" t="s">
        <v>116</v>
      </c>
      <c r="G81" s="5" t="s">
        <v>6</v>
      </c>
      <c r="H81" s="6">
        <v>1100</v>
      </c>
    </row>
    <row r="82" spans="1:8" ht="20.100000000000001" customHeight="1" x14ac:dyDescent="0.25">
      <c r="A82" s="66"/>
      <c r="B82" s="2">
        <v>45470</v>
      </c>
      <c r="C82" s="3">
        <v>2994622322</v>
      </c>
      <c r="D82" s="3">
        <v>2</v>
      </c>
      <c r="E82" s="4" t="s">
        <v>666</v>
      </c>
      <c r="F82" s="19" t="s">
        <v>658</v>
      </c>
      <c r="G82" s="5" t="s">
        <v>6</v>
      </c>
      <c r="H82" s="6">
        <v>1700</v>
      </c>
    </row>
    <row r="83" spans="1:8" ht="20.100000000000001" customHeight="1" x14ac:dyDescent="0.25">
      <c r="A83" s="66"/>
      <c r="B83" s="2">
        <v>45471</v>
      </c>
      <c r="C83" s="3">
        <v>3358017658</v>
      </c>
      <c r="D83" s="3">
        <v>1</v>
      </c>
      <c r="E83" s="4" t="s">
        <v>202</v>
      </c>
      <c r="F83" s="19" t="s">
        <v>658</v>
      </c>
      <c r="G83" s="5" t="s">
        <v>6</v>
      </c>
      <c r="H83" s="6">
        <v>850</v>
      </c>
    </row>
    <row r="84" spans="1:8" ht="20.100000000000001" customHeight="1" x14ac:dyDescent="0.25">
      <c r="A84" s="66"/>
      <c r="B84" s="2">
        <v>45471</v>
      </c>
      <c r="C84" s="3">
        <v>1979728015</v>
      </c>
      <c r="D84" s="3">
        <v>1</v>
      </c>
      <c r="E84" s="4" t="s">
        <v>667</v>
      </c>
      <c r="F84" s="19" t="s">
        <v>658</v>
      </c>
      <c r="G84" s="5" t="s">
        <v>6</v>
      </c>
      <c r="H84" s="6">
        <v>850</v>
      </c>
    </row>
    <row r="85" spans="1:8" ht="20.100000000000001" customHeight="1" x14ac:dyDescent="0.25">
      <c r="A85" s="66"/>
      <c r="B85" s="2">
        <v>45471</v>
      </c>
      <c r="C85" s="3">
        <v>1631535668</v>
      </c>
      <c r="D85" s="3">
        <v>1</v>
      </c>
      <c r="E85" s="4" t="s">
        <v>668</v>
      </c>
      <c r="F85" s="19" t="s">
        <v>669</v>
      </c>
      <c r="G85" s="5" t="s">
        <v>6</v>
      </c>
      <c r="H85" s="6">
        <v>450</v>
      </c>
    </row>
    <row r="86" spans="1:8" ht="20.100000000000001" customHeight="1" x14ac:dyDescent="0.25">
      <c r="A86" s="66"/>
      <c r="B86" s="2">
        <v>45475</v>
      </c>
      <c r="C86" s="3">
        <v>1667582458</v>
      </c>
      <c r="D86" s="3">
        <v>1</v>
      </c>
      <c r="E86" s="4" t="s">
        <v>752</v>
      </c>
      <c r="F86" s="19" t="s">
        <v>465</v>
      </c>
      <c r="G86" s="5" t="s">
        <v>7</v>
      </c>
      <c r="H86" s="6">
        <v>650</v>
      </c>
    </row>
    <row r="87" spans="1:8" ht="20.100000000000001" customHeight="1" x14ac:dyDescent="0.25">
      <c r="A87" s="66"/>
      <c r="B87" s="2">
        <v>45475</v>
      </c>
      <c r="C87" s="3">
        <v>1667582458</v>
      </c>
      <c r="D87" s="3">
        <v>1</v>
      </c>
      <c r="E87" s="4" t="s">
        <v>752</v>
      </c>
      <c r="F87" s="19" t="s">
        <v>753</v>
      </c>
      <c r="G87" s="5" t="s">
        <v>7</v>
      </c>
      <c r="H87" s="6">
        <v>380</v>
      </c>
    </row>
    <row r="88" spans="1:8" ht="20.100000000000001" customHeight="1" x14ac:dyDescent="0.25">
      <c r="A88" s="66"/>
      <c r="B88" s="2">
        <v>45476</v>
      </c>
      <c r="C88" s="3">
        <v>944261054</v>
      </c>
      <c r="D88" s="3">
        <v>1</v>
      </c>
      <c r="E88" s="4" t="s">
        <v>683</v>
      </c>
      <c r="F88" s="19" t="s">
        <v>754</v>
      </c>
      <c r="G88" s="5" t="s">
        <v>6</v>
      </c>
      <c r="H88" s="6">
        <v>420</v>
      </c>
    </row>
    <row r="89" spans="1:8" ht="20.100000000000001" customHeight="1" x14ac:dyDescent="0.25">
      <c r="A89" s="66"/>
      <c r="B89" s="2">
        <v>45478</v>
      </c>
      <c r="C89" s="3">
        <v>2102150564</v>
      </c>
      <c r="D89" s="3">
        <v>1</v>
      </c>
      <c r="E89" s="4" t="s">
        <v>755</v>
      </c>
      <c r="F89" s="19" t="s">
        <v>294</v>
      </c>
      <c r="G89" s="5" t="s">
        <v>7</v>
      </c>
      <c r="H89" s="6">
        <v>280</v>
      </c>
    </row>
    <row r="90" spans="1:8" ht="20.100000000000001" customHeight="1" x14ac:dyDescent="0.25">
      <c r="A90" s="66"/>
      <c r="B90" s="2">
        <v>45496</v>
      </c>
      <c r="C90" s="3">
        <v>4160833512</v>
      </c>
      <c r="D90" s="3">
        <v>1</v>
      </c>
      <c r="E90" s="4" t="s">
        <v>756</v>
      </c>
      <c r="F90" s="19" t="s">
        <v>116</v>
      </c>
      <c r="G90" s="5" t="s">
        <v>7</v>
      </c>
      <c r="H90" s="6">
        <v>550</v>
      </c>
    </row>
    <row r="91" spans="1:8" ht="20.100000000000001" customHeight="1" x14ac:dyDescent="0.25">
      <c r="A91" s="66"/>
      <c r="B91" s="2">
        <v>45496</v>
      </c>
      <c r="C91" s="3">
        <v>4160833512</v>
      </c>
      <c r="D91" s="3">
        <v>1</v>
      </c>
      <c r="E91" s="4" t="s">
        <v>756</v>
      </c>
      <c r="F91" s="19" t="s">
        <v>199</v>
      </c>
      <c r="G91" s="5" t="s">
        <v>7</v>
      </c>
      <c r="H91" s="6">
        <v>850</v>
      </c>
    </row>
    <row r="92" spans="1:8" ht="20.100000000000001" customHeight="1" x14ac:dyDescent="0.25">
      <c r="A92" s="66"/>
      <c r="B92" s="2">
        <v>45496</v>
      </c>
      <c r="C92" s="3">
        <v>3174777804</v>
      </c>
      <c r="D92" s="3">
        <v>1</v>
      </c>
      <c r="E92" s="4" t="s">
        <v>757</v>
      </c>
      <c r="F92" s="19" t="s">
        <v>758</v>
      </c>
      <c r="G92" s="5" t="s">
        <v>7</v>
      </c>
      <c r="H92" s="6">
        <v>450</v>
      </c>
    </row>
    <row r="93" spans="1:8" ht="20.100000000000001" customHeight="1" x14ac:dyDescent="0.25">
      <c r="A93" s="66"/>
      <c r="B93" s="2">
        <v>45498</v>
      </c>
      <c r="C93" s="3">
        <v>2638037201</v>
      </c>
      <c r="D93" s="3">
        <v>1</v>
      </c>
      <c r="E93" s="4" t="s">
        <v>228</v>
      </c>
      <c r="F93" s="19" t="s">
        <v>754</v>
      </c>
      <c r="G93" s="5" t="s">
        <v>7</v>
      </c>
      <c r="H93" s="6">
        <v>420</v>
      </c>
    </row>
    <row r="94" spans="1:8" ht="20.100000000000001" customHeight="1" x14ac:dyDescent="0.25">
      <c r="A94" s="66"/>
      <c r="B94" s="2">
        <v>45498</v>
      </c>
      <c r="C94" s="3">
        <v>1479688387</v>
      </c>
      <c r="D94" s="3">
        <v>1</v>
      </c>
      <c r="E94" s="4" t="s">
        <v>759</v>
      </c>
      <c r="F94" s="19" t="s">
        <v>204</v>
      </c>
      <c r="G94" s="5" t="s">
        <v>11</v>
      </c>
      <c r="H94" s="6">
        <v>450</v>
      </c>
    </row>
    <row r="95" spans="1:8" ht="20.100000000000001" customHeight="1" x14ac:dyDescent="0.25">
      <c r="A95" s="66"/>
      <c r="B95" s="2">
        <v>45499</v>
      </c>
      <c r="C95" s="3">
        <v>619004969</v>
      </c>
      <c r="D95" s="3">
        <v>1</v>
      </c>
      <c r="E95" s="4" t="s">
        <v>760</v>
      </c>
      <c r="F95" s="19" t="s">
        <v>294</v>
      </c>
      <c r="G95" s="5" t="s">
        <v>7</v>
      </c>
      <c r="H95" s="6">
        <v>280</v>
      </c>
    </row>
    <row r="96" spans="1:8" ht="20.100000000000001" customHeight="1" x14ac:dyDescent="0.25">
      <c r="A96" s="66"/>
      <c r="B96" s="2">
        <v>45499</v>
      </c>
      <c r="C96" s="3">
        <v>565593569</v>
      </c>
      <c r="D96" s="3">
        <v>1</v>
      </c>
      <c r="E96" s="4" t="s">
        <v>610</v>
      </c>
      <c r="F96" s="19" t="s">
        <v>758</v>
      </c>
      <c r="G96" s="5" t="s">
        <v>7</v>
      </c>
      <c r="H96" s="6">
        <v>450</v>
      </c>
    </row>
    <row r="97" spans="1:8" ht="20.100000000000001" customHeight="1" x14ac:dyDescent="0.25">
      <c r="A97" s="66"/>
      <c r="B97" s="2">
        <v>45499</v>
      </c>
      <c r="C97" s="3">
        <v>4105715886</v>
      </c>
      <c r="D97" s="3">
        <v>1</v>
      </c>
      <c r="E97" s="4" t="s">
        <v>761</v>
      </c>
      <c r="F97" s="19" t="s">
        <v>762</v>
      </c>
      <c r="G97" s="5" t="s">
        <v>6</v>
      </c>
      <c r="H97" s="6">
        <v>630</v>
      </c>
    </row>
    <row r="98" spans="1:8" ht="20.100000000000001" customHeight="1" x14ac:dyDescent="0.25">
      <c r="A98" s="66"/>
      <c r="B98" s="2">
        <v>45499</v>
      </c>
      <c r="C98" s="3">
        <v>4105715886</v>
      </c>
      <c r="D98" s="3">
        <v>1</v>
      </c>
      <c r="E98" s="4" t="s">
        <v>761</v>
      </c>
      <c r="F98" s="19" t="s">
        <v>763</v>
      </c>
      <c r="G98" s="5" t="s">
        <v>6</v>
      </c>
      <c r="H98" s="6">
        <v>400</v>
      </c>
    </row>
    <row r="99" spans="1:8" ht="20.100000000000001" customHeight="1" x14ac:dyDescent="0.25">
      <c r="A99" s="66"/>
      <c r="B99" s="2">
        <v>45503</v>
      </c>
      <c r="C99" s="3">
        <v>904480135</v>
      </c>
      <c r="D99" s="3">
        <v>1</v>
      </c>
      <c r="E99" s="4" t="s">
        <v>764</v>
      </c>
      <c r="F99" s="19" t="s">
        <v>753</v>
      </c>
      <c r="G99" s="5" t="s">
        <v>11</v>
      </c>
      <c r="H99" s="6">
        <v>380</v>
      </c>
    </row>
    <row r="100" spans="1:8" ht="20.100000000000001" customHeight="1" x14ac:dyDescent="0.25">
      <c r="A100" s="66"/>
      <c r="B100" s="2">
        <v>45504</v>
      </c>
      <c r="C100" s="3">
        <v>2114209742</v>
      </c>
      <c r="D100" s="3">
        <v>1</v>
      </c>
      <c r="E100" s="4" t="s">
        <v>683</v>
      </c>
      <c r="F100" s="19" t="s">
        <v>294</v>
      </c>
      <c r="G100" s="5" t="s">
        <v>10</v>
      </c>
      <c r="H100" s="6">
        <v>280</v>
      </c>
    </row>
    <row r="101" spans="1:8" ht="20.100000000000001" customHeight="1" x14ac:dyDescent="0.25">
      <c r="A101" s="66"/>
      <c r="B101" s="2">
        <v>45504</v>
      </c>
      <c r="C101" s="3">
        <v>2114209742</v>
      </c>
      <c r="D101" s="3">
        <v>1</v>
      </c>
      <c r="E101" s="4" t="s">
        <v>683</v>
      </c>
      <c r="F101" s="19" t="s">
        <v>199</v>
      </c>
      <c r="G101" s="5" t="s">
        <v>10</v>
      </c>
      <c r="H101" s="6">
        <v>850</v>
      </c>
    </row>
    <row r="102" spans="1:8" ht="20.100000000000001" customHeight="1" x14ac:dyDescent="0.25">
      <c r="A102" s="66"/>
      <c r="B102" s="2">
        <v>45504</v>
      </c>
      <c r="C102" s="3">
        <v>2114209742</v>
      </c>
      <c r="D102" s="3">
        <v>1</v>
      </c>
      <c r="E102" s="4" t="s">
        <v>683</v>
      </c>
      <c r="F102" s="19" t="s">
        <v>116</v>
      </c>
      <c r="G102" s="5" t="s">
        <v>10</v>
      </c>
      <c r="H102" s="6">
        <v>550</v>
      </c>
    </row>
    <row r="103" spans="1:8" ht="20.100000000000001" customHeight="1" x14ac:dyDescent="0.25">
      <c r="A103" s="66"/>
      <c r="B103" s="2">
        <v>45504</v>
      </c>
      <c r="C103" s="3">
        <v>1022312923</v>
      </c>
      <c r="D103" s="3">
        <v>1</v>
      </c>
      <c r="E103" s="4" t="s">
        <v>467</v>
      </c>
      <c r="F103" s="19" t="s">
        <v>207</v>
      </c>
      <c r="G103" s="5" t="s">
        <v>6</v>
      </c>
      <c r="H103" s="6">
        <v>350</v>
      </c>
    </row>
    <row r="104" spans="1:8" ht="20.100000000000001" customHeight="1" x14ac:dyDescent="0.25">
      <c r="A104" s="66"/>
      <c r="B104" s="2">
        <v>45504</v>
      </c>
      <c r="C104" s="3">
        <v>4189536657</v>
      </c>
      <c r="D104" s="3">
        <v>4</v>
      </c>
      <c r="E104" s="4" t="s">
        <v>119</v>
      </c>
      <c r="F104" s="19" t="s">
        <v>116</v>
      </c>
      <c r="G104" s="5" t="s">
        <v>6</v>
      </c>
      <c r="H104" s="6">
        <v>2200</v>
      </c>
    </row>
    <row r="105" spans="1:8" ht="20.100000000000001" customHeight="1" x14ac:dyDescent="0.25">
      <c r="A105" s="66"/>
      <c r="B105" s="2">
        <v>45504</v>
      </c>
      <c r="C105" s="3">
        <v>913000973</v>
      </c>
      <c r="D105" s="3">
        <v>1</v>
      </c>
      <c r="E105" s="4" t="s">
        <v>269</v>
      </c>
      <c r="F105" s="19" t="s">
        <v>199</v>
      </c>
      <c r="G105" s="5" t="s">
        <v>6</v>
      </c>
      <c r="H105" s="6">
        <v>850</v>
      </c>
    </row>
    <row r="106" spans="1:8" ht="20.100000000000001" customHeight="1" x14ac:dyDescent="0.25">
      <c r="A106" s="66"/>
      <c r="B106" s="2">
        <v>45506</v>
      </c>
      <c r="C106" s="3">
        <v>162480219</v>
      </c>
      <c r="D106" s="3">
        <v>1</v>
      </c>
      <c r="E106" s="4" t="s">
        <v>883</v>
      </c>
      <c r="F106" s="19" t="s">
        <v>199</v>
      </c>
      <c r="G106" s="5" t="s">
        <v>7</v>
      </c>
      <c r="H106" s="6">
        <v>850</v>
      </c>
    </row>
    <row r="107" spans="1:8" ht="20.100000000000001" customHeight="1" x14ac:dyDescent="0.25">
      <c r="A107" s="66"/>
      <c r="B107" s="2">
        <v>45506</v>
      </c>
      <c r="C107" s="3">
        <v>162480219</v>
      </c>
      <c r="D107" s="3">
        <v>1</v>
      </c>
      <c r="E107" s="4" t="s">
        <v>883</v>
      </c>
      <c r="F107" s="19" t="s">
        <v>884</v>
      </c>
      <c r="G107" s="5" t="s">
        <v>7</v>
      </c>
      <c r="H107" s="6">
        <v>550</v>
      </c>
    </row>
    <row r="108" spans="1:8" ht="20.100000000000001" customHeight="1" x14ac:dyDescent="0.25">
      <c r="A108" s="66"/>
      <c r="B108" s="2">
        <v>45509</v>
      </c>
      <c r="C108" s="3">
        <v>1905478834</v>
      </c>
      <c r="D108" s="3">
        <v>1</v>
      </c>
      <c r="E108" s="4" t="s">
        <v>228</v>
      </c>
      <c r="F108" s="19" t="s">
        <v>885</v>
      </c>
      <c r="G108" s="5" t="s">
        <v>6</v>
      </c>
      <c r="H108" s="6">
        <v>550</v>
      </c>
    </row>
    <row r="109" spans="1:8" ht="20.100000000000001" customHeight="1" x14ac:dyDescent="0.25">
      <c r="A109" s="66"/>
      <c r="B109" s="2">
        <v>45509</v>
      </c>
      <c r="C109" s="3">
        <v>1905478834</v>
      </c>
      <c r="D109" s="3">
        <v>1</v>
      </c>
      <c r="E109" s="4" t="s">
        <v>228</v>
      </c>
      <c r="F109" s="19" t="s">
        <v>886</v>
      </c>
      <c r="G109" s="5" t="s">
        <v>11</v>
      </c>
      <c r="H109" s="6">
        <v>300</v>
      </c>
    </row>
    <row r="110" spans="1:8" ht="20.100000000000001" customHeight="1" x14ac:dyDescent="0.25">
      <c r="A110" s="66"/>
      <c r="B110" s="2">
        <v>45509</v>
      </c>
      <c r="C110" s="3">
        <v>933773783</v>
      </c>
      <c r="D110" s="3">
        <v>1</v>
      </c>
      <c r="E110" s="4" t="s">
        <v>887</v>
      </c>
      <c r="F110" s="19" t="s">
        <v>199</v>
      </c>
      <c r="G110" s="5" t="s">
        <v>7</v>
      </c>
      <c r="H110" s="6">
        <v>850</v>
      </c>
    </row>
    <row r="111" spans="1:8" ht="20.100000000000001" customHeight="1" x14ac:dyDescent="0.25">
      <c r="A111" s="66"/>
      <c r="B111" s="2">
        <v>45509</v>
      </c>
      <c r="C111" s="3">
        <v>933773783</v>
      </c>
      <c r="D111" s="3">
        <v>1</v>
      </c>
      <c r="E111" s="4" t="s">
        <v>887</v>
      </c>
      <c r="F111" s="19" t="s">
        <v>888</v>
      </c>
      <c r="G111" s="5" t="s">
        <v>7</v>
      </c>
      <c r="H111" s="6">
        <v>810</v>
      </c>
    </row>
    <row r="112" spans="1:8" ht="20.100000000000001" customHeight="1" x14ac:dyDescent="0.25">
      <c r="A112" s="66"/>
      <c r="B112" s="2">
        <v>45509</v>
      </c>
      <c r="C112" s="3">
        <v>933773783</v>
      </c>
      <c r="D112" s="3">
        <v>1</v>
      </c>
      <c r="E112" s="4" t="s">
        <v>887</v>
      </c>
      <c r="F112" s="19" t="s">
        <v>296</v>
      </c>
      <c r="G112" s="5" t="s">
        <v>7</v>
      </c>
      <c r="H112" s="6">
        <v>420</v>
      </c>
    </row>
    <row r="113" spans="1:8" ht="20.100000000000001" customHeight="1" x14ac:dyDescent="0.25">
      <c r="A113" s="66"/>
      <c r="B113" s="2">
        <v>45512</v>
      </c>
      <c r="C113" s="3">
        <v>746212280</v>
      </c>
      <c r="D113" s="3">
        <v>1</v>
      </c>
      <c r="E113" s="4" t="s">
        <v>714</v>
      </c>
      <c r="F113" s="19" t="s">
        <v>889</v>
      </c>
      <c r="G113" s="5" t="s">
        <v>7</v>
      </c>
      <c r="H113" s="6">
        <v>850</v>
      </c>
    </row>
    <row r="114" spans="1:8" ht="20.100000000000001" customHeight="1" x14ac:dyDescent="0.25">
      <c r="A114" s="66"/>
      <c r="B114" s="2">
        <v>45520</v>
      </c>
      <c r="C114" s="3">
        <v>2385397103</v>
      </c>
      <c r="D114" s="3">
        <v>2</v>
      </c>
      <c r="E114" s="4" t="s">
        <v>890</v>
      </c>
      <c r="F114" s="19" t="s">
        <v>891</v>
      </c>
      <c r="G114" s="5" t="s">
        <v>7</v>
      </c>
      <c r="H114" s="6">
        <v>1100</v>
      </c>
    </row>
    <row r="115" spans="1:8" ht="20.100000000000001" customHeight="1" x14ac:dyDescent="0.25">
      <c r="A115" s="66"/>
      <c r="B115" s="2">
        <v>45527</v>
      </c>
      <c r="C115" s="3">
        <v>1019825319</v>
      </c>
      <c r="D115" s="3">
        <v>2</v>
      </c>
      <c r="E115" s="4" t="s">
        <v>892</v>
      </c>
      <c r="F115" s="19" t="s">
        <v>199</v>
      </c>
      <c r="G115" s="5" t="s">
        <v>6</v>
      </c>
      <c r="H115" s="6">
        <v>1700</v>
      </c>
    </row>
    <row r="116" spans="1:8" ht="15.75" x14ac:dyDescent="0.25">
      <c r="A116" s="66"/>
      <c r="B116" s="2">
        <v>45534</v>
      </c>
      <c r="C116" s="3">
        <v>2782547274</v>
      </c>
      <c r="D116" s="3">
        <v>1</v>
      </c>
      <c r="E116" s="4" t="s">
        <v>431</v>
      </c>
      <c r="F116" s="19" t="s">
        <v>297</v>
      </c>
      <c r="G116" s="5" t="s">
        <v>7</v>
      </c>
      <c r="H116" s="6">
        <v>450</v>
      </c>
    </row>
    <row r="117" spans="1:8" ht="15.75" x14ac:dyDescent="0.25">
      <c r="A117" s="66"/>
      <c r="B117" s="2">
        <v>45544</v>
      </c>
      <c r="C117" s="3">
        <v>489900255</v>
      </c>
      <c r="D117" s="3">
        <v>1</v>
      </c>
      <c r="E117" s="4" t="s">
        <v>966</v>
      </c>
      <c r="F117" s="19" t="s">
        <v>117</v>
      </c>
      <c r="G117" s="5" t="s">
        <v>6</v>
      </c>
      <c r="H117" s="6">
        <v>850</v>
      </c>
    </row>
    <row r="118" spans="1:8" ht="15.75" x14ac:dyDescent="0.25">
      <c r="A118" s="66"/>
      <c r="B118" s="2">
        <v>45544</v>
      </c>
      <c r="C118" s="3">
        <v>489900255</v>
      </c>
      <c r="D118" s="3">
        <v>1</v>
      </c>
      <c r="E118" s="4" t="s">
        <v>966</v>
      </c>
      <c r="F118" s="19" t="s">
        <v>116</v>
      </c>
      <c r="G118" s="5" t="s">
        <v>6</v>
      </c>
      <c r="H118" s="6">
        <v>550</v>
      </c>
    </row>
    <row r="119" spans="1:8" ht="20.100000000000001" customHeight="1" x14ac:dyDescent="0.25">
      <c r="A119" s="66"/>
      <c r="B119" s="2">
        <v>45555</v>
      </c>
      <c r="C119" s="3">
        <v>2045329713</v>
      </c>
      <c r="D119" s="3">
        <v>1</v>
      </c>
      <c r="E119" s="4" t="s">
        <v>967</v>
      </c>
      <c r="F119" s="19" t="s">
        <v>968</v>
      </c>
      <c r="G119" s="5" t="s">
        <v>6</v>
      </c>
      <c r="H119" s="6">
        <v>650</v>
      </c>
    </row>
    <row r="120" spans="1:8" ht="20.100000000000001" customHeight="1" x14ac:dyDescent="0.25">
      <c r="A120" s="66"/>
      <c r="B120" s="2">
        <v>45555</v>
      </c>
      <c r="C120" s="3">
        <v>2769633603</v>
      </c>
      <c r="D120" s="3">
        <v>1</v>
      </c>
      <c r="E120" s="4" t="s">
        <v>95</v>
      </c>
      <c r="F120" s="19" t="s">
        <v>465</v>
      </c>
      <c r="G120" s="5" t="s">
        <v>7</v>
      </c>
      <c r="H120" s="6">
        <v>650</v>
      </c>
    </row>
    <row r="121" spans="1:8" ht="20.100000000000001" customHeight="1" x14ac:dyDescent="0.25">
      <c r="A121" s="66"/>
      <c r="B121" s="2">
        <v>45558</v>
      </c>
      <c r="C121" s="3">
        <v>630867513</v>
      </c>
      <c r="D121" s="3">
        <v>1</v>
      </c>
      <c r="E121" s="4" t="s">
        <v>969</v>
      </c>
      <c r="F121" s="19" t="s">
        <v>117</v>
      </c>
      <c r="G121" s="5" t="s">
        <v>7</v>
      </c>
      <c r="H121" s="6">
        <v>850</v>
      </c>
    </row>
    <row r="122" spans="1:8" ht="20.100000000000001" customHeight="1" x14ac:dyDescent="0.25">
      <c r="A122" s="66"/>
      <c r="B122" s="2">
        <v>45558</v>
      </c>
      <c r="C122" s="3">
        <v>630867513</v>
      </c>
      <c r="D122" s="3">
        <v>1</v>
      </c>
      <c r="E122" s="4" t="s">
        <v>969</v>
      </c>
      <c r="F122" s="19" t="s">
        <v>116</v>
      </c>
      <c r="G122" s="5" t="s">
        <v>7</v>
      </c>
      <c r="H122" s="6">
        <v>550</v>
      </c>
    </row>
    <row r="123" spans="1:8" ht="20.100000000000001" customHeight="1" x14ac:dyDescent="0.25">
      <c r="A123" s="66"/>
      <c r="B123" s="2">
        <v>45560</v>
      </c>
      <c r="C123" s="3">
        <v>2009219234</v>
      </c>
      <c r="D123" s="3">
        <v>1</v>
      </c>
      <c r="E123" s="4" t="s">
        <v>562</v>
      </c>
      <c r="F123" s="19" t="s">
        <v>116</v>
      </c>
      <c r="G123" s="5" t="s">
        <v>7</v>
      </c>
      <c r="H123" s="6">
        <v>550</v>
      </c>
    </row>
    <row r="124" spans="1:8" ht="20.100000000000001" customHeight="1" x14ac:dyDescent="0.25">
      <c r="A124" s="66"/>
      <c r="B124" s="2">
        <v>45560</v>
      </c>
      <c r="C124" s="3">
        <v>2333098415</v>
      </c>
      <c r="D124" s="3">
        <v>2</v>
      </c>
      <c r="E124" s="4" t="s">
        <v>321</v>
      </c>
      <c r="F124" s="19" t="s">
        <v>970</v>
      </c>
      <c r="G124" s="5" t="s">
        <v>6</v>
      </c>
      <c r="H124" s="6">
        <v>900</v>
      </c>
    </row>
    <row r="125" spans="1:8" ht="20.100000000000001" customHeight="1" x14ac:dyDescent="0.25">
      <c r="A125" s="66"/>
      <c r="B125" s="2">
        <v>45560</v>
      </c>
      <c r="C125" s="3">
        <v>308038113</v>
      </c>
      <c r="D125" s="3">
        <v>1</v>
      </c>
      <c r="E125" s="4" t="s">
        <v>971</v>
      </c>
      <c r="F125" s="19" t="s">
        <v>970</v>
      </c>
      <c r="G125" s="5" t="s">
        <v>6</v>
      </c>
      <c r="H125" s="6">
        <v>450</v>
      </c>
    </row>
    <row r="126" spans="1:8" ht="20.100000000000001" customHeight="1" x14ac:dyDescent="0.25">
      <c r="A126" s="66"/>
      <c r="B126" s="2">
        <v>45567</v>
      </c>
      <c r="C126" s="3">
        <v>3062779579</v>
      </c>
      <c r="D126" s="3">
        <v>1</v>
      </c>
      <c r="E126" s="4" t="s">
        <v>1033</v>
      </c>
      <c r="F126" s="19" t="s">
        <v>1034</v>
      </c>
      <c r="G126" s="5" t="s">
        <v>11</v>
      </c>
      <c r="H126" s="6">
        <v>380</v>
      </c>
    </row>
    <row r="127" spans="1:8" ht="20.100000000000001" customHeight="1" x14ac:dyDescent="0.25">
      <c r="A127" s="66"/>
      <c r="B127" s="2">
        <v>45567</v>
      </c>
      <c r="C127" s="3">
        <v>3062779579</v>
      </c>
      <c r="D127" s="3">
        <v>1</v>
      </c>
      <c r="E127" s="4" t="s">
        <v>1033</v>
      </c>
      <c r="F127" s="19" t="s">
        <v>116</v>
      </c>
      <c r="G127" s="5" t="s">
        <v>11</v>
      </c>
      <c r="H127" s="6">
        <v>550</v>
      </c>
    </row>
    <row r="128" spans="1:8" ht="20.100000000000001" customHeight="1" x14ac:dyDescent="0.25">
      <c r="A128" s="66"/>
      <c r="B128" s="2">
        <v>45567</v>
      </c>
      <c r="C128" s="3">
        <v>3062779579</v>
      </c>
      <c r="D128" s="3">
        <v>1</v>
      </c>
      <c r="E128" s="4" t="s">
        <v>1033</v>
      </c>
      <c r="F128" s="19" t="s">
        <v>117</v>
      </c>
      <c r="G128" s="5" t="s">
        <v>11</v>
      </c>
      <c r="H128" s="6">
        <v>850</v>
      </c>
    </row>
    <row r="129" spans="1:8" ht="20.100000000000001" customHeight="1" x14ac:dyDescent="0.25">
      <c r="A129" s="66"/>
      <c r="B129" s="2">
        <v>45568</v>
      </c>
      <c r="C129" s="3">
        <v>1689668894</v>
      </c>
      <c r="D129" s="3">
        <v>1</v>
      </c>
      <c r="E129" s="4" t="s">
        <v>59</v>
      </c>
      <c r="F129" s="19" t="s">
        <v>201</v>
      </c>
      <c r="G129" s="5" t="s">
        <v>11</v>
      </c>
      <c r="H129" s="6">
        <v>1280</v>
      </c>
    </row>
    <row r="130" spans="1:8" ht="20.100000000000001" customHeight="1" x14ac:dyDescent="0.25">
      <c r="A130" s="66"/>
      <c r="B130" s="2">
        <v>45568</v>
      </c>
      <c r="C130" s="3">
        <v>1689668894</v>
      </c>
      <c r="D130" s="3">
        <v>1</v>
      </c>
      <c r="E130" s="4" t="s">
        <v>59</v>
      </c>
      <c r="F130" s="19" t="s">
        <v>1035</v>
      </c>
      <c r="G130" s="5" t="s">
        <v>11</v>
      </c>
      <c r="H130" s="6">
        <v>900</v>
      </c>
    </row>
    <row r="131" spans="1:8" ht="20.100000000000001" customHeight="1" x14ac:dyDescent="0.25">
      <c r="A131" s="66"/>
      <c r="B131" s="2">
        <v>45568</v>
      </c>
      <c r="C131" s="3">
        <v>215894987</v>
      </c>
      <c r="D131" s="3">
        <v>1</v>
      </c>
      <c r="E131" s="4" t="s">
        <v>1036</v>
      </c>
      <c r="F131" s="19" t="s">
        <v>117</v>
      </c>
      <c r="G131" s="5" t="s">
        <v>7</v>
      </c>
      <c r="H131" s="6">
        <v>850</v>
      </c>
    </row>
    <row r="132" spans="1:8" ht="20.100000000000001" customHeight="1" x14ac:dyDescent="0.25">
      <c r="A132" s="66"/>
      <c r="B132" s="2">
        <v>45568</v>
      </c>
      <c r="C132" s="3">
        <v>215894987</v>
      </c>
      <c r="D132" s="3">
        <v>1</v>
      </c>
      <c r="E132" s="4" t="s">
        <v>1036</v>
      </c>
      <c r="F132" s="19" t="s">
        <v>116</v>
      </c>
      <c r="G132" s="5" t="s">
        <v>7</v>
      </c>
      <c r="H132" s="6">
        <v>550</v>
      </c>
    </row>
    <row r="133" spans="1:8" ht="20.100000000000001" customHeight="1" x14ac:dyDescent="0.25">
      <c r="A133" s="66"/>
      <c r="B133" s="2">
        <v>45568</v>
      </c>
      <c r="C133" s="3">
        <v>2601404421</v>
      </c>
      <c r="D133" s="3">
        <v>1</v>
      </c>
      <c r="E133" s="4" t="s">
        <v>1037</v>
      </c>
      <c r="F133" s="19" t="s">
        <v>1038</v>
      </c>
      <c r="G133" s="5" t="s">
        <v>6</v>
      </c>
      <c r="H133" s="6">
        <v>890</v>
      </c>
    </row>
    <row r="134" spans="1:8" ht="20.100000000000001" customHeight="1" x14ac:dyDescent="0.25">
      <c r="A134" s="66"/>
      <c r="B134" s="2">
        <v>45569</v>
      </c>
      <c r="C134" s="3">
        <v>1893681808</v>
      </c>
      <c r="D134" s="3">
        <v>2</v>
      </c>
      <c r="E134" s="4" t="s">
        <v>493</v>
      </c>
      <c r="F134" s="19" t="s">
        <v>122</v>
      </c>
      <c r="G134" s="5" t="s">
        <v>6</v>
      </c>
      <c r="H134" s="6">
        <v>900</v>
      </c>
    </row>
    <row r="135" spans="1:8" ht="20.100000000000001" customHeight="1" x14ac:dyDescent="0.25">
      <c r="A135" s="66"/>
      <c r="B135" s="2">
        <v>45572</v>
      </c>
      <c r="C135" s="3">
        <v>1231178265</v>
      </c>
      <c r="D135" s="3">
        <v>2</v>
      </c>
      <c r="E135" s="4" t="s">
        <v>119</v>
      </c>
      <c r="F135" s="19" t="s">
        <v>116</v>
      </c>
      <c r="G135" s="5" t="s">
        <v>6</v>
      </c>
      <c r="H135" s="6">
        <v>1100</v>
      </c>
    </row>
    <row r="136" spans="1:8" ht="20.100000000000001" customHeight="1" x14ac:dyDescent="0.25">
      <c r="A136" s="66"/>
      <c r="B136" s="2">
        <v>45580</v>
      </c>
      <c r="C136" s="3">
        <v>327172717</v>
      </c>
      <c r="D136" s="3">
        <v>1</v>
      </c>
      <c r="E136" s="4" t="s">
        <v>1039</v>
      </c>
      <c r="F136" s="19" t="s">
        <v>1040</v>
      </c>
      <c r="G136" s="5" t="s">
        <v>7</v>
      </c>
      <c r="H136" s="6">
        <v>650</v>
      </c>
    </row>
    <row r="137" spans="1:8" ht="20.100000000000001" customHeight="1" x14ac:dyDescent="0.25">
      <c r="A137" s="66"/>
      <c r="B137" s="2">
        <v>45594</v>
      </c>
      <c r="C137" s="3">
        <v>3901574569</v>
      </c>
      <c r="D137" s="3">
        <v>1</v>
      </c>
      <c r="E137" s="4" t="s">
        <v>586</v>
      </c>
      <c r="F137" s="19" t="s">
        <v>204</v>
      </c>
      <c r="G137" s="5" t="s">
        <v>7</v>
      </c>
      <c r="H137" s="6">
        <v>450</v>
      </c>
    </row>
    <row r="138" spans="1:8" ht="20.100000000000001" customHeight="1" x14ac:dyDescent="0.25">
      <c r="A138" s="66"/>
      <c r="B138" s="2">
        <v>45594</v>
      </c>
      <c r="C138" s="3">
        <v>3901574569</v>
      </c>
      <c r="D138" s="3">
        <v>1</v>
      </c>
      <c r="E138" s="4" t="s">
        <v>586</v>
      </c>
      <c r="F138" s="19" t="s">
        <v>1041</v>
      </c>
      <c r="G138" s="5" t="s">
        <v>7</v>
      </c>
      <c r="H138" s="6">
        <v>450</v>
      </c>
    </row>
    <row r="139" spans="1:8" ht="20.100000000000001" customHeight="1" x14ac:dyDescent="0.25">
      <c r="A139" s="66"/>
      <c r="B139" s="2">
        <v>45594</v>
      </c>
      <c r="C139" s="3">
        <v>3901574569</v>
      </c>
      <c r="D139" s="3">
        <v>1</v>
      </c>
      <c r="E139" s="4" t="s">
        <v>586</v>
      </c>
      <c r="F139" s="19" t="s">
        <v>1042</v>
      </c>
      <c r="G139" s="5" t="s">
        <v>7</v>
      </c>
      <c r="H139" s="6">
        <v>450</v>
      </c>
    </row>
    <row r="140" spans="1:8" ht="20.100000000000001" customHeight="1" x14ac:dyDescent="0.25">
      <c r="A140" s="66"/>
      <c r="B140" s="2">
        <v>45594</v>
      </c>
      <c r="C140" s="3">
        <v>3392098178</v>
      </c>
      <c r="D140" s="3">
        <v>1</v>
      </c>
      <c r="E140" s="4" t="s">
        <v>683</v>
      </c>
      <c r="F140" s="19" t="s">
        <v>117</v>
      </c>
      <c r="G140" s="5" t="s">
        <v>7</v>
      </c>
      <c r="H140" s="6">
        <v>850</v>
      </c>
    </row>
    <row r="141" spans="1:8" ht="20.100000000000001" customHeight="1" x14ac:dyDescent="0.25">
      <c r="A141" s="66"/>
      <c r="B141" s="2">
        <v>45602</v>
      </c>
      <c r="C141" s="3">
        <v>3095153149</v>
      </c>
      <c r="D141" s="3">
        <v>1</v>
      </c>
      <c r="E141" s="4" t="s">
        <v>1115</v>
      </c>
      <c r="F141" s="19" t="s">
        <v>116</v>
      </c>
      <c r="G141" s="5" t="s">
        <v>6</v>
      </c>
      <c r="H141" s="6">
        <v>550</v>
      </c>
    </row>
    <row r="142" spans="1:8" ht="20.100000000000001" customHeight="1" x14ac:dyDescent="0.25">
      <c r="A142" s="66"/>
      <c r="B142" s="2">
        <v>45602</v>
      </c>
      <c r="C142" s="3">
        <v>3095153149</v>
      </c>
      <c r="D142" s="3">
        <v>1</v>
      </c>
      <c r="E142" s="4" t="s">
        <v>1115</v>
      </c>
      <c r="F142" s="19" t="s">
        <v>117</v>
      </c>
      <c r="G142" s="5" t="s">
        <v>6</v>
      </c>
      <c r="H142" s="6">
        <v>850</v>
      </c>
    </row>
    <row r="143" spans="1:8" ht="20.100000000000001" customHeight="1" x14ac:dyDescent="0.25">
      <c r="A143" s="66"/>
      <c r="B143" s="2">
        <v>45602</v>
      </c>
      <c r="C143" s="3">
        <v>2465089346</v>
      </c>
      <c r="D143" s="3">
        <v>1</v>
      </c>
      <c r="E143" s="4" t="s">
        <v>1116</v>
      </c>
      <c r="F143" s="19" t="s">
        <v>297</v>
      </c>
      <c r="G143" s="5" t="s">
        <v>6</v>
      </c>
      <c r="H143" s="6">
        <v>450</v>
      </c>
    </row>
    <row r="144" spans="1:8" ht="20.100000000000001" customHeight="1" x14ac:dyDescent="0.25">
      <c r="A144" s="66"/>
      <c r="B144" s="2">
        <v>45603</v>
      </c>
      <c r="C144" s="3">
        <v>752766218</v>
      </c>
      <c r="D144" s="3">
        <v>1</v>
      </c>
      <c r="E144" s="4" t="s">
        <v>1117</v>
      </c>
      <c r="F144" s="19" t="s">
        <v>116</v>
      </c>
      <c r="G144" s="5" t="s">
        <v>7</v>
      </c>
      <c r="H144" s="6">
        <v>550</v>
      </c>
    </row>
    <row r="145" spans="1:8" ht="20.100000000000001" customHeight="1" x14ac:dyDescent="0.25">
      <c r="A145" s="66"/>
      <c r="B145" s="2">
        <v>45603</v>
      </c>
      <c r="C145" s="3">
        <v>752766218</v>
      </c>
      <c r="D145" s="3">
        <v>1</v>
      </c>
      <c r="E145" s="4" t="s">
        <v>1117</v>
      </c>
      <c r="F145" s="19" t="s">
        <v>117</v>
      </c>
      <c r="G145" s="5" t="s">
        <v>7</v>
      </c>
      <c r="H145" s="6">
        <v>850</v>
      </c>
    </row>
    <row r="146" spans="1:8" ht="20.100000000000001" customHeight="1" x14ac:dyDescent="0.25">
      <c r="A146" s="66"/>
      <c r="B146" s="2">
        <v>45603</v>
      </c>
      <c r="C146" s="3">
        <v>3669180539</v>
      </c>
      <c r="D146" s="3">
        <v>1</v>
      </c>
      <c r="E146" s="4" t="s">
        <v>1117</v>
      </c>
      <c r="F146" s="19" t="s">
        <v>1118</v>
      </c>
      <c r="G146" s="5" t="s">
        <v>7</v>
      </c>
      <c r="H146" s="6">
        <v>380</v>
      </c>
    </row>
    <row r="147" spans="1:8" ht="20.100000000000001" customHeight="1" x14ac:dyDescent="0.25">
      <c r="A147" s="66"/>
      <c r="B147" s="2">
        <v>45614</v>
      </c>
      <c r="C147" s="3">
        <v>2198422795</v>
      </c>
      <c r="D147" s="3">
        <v>1</v>
      </c>
      <c r="E147" s="4" t="s">
        <v>1119</v>
      </c>
      <c r="F147" s="19" t="s">
        <v>117</v>
      </c>
      <c r="G147" s="5" t="s">
        <v>7</v>
      </c>
      <c r="H147" s="6">
        <v>850</v>
      </c>
    </row>
    <row r="148" spans="1:8" ht="20.100000000000001" customHeight="1" x14ac:dyDescent="0.25">
      <c r="A148" s="66"/>
      <c r="B148" s="2">
        <v>45614</v>
      </c>
      <c r="C148" s="3">
        <v>2984461869</v>
      </c>
      <c r="D148" s="3">
        <v>1</v>
      </c>
      <c r="E148" s="4" t="s">
        <v>321</v>
      </c>
      <c r="F148" s="19" t="s">
        <v>1120</v>
      </c>
      <c r="G148" s="5" t="s">
        <v>6</v>
      </c>
      <c r="H148" s="6">
        <v>999</v>
      </c>
    </row>
    <row r="149" spans="1:8" ht="20.100000000000001" customHeight="1" x14ac:dyDescent="0.25">
      <c r="A149" s="66"/>
      <c r="B149" s="2">
        <v>45615</v>
      </c>
      <c r="C149" s="3">
        <v>3103016808</v>
      </c>
      <c r="D149" s="3">
        <v>1</v>
      </c>
      <c r="E149" s="4" t="s">
        <v>1121</v>
      </c>
      <c r="F149" s="19" t="s">
        <v>1122</v>
      </c>
      <c r="G149" s="5" t="s">
        <v>7</v>
      </c>
      <c r="H149" s="6">
        <v>550</v>
      </c>
    </row>
    <row r="150" spans="1:8" ht="20.100000000000001" customHeight="1" x14ac:dyDescent="0.25">
      <c r="A150" s="66"/>
      <c r="B150" s="2">
        <v>45615</v>
      </c>
      <c r="C150" s="3">
        <v>3103016808</v>
      </c>
      <c r="D150" s="3">
        <v>1</v>
      </c>
      <c r="E150" s="4" t="s">
        <v>1121</v>
      </c>
      <c r="F150" s="19" t="s">
        <v>117</v>
      </c>
      <c r="G150" s="5" t="s">
        <v>7</v>
      </c>
      <c r="H150" s="6">
        <v>850</v>
      </c>
    </row>
    <row r="151" spans="1:8" ht="20.100000000000001" customHeight="1" x14ac:dyDescent="0.25">
      <c r="A151" s="66"/>
      <c r="B151" s="2">
        <v>45615</v>
      </c>
      <c r="C151" s="3">
        <v>1531461733</v>
      </c>
      <c r="D151" s="3">
        <v>1</v>
      </c>
      <c r="E151" s="4" t="s">
        <v>1123</v>
      </c>
      <c r="F151" s="19" t="s">
        <v>1124</v>
      </c>
      <c r="G151" s="5" t="s">
        <v>7</v>
      </c>
      <c r="H151" s="6">
        <v>785</v>
      </c>
    </row>
    <row r="152" spans="1:8" ht="20.100000000000001" customHeight="1" x14ac:dyDescent="0.25">
      <c r="A152" s="66"/>
      <c r="B152" s="2">
        <v>45615</v>
      </c>
      <c r="C152" s="3">
        <v>1531461733</v>
      </c>
      <c r="D152" s="3">
        <v>1</v>
      </c>
      <c r="E152" s="4" t="s">
        <v>1123</v>
      </c>
      <c r="F152" s="19" t="s">
        <v>1125</v>
      </c>
      <c r="G152" s="5" t="s">
        <v>7</v>
      </c>
      <c r="H152" s="6">
        <v>611.25</v>
      </c>
    </row>
    <row r="153" spans="1:8" ht="20.100000000000001" customHeight="1" x14ac:dyDescent="0.25">
      <c r="A153" s="66"/>
      <c r="B153" s="2">
        <v>45615</v>
      </c>
      <c r="C153" s="3">
        <v>1531461733</v>
      </c>
      <c r="D153" s="3">
        <v>1</v>
      </c>
      <c r="E153" s="4" t="s">
        <v>1123</v>
      </c>
      <c r="F153" s="19" t="s">
        <v>1126</v>
      </c>
      <c r="G153" s="5" t="s">
        <v>7</v>
      </c>
      <c r="H153" s="6">
        <v>550</v>
      </c>
    </row>
    <row r="154" spans="1:8" ht="20.100000000000001" customHeight="1" x14ac:dyDescent="0.25">
      <c r="A154" s="66"/>
      <c r="B154" s="2">
        <v>45615</v>
      </c>
      <c r="C154" s="3">
        <v>1531461733</v>
      </c>
      <c r="D154" s="3">
        <v>1</v>
      </c>
      <c r="E154" s="4" t="s">
        <v>1123</v>
      </c>
      <c r="F154" s="19" t="s">
        <v>1118</v>
      </c>
      <c r="G154" s="5" t="s">
        <v>7</v>
      </c>
      <c r="H154" s="6">
        <v>380</v>
      </c>
    </row>
    <row r="155" spans="1:8" ht="20.100000000000001" customHeight="1" x14ac:dyDescent="0.25">
      <c r="A155" s="66"/>
      <c r="B155" s="2">
        <v>45615</v>
      </c>
      <c r="C155" s="3">
        <v>2971684021</v>
      </c>
      <c r="D155" s="3">
        <v>1</v>
      </c>
      <c r="E155" s="4" t="s">
        <v>1127</v>
      </c>
      <c r="F155" s="19" t="s">
        <v>1122</v>
      </c>
      <c r="G155" s="5" t="s">
        <v>7</v>
      </c>
      <c r="H155" s="6">
        <v>550</v>
      </c>
    </row>
    <row r="156" spans="1:8" ht="20.100000000000001" customHeight="1" x14ac:dyDescent="0.25">
      <c r="A156" s="66"/>
      <c r="B156" s="2">
        <v>45616</v>
      </c>
      <c r="C156" s="3">
        <v>914705162</v>
      </c>
      <c r="D156" s="3">
        <v>1</v>
      </c>
      <c r="E156" s="4" t="s">
        <v>1036</v>
      </c>
      <c r="F156" s="19" t="s">
        <v>1128</v>
      </c>
      <c r="G156" s="5" t="s">
        <v>11</v>
      </c>
      <c r="H156" s="6">
        <v>450</v>
      </c>
    </row>
    <row r="157" spans="1:8" ht="20.100000000000001" customHeight="1" x14ac:dyDescent="0.25">
      <c r="A157" s="66"/>
      <c r="B157" s="2">
        <v>45616</v>
      </c>
      <c r="C157" s="3">
        <v>914705162</v>
      </c>
      <c r="D157" s="3">
        <v>1</v>
      </c>
      <c r="E157" s="4" t="s">
        <v>1036</v>
      </c>
      <c r="F157" s="19" t="s">
        <v>1129</v>
      </c>
      <c r="G157" s="5" t="s">
        <v>11</v>
      </c>
      <c r="H157" s="6">
        <v>550</v>
      </c>
    </row>
    <row r="158" spans="1:8" ht="20.100000000000001" customHeight="1" x14ac:dyDescent="0.25">
      <c r="A158" s="66"/>
      <c r="B158" s="2">
        <v>45616</v>
      </c>
      <c r="C158" s="3">
        <v>914705162</v>
      </c>
      <c r="D158" s="3">
        <v>1</v>
      </c>
      <c r="E158" s="4" t="s">
        <v>1036</v>
      </c>
      <c r="F158" s="19" t="s">
        <v>1130</v>
      </c>
      <c r="G158" s="5" t="s">
        <v>7</v>
      </c>
      <c r="H158" s="6">
        <v>50</v>
      </c>
    </row>
    <row r="159" spans="1:8" ht="20.100000000000001" customHeight="1" x14ac:dyDescent="0.25">
      <c r="A159" s="66"/>
      <c r="B159" s="2">
        <v>45616</v>
      </c>
      <c r="C159" s="3">
        <v>914705162</v>
      </c>
      <c r="D159" s="3">
        <v>1</v>
      </c>
      <c r="E159" s="4" t="s">
        <v>1036</v>
      </c>
      <c r="F159" s="19" t="s">
        <v>888</v>
      </c>
      <c r="G159" s="5" t="s">
        <v>7</v>
      </c>
      <c r="H159" s="6">
        <v>810</v>
      </c>
    </row>
    <row r="160" spans="1:8" ht="20.100000000000001" customHeight="1" x14ac:dyDescent="0.25">
      <c r="A160" s="66"/>
      <c r="B160" s="2">
        <v>45616</v>
      </c>
      <c r="C160" s="3">
        <v>914705162</v>
      </c>
      <c r="D160" s="3">
        <v>1</v>
      </c>
      <c r="E160" s="4" t="s">
        <v>1036</v>
      </c>
      <c r="F160" s="19" t="s">
        <v>204</v>
      </c>
      <c r="G160" s="5" t="s">
        <v>7</v>
      </c>
      <c r="H160" s="6">
        <v>450</v>
      </c>
    </row>
    <row r="161" spans="1:8" ht="20.100000000000001" customHeight="1" x14ac:dyDescent="0.25">
      <c r="A161" s="66"/>
      <c r="B161" s="2">
        <v>45617</v>
      </c>
      <c r="C161" s="3">
        <v>2875147521</v>
      </c>
      <c r="D161" s="3">
        <v>1</v>
      </c>
      <c r="E161" s="4" t="s">
        <v>321</v>
      </c>
      <c r="F161" s="19" t="s">
        <v>1132</v>
      </c>
      <c r="G161" s="5" t="s">
        <v>19</v>
      </c>
      <c r="H161" s="6">
        <v>250</v>
      </c>
    </row>
    <row r="162" spans="1:8" ht="20.100000000000001" customHeight="1" x14ac:dyDescent="0.25">
      <c r="A162" s="66"/>
      <c r="B162" s="2">
        <v>45617</v>
      </c>
      <c r="C162" s="3">
        <v>2937341640</v>
      </c>
      <c r="D162" s="3">
        <v>1</v>
      </c>
      <c r="E162" s="4" t="s">
        <v>1131</v>
      </c>
      <c r="F162" s="19" t="s">
        <v>1133</v>
      </c>
      <c r="G162" s="5" t="s">
        <v>19</v>
      </c>
      <c r="H162" s="6">
        <v>890</v>
      </c>
    </row>
    <row r="163" spans="1:8" ht="20.100000000000001" customHeight="1" x14ac:dyDescent="0.25">
      <c r="A163" s="66"/>
      <c r="B163" s="2">
        <v>45621</v>
      </c>
      <c r="C163" s="3">
        <v>196036599</v>
      </c>
      <c r="D163" s="3">
        <v>1</v>
      </c>
      <c r="E163" s="4" t="s">
        <v>1134</v>
      </c>
      <c r="F163" s="19" t="s">
        <v>117</v>
      </c>
      <c r="G163" s="5" t="s">
        <v>7</v>
      </c>
      <c r="H163" s="6">
        <v>850</v>
      </c>
    </row>
    <row r="164" spans="1:8" ht="20.100000000000001" customHeight="1" x14ac:dyDescent="0.25">
      <c r="A164" s="66"/>
      <c r="B164" s="2">
        <v>45622</v>
      </c>
      <c r="C164" s="3">
        <v>3856616179</v>
      </c>
      <c r="D164" s="3">
        <v>1</v>
      </c>
      <c r="E164" s="4" t="s">
        <v>85</v>
      </c>
      <c r="F164" s="19" t="s">
        <v>1132</v>
      </c>
      <c r="G164" s="5" t="s">
        <v>6</v>
      </c>
      <c r="H164" s="6">
        <v>250</v>
      </c>
    </row>
    <row r="165" spans="1:8" ht="20.100000000000001" customHeight="1" x14ac:dyDescent="0.25">
      <c r="A165" s="66"/>
      <c r="B165" s="2">
        <v>45635</v>
      </c>
      <c r="C165" s="3">
        <v>710885468</v>
      </c>
      <c r="D165" s="3">
        <v>1</v>
      </c>
      <c r="E165" s="4" t="s">
        <v>202</v>
      </c>
      <c r="F165" s="19" t="s">
        <v>117</v>
      </c>
      <c r="G165" s="5" t="s">
        <v>6</v>
      </c>
      <c r="H165" s="6">
        <v>850</v>
      </c>
    </row>
    <row r="166" spans="1:8" ht="20.100000000000001" customHeight="1" x14ac:dyDescent="0.25">
      <c r="A166" s="66"/>
      <c r="B166" s="2">
        <v>45636</v>
      </c>
      <c r="C166" s="3">
        <v>180833353</v>
      </c>
      <c r="D166" s="3">
        <v>2</v>
      </c>
      <c r="E166" s="4" t="s">
        <v>1244</v>
      </c>
      <c r="F166" s="19" t="s">
        <v>1245</v>
      </c>
      <c r="G166" s="5" t="s">
        <v>6</v>
      </c>
      <c r="H166" s="6">
        <v>1100</v>
      </c>
    </row>
    <row r="167" spans="1:8" ht="20.100000000000001" customHeight="1" x14ac:dyDescent="0.25">
      <c r="A167" s="66"/>
      <c r="B167" s="2">
        <v>45636</v>
      </c>
      <c r="C167" s="3">
        <v>1252542885</v>
      </c>
      <c r="D167" s="3">
        <v>1</v>
      </c>
      <c r="E167" s="4" t="s">
        <v>572</v>
      </c>
      <c r="F167" s="19" t="s">
        <v>1120</v>
      </c>
      <c r="G167" s="5" t="s">
        <v>6</v>
      </c>
      <c r="H167" s="6">
        <v>999</v>
      </c>
    </row>
    <row r="168" spans="1:8" ht="20.100000000000001" customHeight="1" x14ac:dyDescent="0.25">
      <c r="A168" s="66"/>
      <c r="B168" s="2">
        <v>45643</v>
      </c>
      <c r="C168" s="3">
        <v>1194410158</v>
      </c>
      <c r="D168" s="3">
        <v>1</v>
      </c>
      <c r="E168" s="4" t="s">
        <v>1246</v>
      </c>
      <c r="F168" s="19" t="s">
        <v>117</v>
      </c>
      <c r="G168" s="5" t="s">
        <v>10</v>
      </c>
      <c r="H168" s="6">
        <v>850</v>
      </c>
    </row>
    <row r="169" spans="1:8" ht="20.100000000000001" customHeight="1" x14ac:dyDescent="0.25">
      <c r="A169" s="66"/>
      <c r="B169" s="2">
        <v>45646</v>
      </c>
      <c r="C169" s="3">
        <v>2668052871</v>
      </c>
      <c r="D169" s="3">
        <v>1</v>
      </c>
      <c r="E169" s="4" t="s">
        <v>1247</v>
      </c>
      <c r="F169" s="19" t="s">
        <v>1120</v>
      </c>
      <c r="G169" s="5" t="s">
        <v>6</v>
      </c>
      <c r="H169" s="6">
        <v>999</v>
      </c>
    </row>
    <row r="170" spans="1:8" ht="20.100000000000001" customHeight="1" x14ac:dyDescent="0.25">
      <c r="A170" s="66"/>
      <c r="B170" s="2">
        <v>45646</v>
      </c>
      <c r="C170" s="3">
        <v>2668052871</v>
      </c>
      <c r="D170" s="3">
        <v>1</v>
      </c>
      <c r="E170" s="4" t="s">
        <v>1247</v>
      </c>
      <c r="F170" s="19" t="s">
        <v>1132</v>
      </c>
      <c r="G170" s="5" t="s">
        <v>6</v>
      </c>
      <c r="H170" s="6">
        <v>250</v>
      </c>
    </row>
    <row r="171" spans="1:8" ht="20.100000000000001" customHeight="1" x14ac:dyDescent="0.25">
      <c r="A171" s="67"/>
      <c r="B171" s="13"/>
      <c r="C171" s="14"/>
      <c r="D171" s="14"/>
      <c r="E171" s="14" t="s">
        <v>5</v>
      </c>
      <c r="F171" s="15"/>
      <c r="G171" s="16"/>
      <c r="H171" s="17">
        <f>SUM(H3:H170)</f>
        <v>111886.97</v>
      </c>
    </row>
    <row r="172" spans="1:8" ht="20.100000000000001" customHeight="1" x14ac:dyDescent="0.25">
      <c r="A172" s="7"/>
      <c r="B172" s="8"/>
      <c r="C172" s="8"/>
      <c r="D172" s="8"/>
      <c r="E172" s="8"/>
      <c r="F172" s="12"/>
      <c r="G172" s="8"/>
      <c r="H172" s="9"/>
    </row>
  </sheetData>
  <autoFilter ref="B1:H171" xr:uid="{00000000-0009-0000-0000-000001000000}"/>
  <mergeCells count="8">
    <mergeCell ref="A1:A171"/>
    <mergeCell ref="G1:G2"/>
    <mergeCell ref="H1:H2"/>
    <mergeCell ref="B1:B2"/>
    <mergeCell ref="C1:C2"/>
    <mergeCell ref="D1:D2"/>
    <mergeCell ref="E1:E2"/>
    <mergeCell ref="F1:F2"/>
  </mergeCells>
  <pageMargins left="0.7" right="0.7" top="0.75" bottom="0.75" header="0.3" footer="0.3"/>
  <pageSetup paperSize="9" orientation="portrait" horizontalDpi="120" verticalDpi="7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9"/>
  <sheetViews>
    <sheetView topLeftCell="A55" workbookViewId="0">
      <selection activeCell="H63" sqref="H63"/>
    </sheetView>
  </sheetViews>
  <sheetFormatPr baseColWidth="10" defaultColWidth="9.140625" defaultRowHeight="15" x14ac:dyDescent="0.25"/>
  <cols>
    <col min="1" max="1" width="16.42578125" customWidth="1"/>
    <col min="2" max="2" width="14" bestFit="1" customWidth="1"/>
    <col min="3" max="3" width="17.42578125" customWidth="1"/>
    <col min="4" max="4" width="11" customWidth="1"/>
    <col min="5" max="5" width="34.28515625" bestFit="1" customWidth="1"/>
    <col min="6" max="6" width="49.42578125" style="1" bestFit="1" customWidth="1"/>
    <col min="7" max="7" width="16.140625" customWidth="1"/>
    <col min="8" max="8" width="14.28515625" bestFit="1" customWidth="1"/>
  </cols>
  <sheetData>
    <row r="1" spans="1:8" x14ac:dyDescent="0.25">
      <c r="A1" s="76" t="s">
        <v>9</v>
      </c>
      <c r="B1" s="81" t="s">
        <v>0</v>
      </c>
      <c r="C1" s="82" t="s">
        <v>1</v>
      </c>
      <c r="D1" s="82" t="s">
        <v>2</v>
      </c>
      <c r="E1" s="82" t="s">
        <v>3</v>
      </c>
      <c r="F1" s="82" t="s">
        <v>8</v>
      </c>
      <c r="G1" s="79" t="s">
        <v>4</v>
      </c>
      <c r="H1" s="80" t="s">
        <v>5</v>
      </c>
    </row>
    <row r="2" spans="1:8" x14ac:dyDescent="0.25">
      <c r="A2" s="77"/>
      <c r="B2" s="72"/>
      <c r="C2" s="74"/>
      <c r="D2" s="74"/>
      <c r="E2" s="74"/>
      <c r="F2" s="74"/>
      <c r="G2" s="68"/>
      <c r="H2" s="70"/>
    </row>
    <row r="3" spans="1:8" ht="15.75" x14ac:dyDescent="0.25">
      <c r="A3" s="77"/>
      <c r="B3" s="2">
        <v>45329</v>
      </c>
      <c r="C3" s="3">
        <v>1305628463</v>
      </c>
      <c r="D3" s="3">
        <v>1</v>
      </c>
      <c r="E3" s="4" t="s">
        <v>212</v>
      </c>
      <c r="F3" s="19" t="s">
        <v>213</v>
      </c>
      <c r="G3" s="5" t="s">
        <v>6</v>
      </c>
      <c r="H3" s="6">
        <v>3000</v>
      </c>
    </row>
    <row r="4" spans="1:8" ht="15.75" x14ac:dyDescent="0.25">
      <c r="A4" s="77"/>
      <c r="B4" s="2">
        <v>45349</v>
      </c>
      <c r="C4" s="3">
        <v>2784511046</v>
      </c>
      <c r="D4" s="3">
        <v>1</v>
      </c>
      <c r="E4" s="4" t="s">
        <v>214</v>
      </c>
      <c r="F4" s="19" t="s">
        <v>215</v>
      </c>
      <c r="G4" s="5" t="s">
        <v>6</v>
      </c>
      <c r="H4" s="6">
        <v>3000</v>
      </c>
    </row>
    <row r="5" spans="1:8" ht="20.100000000000001" customHeight="1" x14ac:dyDescent="0.25">
      <c r="A5" s="77"/>
      <c r="B5" s="2">
        <v>45357</v>
      </c>
      <c r="C5" s="3">
        <v>1820083695</v>
      </c>
      <c r="D5" s="3">
        <v>1</v>
      </c>
      <c r="E5" s="4" t="s">
        <v>301</v>
      </c>
      <c r="F5" s="19" t="s">
        <v>302</v>
      </c>
      <c r="G5" s="5" t="s">
        <v>11</v>
      </c>
      <c r="H5" s="6">
        <v>2900</v>
      </c>
    </row>
    <row r="6" spans="1:8" ht="20.100000000000001" customHeight="1" x14ac:dyDescent="0.25">
      <c r="A6" s="77"/>
      <c r="B6" s="2">
        <v>45357</v>
      </c>
      <c r="C6" s="3">
        <v>3603776325</v>
      </c>
      <c r="D6" s="3">
        <v>1</v>
      </c>
      <c r="E6" s="4" t="s">
        <v>303</v>
      </c>
      <c r="F6" s="19" t="s">
        <v>304</v>
      </c>
      <c r="G6" s="5" t="s">
        <v>7</v>
      </c>
      <c r="H6" s="6">
        <v>3000</v>
      </c>
    </row>
    <row r="7" spans="1:8" ht="20.100000000000001" customHeight="1" x14ac:dyDescent="0.25">
      <c r="A7" s="77"/>
      <c r="B7" s="2">
        <v>45370</v>
      </c>
      <c r="C7" s="3">
        <v>85806448</v>
      </c>
      <c r="D7" s="3">
        <v>1</v>
      </c>
      <c r="E7" s="4" t="s">
        <v>305</v>
      </c>
      <c r="F7" s="19" t="s">
        <v>306</v>
      </c>
      <c r="G7" s="5" t="s">
        <v>6</v>
      </c>
      <c r="H7" s="6">
        <v>2360</v>
      </c>
    </row>
    <row r="8" spans="1:8" ht="30" x14ac:dyDescent="0.25">
      <c r="A8" s="77"/>
      <c r="B8" s="2">
        <v>45370</v>
      </c>
      <c r="C8" s="3">
        <v>85806448</v>
      </c>
      <c r="D8" s="3">
        <v>1</v>
      </c>
      <c r="E8" s="4" t="s">
        <v>305</v>
      </c>
      <c r="F8" s="19" t="s">
        <v>307</v>
      </c>
      <c r="G8" s="5" t="s">
        <v>26</v>
      </c>
      <c r="H8" s="6">
        <v>140</v>
      </c>
    </row>
    <row r="9" spans="1:8" ht="20.100000000000001" customHeight="1" x14ac:dyDescent="0.25">
      <c r="A9" s="77"/>
      <c r="B9" s="2">
        <v>45370</v>
      </c>
      <c r="C9" s="3">
        <v>85806448</v>
      </c>
      <c r="D9" s="3">
        <v>1</v>
      </c>
      <c r="E9" s="4" t="s">
        <v>305</v>
      </c>
      <c r="F9" s="19" t="s">
        <v>308</v>
      </c>
      <c r="G9" s="5" t="s">
        <v>26</v>
      </c>
      <c r="H9" s="6">
        <v>2900</v>
      </c>
    </row>
    <row r="10" spans="1:8" ht="20.100000000000001" customHeight="1" x14ac:dyDescent="0.25">
      <c r="A10" s="77"/>
      <c r="B10" s="2">
        <v>45370</v>
      </c>
      <c r="C10" s="3">
        <v>2385464532</v>
      </c>
      <c r="D10" s="3">
        <v>1</v>
      </c>
      <c r="E10" s="4" t="s">
        <v>309</v>
      </c>
      <c r="F10" s="19" t="s">
        <v>310</v>
      </c>
      <c r="G10" s="5" t="s">
        <v>7</v>
      </c>
      <c r="H10" s="6">
        <v>2800</v>
      </c>
    </row>
    <row r="11" spans="1:8" ht="20.100000000000001" customHeight="1" x14ac:dyDescent="0.25">
      <c r="A11" s="77"/>
      <c r="B11" s="2">
        <v>45370</v>
      </c>
      <c r="C11" s="3">
        <v>3223601791</v>
      </c>
      <c r="D11" s="3">
        <v>1</v>
      </c>
      <c r="E11" s="4" t="s">
        <v>311</v>
      </c>
      <c r="F11" s="19" t="s">
        <v>310</v>
      </c>
      <c r="G11" s="5" t="s">
        <v>7</v>
      </c>
      <c r="H11" s="6">
        <v>2800</v>
      </c>
    </row>
    <row r="12" spans="1:8" ht="20.100000000000001" customHeight="1" x14ac:dyDescent="0.25">
      <c r="A12" s="77"/>
      <c r="B12" s="2">
        <v>45383</v>
      </c>
      <c r="C12" s="3">
        <v>571951273</v>
      </c>
      <c r="D12" s="3">
        <v>1</v>
      </c>
      <c r="E12" s="4" t="s">
        <v>168</v>
      </c>
      <c r="F12" s="19" t="s">
        <v>215</v>
      </c>
      <c r="G12" s="5" t="s">
        <v>7</v>
      </c>
      <c r="H12" s="6">
        <v>3000</v>
      </c>
    </row>
    <row r="13" spans="1:8" ht="20.100000000000001" customHeight="1" x14ac:dyDescent="0.25">
      <c r="A13" s="77"/>
      <c r="B13" s="2">
        <v>45383</v>
      </c>
      <c r="C13" s="3">
        <v>571951273</v>
      </c>
      <c r="D13" s="3">
        <v>1</v>
      </c>
      <c r="E13" s="4" t="s">
        <v>168</v>
      </c>
      <c r="F13" s="19" t="s">
        <v>474</v>
      </c>
      <c r="G13" s="5" t="s">
        <v>7</v>
      </c>
      <c r="H13" s="6">
        <v>3000</v>
      </c>
    </row>
    <row r="14" spans="1:8" ht="20.100000000000001" customHeight="1" x14ac:dyDescent="0.25">
      <c r="A14" s="77"/>
      <c r="B14" s="2">
        <v>45384</v>
      </c>
      <c r="C14" s="3">
        <v>173884984</v>
      </c>
      <c r="D14" s="3">
        <v>3</v>
      </c>
      <c r="E14" s="4" t="s">
        <v>457</v>
      </c>
      <c r="F14" s="19" t="s">
        <v>475</v>
      </c>
      <c r="G14" s="5" t="s">
        <v>7</v>
      </c>
      <c r="H14" s="6">
        <v>8100</v>
      </c>
    </row>
    <row r="15" spans="1:8" ht="20.100000000000001" customHeight="1" x14ac:dyDescent="0.25">
      <c r="A15" s="77"/>
      <c r="B15" s="2">
        <v>45390</v>
      </c>
      <c r="C15" s="3">
        <v>1928940883</v>
      </c>
      <c r="D15" s="3">
        <v>1</v>
      </c>
      <c r="E15" s="4" t="s">
        <v>476</v>
      </c>
      <c r="F15" s="19" t="s">
        <v>475</v>
      </c>
      <c r="G15" s="5" t="s">
        <v>10</v>
      </c>
      <c r="H15" s="6">
        <v>4650</v>
      </c>
    </row>
    <row r="16" spans="1:8" ht="20.100000000000001" customHeight="1" x14ac:dyDescent="0.25">
      <c r="A16" s="77"/>
      <c r="B16" s="2">
        <v>45397</v>
      </c>
      <c r="C16" s="3">
        <v>690832433</v>
      </c>
      <c r="D16" s="3">
        <v>2</v>
      </c>
      <c r="E16" s="4" t="s">
        <v>75</v>
      </c>
      <c r="F16" s="19" t="s">
        <v>475</v>
      </c>
      <c r="G16" s="5" t="s">
        <v>7</v>
      </c>
      <c r="H16" s="6">
        <v>4450</v>
      </c>
    </row>
    <row r="17" spans="1:8" ht="20.100000000000001" customHeight="1" x14ac:dyDescent="0.25">
      <c r="A17" s="77"/>
      <c r="B17" s="2">
        <v>45411</v>
      </c>
      <c r="C17" s="3">
        <v>2573617473</v>
      </c>
      <c r="D17" s="3">
        <v>1</v>
      </c>
      <c r="E17" s="4" t="s">
        <v>477</v>
      </c>
      <c r="F17" s="19" t="s">
        <v>215</v>
      </c>
      <c r="G17" s="5" t="s">
        <v>7</v>
      </c>
      <c r="H17" s="6">
        <v>3000</v>
      </c>
    </row>
    <row r="18" spans="1:8" ht="20.100000000000001" customHeight="1" x14ac:dyDescent="0.25">
      <c r="A18" s="77"/>
      <c r="B18" s="2">
        <v>45421</v>
      </c>
      <c r="C18" s="3">
        <v>1532317632</v>
      </c>
      <c r="D18" s="3">
        <v>1</v>
      </c>
      <c r="E18" s="4" t="s">
        <v>570</v>
      </c>
      <c r="F18" s="19" t="s">
        <v>571</v>
      </c>
      <c r="G18" s="5" t="s">
        <v>7</v>
      </c>
      <c r="H18" s="6">
        <v>2800</v>
      </c>
    </row>
    <row r="19" spans="1:8" ht="20.100000000000001" customHeight="1" x14ac:dyDescent="0.25">
      <c r="A19" s="77"/>
      <c r="B19" s="2">
        <v>45484</v>
      </c>
      <c r="C19" s="3">
        <v>3764995703</v>
      </c>
      <c r="D19" s="3">
        <v>1</v>
      </c>
      <c r="E19" s="4" t="s">
        <v>765</v>
      </c>
      <c r="F19" s="19" t="s">
        <v>766</v>
      </c>
      <c r="G19" s="5" t="s">
        <v>11</v>
      </c>
      <c r="H19" s="6">
        <v>2600</v>
      </c>
    </row>
    <row r="20" spans="1:8" ht="20.100000000000001" customHeight="1" x14ac:dyDescent="0.25">
      <c r="A20" s="77"/>
      <c r="B20" s="2">
        <v>45484</v>
      </c>
      <c r="C20" s="3">
        <v>3764995703</v>
      </c>
      <c r="D20" s="3">
        <v>1</v>
      </c>
      <c r="E20" s="4" t="s">
        <v>765</v>
      </c>
      <c r="F20" s="19" t="s">
        <v>767</v>
      </c>
      <c r="G20" s="5" t="s">
        <v>10</v>
      </c>
      <c r="H20" s="6">
        <v>200</v>
      </c>
    </row>
    <row r="21" spans="1:8" ht="20.100000000000001" customHeight="1" x14ac:dyDescent="0.25">
      <c r="A21" s="77"/>
      <c r="B21" s="2">
        <v>45503</v>
      </c>
      <c r="C21" s="3">
        <v>372442358</v>
      </c>
      <c r="D21" s="3">
        <v>1</v>
      </c>
      <c r="E21" s="4" t="s">
        <v>768</v>
      </c>
      <c r="F21" s="19" t="s">
        <v>769</v>
      </c>
      <c r="G21" s="5" t="s">
        <v>6</v>
      </c>
      <c r="H21" s="6">
        <v>2800</v>
      </c>
    </row>
    <row r="22" spans="1:8" ht="20.100000000000001" customHeight="1" x14ac:dyDescent="0.25">
      <c r="A22" s="77"/>
      <c r="B22" s="2">
        <v>45503</v>
      </c>
      <c r="C22" s="3">
        <v>2906475186</v>
      </c>
      <c r="D22" s="3">
        <v>1</v>
      </c>
      <c r="E22" s="4" t="s">
        <v>770</v>
      </c>
      <c r="F22" s="19" t="s">
        <v>302</v>
      </c>
      <c r="G22" s="5" t="s">
        <v>7</v>
      </c>
      <c r="H22" s="6">
        <v>3000</v>
      </c>
    </row>
    <row r="23" spans="1:8" ht="20.100000000000001" customHeight="1" x14ac:dyDescent="0.25">
      <c r="A23" s="77"/>
      <c r="B23" s="2">
        <v>45503</v>
      </c>
      <c r="C23" s="3">
        <v>3893379158</v>
      </c>
      <c r="D23" s="3">
        <v>1</v>
      </c>
      <c r="E23" s="4" t="s">
        <v>771</v>
      </c>
      <c r="F23" s="19" t="s">
        <v>302</v>
      </c>
      <c r="G23" s="5" t="s">
        <v>7</v>
      </c>
      <c r="H23" s="6">
        <v>3000</v>
      </c>
    </row>
    <row r="24" spans="1:8" ht="20.100000000000001" customHeight="1" x14ac:dyDescent="0.25">
      <c r="A24" s="77"/>
      <c r="B24" s="2">
        <v>45504</v>
      </c>
      <c r="C24" s="3">
        <v>84626616</v>
      </c>
      <c r="D24" s="3">
        <v>1</v>
      </c>
      <c r="E24" s="4" t="s">
        <v>772</v>
      </c>
      <c r="F24" s="19" t="s">
        <v>773</v>
      </c>
      <c r="G24" s="5" t="s">
        <v>10</v>
      </c>
      <c r="H24" s="6">
        <v>5000</v>
      </c>
    </row>
    <row r="25" spans="1:8" ht="20.100000000000001" customHeight="1" x14ac:dyDescent="0.25">
      <c r="A25" s="77"/>
      <c r="B25" s="2">
        <v>45504</v>
      </c>
      <c r="C25" s="3">
        <v>4117906792</v>
      </c>
      <c r="D25" s="3">
        <v>1</v>
      </c>
      <c r="E25" s="4" t="s">
        <v>407</v>
      </c>
      <c r="F25" s="19" t="s">
        <v>774</v>
      </c>
      <c r="G25" s="5" t="s">
        <v>7</v>
      </c>
      <c r="H25" s="6">
        <v>3000</v>
      </c>
    </row>
    <row r="26" spans="1:8" ht="20.100000000000001" customHeight="1" x14ac:dyDescent="0.25">
      <c r="A26" s="77"/>
      <c r="B26" s="2">
        <v>45504</v>
      </c>
      <c r="C26" s="3">
        <v>4117906792</v>
      </c>
      <c r="D26" s="3">
        <v>1</v>
      </c>
      <c r="E26" s="4" t="s">
        <v>407</v>
      </c>
      <c r="F26" s="19" t="s">
        <v>775</v>
      </c>
      <c r="G26" s="5" t="s">
        <v>7</v>
      </c>
      <c r="H26" s="6">
        <v>4800</v>
      </c>
    </row>
    <row r="27" spans="1:8" ht="20.100000000000001" customHeight="1" x14ac:dyDescent="0.25">
      <c r="A27" s="77"/>
      <c r="B27" s="2">
        <v>45509</v>
      </c>
      <c r="C27" s="3">
        <v>933773783</v>
      </c>
      <c r="D27" s="3">
        <v>1</v>
      </c>
      <c r="E27" s="4" t="s">
        <v>887</v>
      </c>
      <c r="F27" s="19" t="s">
        <v>893</v>
      </c>
      <c r="G27" s="5" t="s">
        <v>7</v>
      </c>
      <c r="H27" s="6">
        <v>2500</v>
      </c>
    </row>
    <row r="28" spans="1:8" ht="20.100000000000001" customHeight="1" x14ac:dyDescent="0.25">
      <c r="A28" s="77"/>
      <c r="B28" s="2">
        <v>45509</v>
      </c>
      <c r="C28" s="3">
        <v>933773783</v>
      </c>
      <c r="D28" s="3">
        <v>1</v>
      </c>
      <c r="E28" s="4" t="s">
        <v>887</v>
      </c>
      <c r="F28" s="19" t="s">
        <v>894</v>
      </c>
      <c r="G28" s="5" t="s">
        <v>7</v>
      </c>
      <c r="H28" s="6">
        <v>5000</v>
      </c>
    </row>
    <row r="29" spans="1:8" ht="20.100000000000001" customHeight="1" x14ac:dyDescent="0.25">
      <c r="A29" s="77"/>
      <c r="B29" s="2">
        <v>45511</v>
      </c>
      <c r="C29" s="3">
        <v>2091010381</v>
      </c>
      <c r="D29" s="3">
        <v>1</v>
      </c>
      <c r="E29" s="4" t="s">
        <v>895</v>
      </c>
      <c r="F29" s="19" t="s">
        <v>896</v>
      </c>
      <c r="G29" s="5" t="s">
        <v>6</v>
      </c>
      <c r="H29" s="6">
        <v>3000</v>
      </c>
    </row>
    <row r="30" spans="1:8" ht="20.100000000000001" customHeight="1" x14ac:dyDescent="0.25">
      <c r="A30" s="77"/>
      <c r="B30" s="2">
        <v>45512</v>
      </c>
      <c r="C30" s="3">
        <v>2095203285</v>
      </c>
      <c r="D30" s="3">
        <v>1</v>
      </c>
      <c r="E30" s="4" t="s">
        <v>897</v>
      </c>
      <c r="F30" s="19" t="s">
        <v>571</v>
      </c>
      <c r="G30" s="5" t="s">
        <v>7</v>
      </c>
      <c r="H30" s="6">
        <v>2800</v>
      </c>
    </row>
    <row r="31" spans="1:8" ht="20.100000000000001" customHeight="1" x14ac:dyDescent="0.25">
      <c r="A31" s="77"/>
      <c r="B31" s="2">
        <v>45512</v>
      </c>
      <c r="C31" s="3">
        <v>1190873165</v>
      </c>
      <c r="D31" s="3">
        <v>1</v>
      </c>
      <c r="E31" s="4" t="s">
        <v>671</v>
      </c>
      <c r="F31" s="19" t="s">
        <v>571</v>
      </c>
      <c r="G31" s="5" t="s">
        <v>6</v>
      </c>
      <c r="H31" s="6">
        <v>2800</v>
      </c>
    </row>
    <row r="32" spans="1:8" ht="20.100000000000001" customHeight="1" x14ac:dyDescent="0.25">
      <c r="A32" s="77"/>
      <c r="B32" s="2" t="s">
        <v>898</v>
      </c>
      <c r="C32" s="3">
        <v>1199655280</v>
      </c>
      <c r="D32" s="3">
        <v>1</v>
      </c>
      <c r="E32" s="4" t="s">
        <v>162</v>
      </c>
      <c r="F32" s="19" t="s">
        <v>893</v>
      </c>
      <c r="G32" s="5" t="s">
        <v>11</v>
      </c>
      <c r="H32" s="6">
        <v>3500</v>
      </c>
    </row>
    <row r="33" spans="1:8" ht="20.100000000000001" customHeight="1" x14ac:dyDescent="0.25">
      <c r="A33" s="77"/>
      <c r="B33" s="2">
        <v>45532</v>
      </c>
      <c r="C33" s="3">
        <v>804668852</v>
      </c>
      <c r="D33" s="3">
        <v>1</v>
      </c>
      <c r="E33" s="4" t="s">
        <v>899</v>
      </c>
      <c r="F33" s="19" t="s">
        <v>893</v>
      </c>
      <c r="G33" s="5" t="s">
        <v>7</v>
      </c>
      <c r="H33" s="6">
        <v>2800</v>
      </c>
    </row>
    <row r="34" spans="1:8" ht="20.100000000000001" customHeight="1" x14ac:dyDescent="0.25">
      <c r="A34" s="77"/>
      <c r="B34" s="2">
        <v>45533</v>
      </c>
      <c r="C34" s="3">
        <v>3663872342</v>
      </c>
      <c r="D34" s="3">
        <v>1</v>
      </c>
      <c r="E34" s="4" t="s">
        <v>618</v>
      </c>
      <c r="F34" s="19" t="s">
        <v>896</v>
      </c>
      <c r="G34" s="5" t="s">
        <v>19</v>
      </c>
      <c r="H34" s="6">
        <v>3000</v>
      </c>
    </row>
    <row r="35" spans="1:8" ht="20.100000000000001" customHeight="1" x14ac:dyDescent="0.25">
      <c r="A35" s="77"/>
      <c r="B35" s="2">
        <v>45544</v>
      </c>
      <c r="C35" s="3">
        <v>1271613573</v>
      </c>
      <c r="D35" s="3">
        <v>2</v>
      </c>
      <c r="E35" s="4" t="s">
        <v>972</v>
      </c>
      <c r="F35" s="19" t="s">
        <v>475</v>
      </c>
      <c r="G35" s="5" t="s">
        <v>7</v>
      </c>
      <c r="H35" s="6">
        <v>5000</v>
      </c>
    </row>
    <row r="36" spans="1:8" ht="20.100000000000001" customHeight="1" x14ac:dyDescent="0.25">
      <c r="A36" s="77"/>
      <c r="B36" s="2">
        <v>45545</v>
      </c>
      <c r="C36" s="3">
        <v>1401375998</v>
      </c>
      <c r="D36" s="3">
        <v>1</v>
      </c>
      <c r="E36" s="4" t="s">
        <v>939</v>
      </c>
      <c r="F36" s="19" t="s">
        <v>215</v>
      </c>
      <c r="G36" s="5" t="s">
        <v>7</v>
      </c>
      <c r="H36" s="6">
        <v>3000</v>
      </c>
    </row>
    <row r="37" spans="1:8" ht="20.100000000000001" customHeight="1" x14ac:dyDescent="0.25">
      <c r="A37" s="77"/>
      <c r="B37" s="2">
        <v>45546</v>
      </c>
      <c r="C37" s="3">
        <v>1064910985</v>
      </c>
      <c r="D37" s="3">
        <v>1</v>
      </c>
      <c r="E37" s="4" t="s">
        <v>895</v>
      </c>
      <c r="F37" s="19" t="s">
        <v>896</v>
      </c>
      <c r="G37" s="5" t="s">
        <v>6</v>
      </c>
      <c r="H37" s="6">
        <v>3000</v>
      </c>
    </row>
    <row r="38" spans="1:8" ht="20.100000000000001" customHeight="1" x14ac:dyDescent="0.25">
      <c r="A38" s="77"/>
      <c r="B38" s="2">
        <v>45546</v>
      </c>
      <c r="C38" s="3">
        <v>1129333725</v>
      </c>
      <c r="D38" s="3">
        <v>1</v>
      </c>
      <c r="E38" s="4" t="s">
        <v>973</v>
      </c>
      <c r="F38" s="19" t="s">
        <v>571</v>
      </c>
      <c r="G38" s="5" t="s">
        <v>7</v>
      </c>
      <c r="H38" s="6">
        <v>2800</v>
      </c>
    </row>
    <row r="39" spans="1:8" ht="20.100000000000001" customHeight="1" x14ac:dyDescent="0.25">
      <c r="A39" s="77"/>
      <c r="B39" s="2">
        <v>45546</v>
      </c>
      <c r="C39" s="3">
        <v>1129333725</v>
      </c>
      <c r="D39" s="3">
        <v>1</v>
      </c>
      <c r="E39" s="4" t="s">
        <v>973</v>
      </c>
      <c r="F39" s="19" t="s">
        <v>894</v>
      </c>
      <c r="G39" s="5" t="s">
        <v>7</v>
      </c>
      <c r="H39" s="6">
        <v>3000</v>
      </c>
    </row>
    <row r="40" spans="1:8" ht="20.100000000000001" customHeight="1" x14ac:dyDescent="0.25">
      <c r="A40" s="77"/>
      <c r="B40" s="2">
        <v>45554</v>
      </c>
      <c r="C40" s="3">
        <v>1348027477</v>
      </c>
      <c r="D40" s="3">
        <v>1</v>
      </c>
      <c r="E40" s="4" t="s">
        <v>407</v>
      </c>
      <c r="F40" s="19" t="s">
        <v>769</v>
      </c>
      <c r="G40" s="5" t="s">
        <v>6</v>
      </c>
      <c r="H40" s="6">
        <v>2800</v>
      </c>
    </row>
    <row r="41" spans="1:8" ht="20.100000000000001" customHeight="1" x14ac:dyDescent="0.25">
      <c r="A41" s="77"/>
      <c r="B41" s="2">
        <v>45554</v>
      </c>
      <c r="C41" s="3">
        <v>2768388204</v>
      </c>
      <c r="D41" s="3">
        <v>2</v>
      </c>
      <c r="E41" s="4" t="s">
        <v>457</v>
      </c>
      <c r="F41" s="19" t="s">
        <v>475</v>
      </c>
      <c r="G41" s="5" t="s">
        <v>7</v>
      </c>
      <c r="H41" s="6">
        <v>5000</v>
      </c>
    </row>
    <row r="42" spans="1:8" ht="20.100000000000001" customHeight="1" x14ac:dyDescent="0.25">
      <c r="A42" s="77"/>
      <c r="B42" s="2">
        <v>45559</v>
      </c>
      <c r="C42" s="3">
        <v>2260618812</v>
      </c>
      <c r="D42" s="3">
        <v>1</v>
      </c>
      <c r="E42" s="4" t="s">
        <v>974</v>
      </c>
      <c r="F42" s="19" t="s">
        <v>975</v>
      </c>
      <c r="G42" s="5" t="s">
        <v>10</v>
      </c>
      <c r="H42" s="6">
        <v>3000</v>
      </c>
    </row>
    <row r="43" spans="1:8" ht="20.100000000000001" customHeight="1" x14ac:dyDescent="0.25">
      <c r="A43" s="77"/>
      <c r="B43" s="2">
        <v>45572</v>
      </c>
      <c r="C43" s="3">
        <v>106120757</v>
      </c>
      <c r="D43" s="3">
        <v>1</v>
      </c>
      <c r="E43" s="4" t="s">
        <v>407</v>
      </c>
      <c r="F43" s="19" t="s">
        <v>213</v>
      </c>
      <c r="G43" s="5" t="s">
        <v>7</v>
      </c>
      <c r="H43" s="6">
        <v>1350</v>
      </c>
    </row>
    <row r="44" spans="1:8" ht="20.100000000000001" customHeight="1" x14ac:dyDescent="0.25">
      <c r="A44" s="77"/>
      <c r="B44" s="2">
        <v>45572</v>
      </c>
      <c r="C44" s="3">
        <v>2708360389</v>
      </c>
      <c r="D44" s="3">
        <v>2</v>
      </c>
      <c r="E44" s="4" t="s">
        <v>1043</v>
      </c>
      <c r="F44" s="19" t="s">
        <v>1044</v>
      </c>
      <c r="G44" s="5" t="s">
        <v>7</v>
      </c>
      <c r="H44" s="6">
        <v>5800</v>
      </c>
    </row>
    <row r="45" spans="1:8" ht="20.100000000000001" customHeight="1" x14ac:dyDescent="0.25">
      <c r="A45" s="77"/>
      <c r="B45" s="2">
        <v>45575</v>
      </c>
      <c r="C45" s="3">
        <v>4279648327</v>
      </c>
      <c r="D45" s="3">
        <v>1</v>
      </c>
      <c r="E45" s="4" t="s">
        <v>516</v>
      </c>
      <c r="F45" s="19" t="s">
        <v>1045</v>
      </c>
      <c r="G45" s="5" t="s">
        <v>13</v>
      </c>
      <c r="H45" s="6">
        <v>2800</v>
      </c>
    </row>
    <row r="46" spans="1:8" ht="20.100000000000001" customHeight="1" x14ac:dyDescent="0.25">
      <c r="A46" s="77"/>
      <c r="B46" s="2">
        <v>45580</v>
      </c>
      <c r="C46" s="3">
        <v>700796089</v>
      </c>
      <c r="D46" s="3">
        <v>2</v>
      </c>
      <c r="E46" s="4" t="s">
        <v>269</v>
      </c>
      <c r="F46" s="19" t="s">
        <v>213</v>
      </c>
      <c r="G46" s="5" t="s">
        <v>7</v>
      </c>
      <c r="H46" s="6">
        <v>6000</v>
      </c>
    </row>
    <row r="47" spans="1:8" ht="20.100000000000001" customHeight="1" x14ac:dyDescent="0.25">
      <c r="A47" s="77"/>
      <c r="B47" s="2">
        <v>45588</v>
      </c>
      <c r="C47" s="3">
        <v>3604039740</v>
      </c>
      <c r="D47" s="3">
        <v>1</v>
      </c>
      <c r="E47" s="4" t="s">
        <v>712</v>
      </c>
      <c r="F47" s="19" t="s">
        <v>896</v>
      </c>
      <c r="G47" s="5" t="s">
        <v>6</v>
      </c>
      <c r="H47" s="6">
        <v>3000</v>
      </c>
    </row>
    <row r="48" spans="1:8" ht="20.100000000000001" customHeight="1" x14ac:dyDescent="0.25">
      <c r="A48" s="77"/>
      <c r="B48" s="2">
        <v>45588</v>
      </c>
      <c r="C48" s="3">
        <v>3604039740</v>
      </c>
      <c r="D48" s="3">
        <v>1</v>
      </c>
      <c r="E48" s="4" t="s">
        <v>712</v>
      </c>
      <c r="F48" s="19" t="s">
        <v>1046</v>
      </c>
      <c r="G48" s="5" t="s">
        <v>6</v>
      </c>
      <c r="H48" s="6">
        <v>2800</v>
      </c>
    </row>
    <row r="49" spans="1:8" ht="20.100000000000001" customHeight="1" x14ac:dyDescent="0.25">
      <c r="A49" s="77"/>
      <c r="B49" s="2">
        <v>45589</v>
      </c>
      <c r="C49" s="3">
        <v>3816768821</v>
      </c>
      <c r="D49" s="3">
        <v>1</v>
      </c>
      <c r="E49" s="4" t="s">
        <v>1047</v>
      </c>
      <c r="F49" s="19" t="s">
        <v>571</v>
      </c>
      <c r="G49" s="5" t="s">
        <v>7</v>
      </c>
      <c r="H49" s="6">
        <v>2500</v>
      </c>
    </row>
    <row r="50" spans="1:8" ht="20.100000000000001" customHeight="1" x14ac:dyDescent="0.25">
      <c r="A50" s="77"/>
      <c r="B50" s="2">
        <v>45589</v>
      </c>
      <c r="C50" s="3">
        <v>3816768821</v>
      </c>
      <c r="D50" s="3">
        <v>3</v>
      </c>
      <c r="E50" s="4" t="s">
        <v>1047</v>
      </c>
      <c r="F50" s="19" t="s">
        <v>1048</v>
      </c>
      <c r="G50" s="5" t="s">
        <v>7</v>
      </c>
      <c r="H50" s="6">
        <v>8100</v>
      </c>
    </row>
    <row r="51" spans="1:8" ht="20.100000000000001" customHeight="1" x14ac:dyDescent="0.25">
      <c r="A51" s="77"/>
      <c r="B51" s="2">
        <v>45594</v>
      </c>
      <c r="C51" s="3">
        <v>1213222143</v>
      </c>
      <c r="D51" s="3">
        <v>1</v>
      </c>
      <c r="E51" s="4" t="s">
        <v>107</v>
      </c>
      <c r="F51" s="19" t="s">
        <v>215</v>
      </c>
      <c r="G51" s="5" t="s">
        <v>6</v>
      </c>
      <c r="H51" s="6">
        <v>3000</v>
      </c>
    </row>
    <row r="52" spans="1:8" ht="20.100000000000001" customHeight="1" x14ac:dyDescent="0.25">
      <c r="A52" s="77"/>
      <c r="B52" s="2">
        <v>45595</v>
      </c>
      <c r="C52" s="3">
        <v>254627593</v>
      </c>
      <c r="D52" s="3">
        <v>1</v>
      </c>
      <c r="E52" s="4" t="s">
        <v>586</v>
      </c>
      <c r="F52" s="19" t="s">
        <v>1049</v>
      </c>
      <c r="G52" s="5" t="s">
        <v>11</v>
      </c>
      <c r="H52" s="6">
        <v>1800</v>
      </c>
    </row>
    <row r="53" spans="1:8" ht="20.100000000000001" customHeight="1" x14ac:dyDescent="0.25">
      <c r="A53" s="77"/>
      <c r="B53" s="2">
        <v>45595</v>
      </c>
      <c r="C53" s="3">
        <v>254627593</v>
      </c>
      <c r="D53" s="3">
        <v>1</v>
      </c>
      <c r="E53" s="4" t="s">
        <v>586</v>
      </c>
      <c r="F53" s="19" t="s">
        <v>1050</v>
      </c>
      <c r="G53" s="5" t="s">
        <v>10</v>
      </c>
      <c r="H53" s="6">
        <v>1000</v>
      </c>
    </row>
    <row r="54" spans="1:8" ht="20.100000000000001" customHeight="1" x14ac:dyDescent="0.25">
      <c r="A54" s="77"/>
      <c r="B54" s="2">
        <v>45595</v>
      </c>
      <c r="C54" s="3">
        <v>254627593</v>
      </c>
      <c r="D54" s="3">
        <v>2</v>
      </c>
      <c r="E54" s="4" t="s">
        <v>586</v>
      </c>
      <c r="F54" s="19" t="s">
        <v>1046</v>
      </c>
      <c r="G54" s="5" t="s">
        <v>10</v>
      </c>
      <c r="H54" s="6">
        <v>5600</v>
      </c>
    </row>
    <row r="55" spans="1:8" ht="20.100000000000001" customHeight="1" x14ac:dyDescent="0.25">
      <c r="A55" s="77"/>
      <c r="B55" s="2">
        <v>45611</v>
      </c>
      <c r="C55" s="3">
        <v>366953469</v>
      </c>
      <c r="D55" s="3">
        <v>8</v>
      </c>
      <c r="E55" s="4" t="s">
        <v>254</v>
      </c>
      <c r="F55" s="19" t="s">
        <v>213</v>
      </c>
      <c r="G55" s="5" t="s">
        <v>10</v>
      </c>
      <c r="H55" s="6">
        <v>22050</v>
      </c>
    </row>
    <row r="56" spans="1:8" ht="20.100000000000001" customHeight="1" x14ac:dyDescent="0.25">
      <c r="A56" s="77"/>
      <c r="B56" s="2">
        <v>45615</v>
      </c>
      <c r="C56" s="3">
        <v>3682815745</v>
      </c>
      <c r="D56" s="3">
        <v>3</v>
      </c>
      <c r="E56" s="4" t="s">
        <v>1127</v>
      </c>
      <c r="F56" s="19" t="s">
        <v>1135</v>
      </c>
      <c r="G56" s="5" t="s">
        <v>7</v>
      </c>
      <c r="H56" s="6">
        <v>8400</v>
      </c>
    </row>
    <row r="57" spans="1:8" ht="20.100000000000001" customHeight="1" x14ac:dyDescent="0.25">
      <c r="A57" s="77"/>
      <c r="B57" s="2">
        <v>45615</v>
      </c>
      <c r="C57" s="3">
        <v>1722369741</v>
      </c>
      <c r="D57" s="3">
        <v>1</v>
      </c>
      <c r="E57" s="4" t="s">
        <v>802</v>
      </c>
      <c r="F57" s="19" t="s">
        <v>1135</v>
      </c>
      <c r="G57" s="5" t="s">
        <v>11</v>
      </c>
      <c r="H57" s="6">
        <v>2800</v>
      </c>
    </row>
    <row r="58" spans="1:8" ht="20.100000000000001" customHeight="1" x14ac:dyDescent="0.25">
      <c r="A58" s="77"/>
      <c r="B58" s="2">
        <v>45615</v>
      </c>
      <c r="C58" s="3">
        <v>4109519947</v>
      </c>
      <c r="D58" s="3">
        <v>5</v>
      </c>
      <c r="E58" s="4" t="s">
        <v>1136</v>
      </c>
      <c r="F58" s="19" t="s">
        <v>1135</v>
      </c>
      <c r="G58" s="5" t="s">
        <v>7</v>
      </c>
      <c r="H58" s="6">
        <v>14000</v>
      </c>
    </row>
    <row r="59" spans="1:8" ht="20.100000000000001" customHeight="1" x14ac:dyDescent="0.25">
      <c r="A59" s="77"/>
      <c r="B59" s="2">
        <v>45615</v>
      </c>
      <c r="C59" s="3">
        <v>5721757</v>
      </c>
      <c r="D59" s="3">
        <v>1</v>
      </c>
      <c r="E59" s="4" t="s">
        <v>1137</v>
      </c>
      <c r="F59" s="19" t="s">
        <v>1138</v>
      </c>
      <c r="G59" s="5" t="s">
        <v>7</v>
      </c>
      <c r="H59" s="6">
        <v>2996</v>
      </c>
    </row>
    <row r="60" spans="1:8" ht="20.100000000000001" customHeight="1" x14ac:dyDescent="0.25">
      <c r="A60" s="77"/>
      <c r="B60" s="2">
        <v>45615</v>
      </c>
      <c r="C60" s="3">
        <v>565539822</v>
      </c>
      <c r="D60" s="3">
        <v>2</v>
      </c>
      <c r="E60" s="4" t="s">
        <v>1139</v>
      </c>
      <c r="F60" s="19" t="s">
        <v>1135</v>
      </c>
      <c r="G60" s="5" t="s">
        <v>6</v>
      </c>
      <c r="H60" s="6">
        <v>5600</v>
      </c>
    </row>
    <row r="61" spans="1:8" ht="20.100000000000001" customHeight="1" x14ac:dyDescent="0.25">
      <c r="A61" s="77"/>
      <c r="B61" s="2">
        <v>45616</v>
      </c>
      <c r="C61" s="3">
        <v>2643872842</v>
      </c>
      <c r="D61" s="3">
        <v>1</v>
      </c>
      <c r="E61" s="4" t="s">
        <v>1140</v>
      </c>
      <c r="F61" s="19" t="s">
        <v>1141</v>
      </c>
      <c r="G61" s="5" t="s">
        <v>7</v>
      </c>
      <c r="H61" s="6">
        <v>2800</v>
      </c>
    </row>
    <row r="62" spans="1:8" ht="20.100000000000001" customHeight="1" x14ac:dyDescent="0.25">
      <c r="A62" s="77"/>
      <c r="B62" s="2">
        <v>45616</v>
      </c>
      <c r="C62" s="3">
        <v>3967503219</v>
      </c>
      <c r="D62" s="3">
        <v>2</v>
      </c>
      <c r="E62" s="4" t="s">
        <v>1142</v>
      </c>
      <c r="F62" s="19" t="s">
        <v>1141</v>
      </c>
      <c r="G62" s="5" t="s">
        <v>7</v>
      </c>
      <c r="H62" s="6">
        <v>5600</v>
      </c>
    </row>
    <row r="63" spans="1:8" ht="20.100000000000001" customHeight="1" x14ac:dyDescent="0.25">
      <c r="A63" s="77"/>
      <c r="B63" s="2">
        <v>45616</v>
      </c>
      <c r="C63" s="3">
        <v>2755348199</v>
      </c>
      <c r="D63" s="3">
        <v>2</v>
      </c>
      <c r="E63" s="4" t="s">
        <v>1143</v>
      </c>
      <c r="F63" s="19" t="s">
        <v>213</v>
      </c>
      <c r="G63" s="5" t="s">
        <v>7</v>
      </c>
      <c r="H63" s="6">
        <v>5600</v>
      </c>
    </row>
    <row r="64" spans="1:8" ht="20.100000000000001" customHeight="1" x14ac:dyDescent="0.25">
      <c r="A64" s="77"/>
      <c r="B64" s="2">
        <v>45617</v>
      </c>
      <c r="C64" s="3">
        <v>1000885408</v>
      </c>
      <c r="D64" s="3">
        <v>1</v>
      </c>
      <c r="E64" s="4" t="s">
        <v>1144</v>
      </c>
      <c r="F64" s="19" t="s">
        <v>215</v>
      </c>
      <c r="G64" s="5" t="s">
        <v>7</v>
      </c>
      <c r="H64" s="6">
        <v>2800</v>
      </c>
    </row>
    <row r="65" spans="1:8" ht="20.100000000000001" customHeight="1" x14ac:dyDescent="0.25">
      <c r="A65" s="77"/>
      <c r="B65" s="2">
        <v>45624</v>
      </c>
      <c r="C65" s="3">
        <v>1438533192</v>
      </c>
      <c r="D65" s="3">
        <v>3</v>
      </c>
      <c r="E65" s="4" t="s">
        <v>1134</v>
      </c>
      <c r="F65" s="19" t="s">
        <v>1145</v>
      </c>
      <c r="G65" s="5" t="s">
        <v>10</v>
      </c>
      <c r="H65" s="6">
        <v>8400</v>
      </c>
    </row>
    <row r="66" spans="1:8" ht="20.100000000000001" customHeight="1" x14ac:dyDescent="0.25">
      <c r="A66" s="77"/>
      <c r="B66" s="2">
        <v>45628</v>
      </c>
      <c r="C66" s="3">
        <v>3802418026</v>
      </c>
      <c r="D66" s="3">
        <v>1</v>
      </c>
      <c r="E66" s="4" t="s">
        <v>85</v>
      </c>
      <c r="F66" s="19" t="s">
        <v>1049</v>
      </c>
      <c r="G66" s="5" t="s">
        <v>7</v>
      </c>
      <c r="H66" s="6">
        <v>800</v>
      </c>
    </row>
    <row r="67" spans="1:8" ht="20.100000000000001" customHeight="1" x14ac:dyDescent="0.25">
      <c r="A67" s="77"/>
      <c r="B67" s="2">
        <v>45628</v>
      </c>
      <c r="C67" s="3">
        <v>3802418026</v>
      </c>
      <c r="D67" s="3">
        <v>1</v>
      </c>
      <c r="E67" s="4" t="s">
        <v>85</v>
      </c>
      <c r="F67" s="19" t="s">
        <v>1050</v>
      </c>
      <c r="G67" s="5" t="s">
        <v>11</v>
      </c>
      <c r="H67" s="6">
        <v>2000</v>
      </c>
    </row>
    <row r="68" spans="1:8" ht="20.100000000000001" customHeight="1" x14ac:dyDescent="0.25">
      <c r="A68" s="77"/>
      <c r="B68" s="2">
        <v>45642</v>
      </c>
      <c r="C68" s="3">
        <v>2150059189</v>
      </c>
      <c r="D68" s="3">
        <v>1</v>
      </c>
      <c r="E68" s="4" t="s">
        <v>1248</v>
      </c>
      <c r="F68" s="19" t="s">
        <v>571</v>
      </c>
      <c r="G68" s="5" t="s">
        <v>7</v>
      </c>
      <c r="H68" s="6">
        <v>2800</v>
      </c>
    </row>
    <row r="69" spans="1:8" ht="20.100000000000001" customHeight="1" x14ac:dyDescent="0.25">
      <c r="A69" s="78"/>
      <c r="B69" s="13"/>
      <c r="C69" s="14"/>
      <c r="D69" s="14"/>
      <c r="E69" s="18" t="s">
        <v>5</v>
      </c>
      <c r="F69" s="15"/>
      <c r="G69" s="16"/>
      <c r="H69" s="17">
        <f>SUM(H3:H68)</f>
        <v>259696</v>
      </c>
    </row>
  </sheetData>
  <mergeCells count="8">
    <mergeCell ref="A1:A69"/>
    <mergeCell ref="G1:G2"/>
    <mergeCell ref="H1:H2"/>
    <mergeCell ref="B1:B2"/>
    <mergeCell ref="C1:C2"/>
    <mergeCell ref="D1:D2"/>
    <mergeCell ref="E1:E2"/>
    <mergeCell ref="F1:F2"/>
  </mergeCells>
  <pageMargins left="0.7" right="0.7" top="0.75" bottom="0.75" header="0.3" footer="0.3"/>
  <pageSetup paperSize="9" orientation="portrait" horizontalDpi="120" verticalDpi="7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7"/>
  <sheetViews>
    <sheetView topLeftCell="A91" workbookViewId="0">
      <selection activeCell="N103" sqref="N103"/>
    </sheetView>
  </sheetViews>
  <sheetFormatPr baseColWidth="10" defaultColWidth="9.140625" defaultRowHeight="15" x14ac:dyDescent="0.25"/>
  <cols>
    <col min="1" max="1" width="13.5703125" bestFit="1" customWidth="1"/>
    <col min="2" max="2" width="12.7109375" bestFit="1" customWidth="1"/>
    <col min="3" max="3" width="17.42578125" customWidth="1"/>
    <col min="4" max="4" width="11" customWidth="1"/>
    <col min="5" max="5" width="32.42578125" bestFit="1" customWidth="1"/>
    <col min="6" max="6" width="33.140625" style="1" customWidth="1"/>
    <col min="7" max="7" width="16.140625" customWidth="1"/>
    <col min="8" max="8" width="14.28515625" bestFit="1" customWidth="1"/>
  </cols>
  <sheetData>
    <row r="1" spans="1:8" ht="15" customHeight="1" x14ac:dyDescent="0.25">
      <c r="A1" s="83" t="s">
        <v>12</v>
      </c>
      <c r="B1" s="81" t="s">
        <v>0</v>
      </c>
      <c r="C1" s="82" t="s">
        <v>1</v>
      </c>
      <c r="D1" s="82" t="s">
        <v>2</v>
      </c>
      <c r="E1" s="82" t="s">
        <v>3</v>
      </c>
      <c r="F1" s="82" t="s">
        <v>8</v>
      </c>
      <c r="G1" s="79" t="s">
        <v>4</v>
      </c>
      <c r="H1" s="80" t="s">
        <v>5</v>
      </c>
    </row>
    <row r="2" spans="1:8" ht="15" customHeight="1" x14ac:dyDescent="0.25">
      <c r="A2" s="84"/>
      <c r="B2" s="72"/>
      <c r="C2" s="74"/>
      <c r="D2" s="74"/>
      <c r="E2" s="74"/>
      <c r="F2" s="74"/>
      <c r="G2" s="68"/>
      <c r="H2" s="70"/>
    </row>
    <row r="3" spans="1:8" ht="20.100000000000001" customHeight="1" x14ac:dyDescent="0.25">
      <c r="A3" s="84"/>
      <c r="B3" s="2">
        <v>45299</v>
      </c>
      <c r="C3" s="3">
        <v>1796296041</v>
      </c>
      <c r="D3" s="3">
        <v>4</v>
      </c>
      <c r="E3" s="4" t="s">
        <v>127</v>
      </c>
      <c r="F3" s="4" t="s">
        <v>128</v>
      </c>
      <c r="G3" s="5" t="s">
        <v>19</v>
      </c>
      <c r="H3" s="6">
        <v>700</v>
      </c>
    </row>
    <row r="4" spans="1:8" ht="20.100000000000001" customHeight="1" x14ac:dyDescent="0.25">
      <c r="A4" s="84"/>
      <c r="B4" s="2">
        <v>45303</v>
      </c>
      <c r="C4" s="3">
        <v>2664123217</v>
      </c>
      <c r="D4" s="3">
        <v>4</v>
      </c>
      <c r="E4" s="4" t="s">
        <v>88</v>
      </c>
      <c r="F4" s="4" t="s">
        <v>129</v>
      </c>
      <c r="G4" s="5" t="s">
        <v>11</v>
      </c>
      <c r="H4" s="6">
        <v>925</v>
      </c>
    </row>
    <row r="5" spans="1:8" ht="20.100000000000001" customHeight="1" x14ac:dyDescent="0.25">
      <c r="A5" s="84"/>
      <c r="B5" s="2">
        <v>45303</v>
      </c>
      <c r="C5" s="3">
        <v>2664123217</v>
      </c>
      <c r="D5" s="3">
        <v>4</v>
      </c>
      <c r="E5" s="4" t="s">
        <v>88</v>
      </c>
      <c r="F5" s="4" t="s">
        <v>128</v>
      </c>
      <c r="G5" s="5" t="s">
        <v>11</v>
      </c>
      <c r="H5" s="6">
        <v>700</v>
      </c>
    </row>
    <row r="6" spans="1:8" ht="20.100000000000001" customHeight="1" x14ac:dyDescent="0.25">
      <c r="A6" s="84"/>
      <c r="B6" s="2">
        <v>45303</v>
      </c>
      <c r="C6" s="3">
        <v>2664123217</v>
      </c>
      <c r="D6" s="3">
        <v>4</v>
      </c>
      <c r="E6" s="4" t="s">
        <v>88</v>
      </c>
      <c r="F6" s="4" t="s">
        <v>130</v>
      </c>
      <c r="G6" s="5" t="s">
        <v>11</v>
      </c>
      <c r="H6" s="6">
        <v>600</v>
      </c>
    </row>
    <row r="7" spans="1:8" ht="20.100000000000001" customHeight="1" x14ac:dyDescent="0.25">
      <c r="A7" s="84"/>
      <c r="B7" s="2">
        <v>45306</v>
      </c>
      <c r="C7" s="3">
        <v>2969323793</v>
      </c>
      <c r="D7" s="3">
        <v>4</v>
      </c>
      <c r="E7" s="4" t="s">
        <v>131</v>
      </c>
      <c r="F7" s="4" t="s">
        <v>132</v>
      </c>
      <c r="G7" s="5" t="s">
        <v>19</v>
      </c>
      <c r="H7" s="6">
        <v>800</v>
      </c>
    </row>
    <row r="8" spans="1:8" ht="20.100000000000001" customHeight="1" x14ac:dyDescent="0.25">
      <c r="A8" s="84"/>
      <c r="B8" s="2">
        <v>45321</v>
      </c>
      <c r="C8" s="3">
        <v>1497121117</v>
      </c>
      <c r="D8" s="3">
        <v>4</v>
      </c>
      <c r="E8" s="4" t="s">
        <v>133</v>
      </c>
      <c r="F8" s="4" t="s">
        <v>129</v>
      </c>
      <c r="G8" s="5" t="s">
        <v>19</v>
      </c>
      <c r="H8" s="6">
        <v>925</v>
      </c>
    </row>
    <row r="9" spans="1:8" ht="20.100000000000001" customHeight="1" x14ac:dyDescent="0.25">
      <c r="A9" s="84"/>
      <c r="B9" s="2">
        <v>45348</v>
      </c>
      <c r="C9" s="3">
        <v>967132962</v>
      </c>
      <c r="D9" s="3">
        <v>4</v>
      </c>
      <c r="E9" s="4" t="s">
        <v>216</v>
      </c>
      <c r="F9" s="4" t="s">
        <v>129</v>
      </c>
      <c r="G9" s="5" t="s">
        <v>7</v>
      </c>
      <c r="H9" s="6">
        <v>925</v>
      </c>
    </row>
    <row r="10" spans="1:8" ht="20.100000000000001" customHeight="1" x14ac:dyDescent="0.25">
      <c r="A10" s="84"/>
      <c r="B10" s="2">
        <v>45350</v>
      </c>
      <c r="C10" s="3">
        <v>1167212614</v>
      </c>
      <c r="D10" s="3">
        <v>4</v>
      </c>
      <c r="E10" s="4" t="s">
        <v>217</v>
      </c>
      <c r="F10" s="4" t="s">
        <v>218</v>
      </c>
      <c r="G10" s="5" t="s">
        <v>13</v>
      </c>
      <c r="H10" s="6">
        <v>700</v>
      </c>
    </row>
    <row r="11" spans="1:8" ht="20.100000000000001" customHeight="1" x14ac:dyDescent="0.25">
      <c r="A11" s="84"/>
      <c r="B11" s="2">
        <v>45364</v>
      </c>
      <c r="C11" s="3">
        <v>983714375</v>
      </c>
      <c r="D11" s="3">
        <v>4</v>
      </c>
      <c r="E11" s="4" t="s">
        <v>312</v>
      </c>
      <c r="F11" s="4" t="s">
        <v>313</v>
      </c>
      <c r="G11" s="5" t="s">
        <v>6</v>
      </c>
      <c r="H11" s="6">
        <v>1250</v>
      </c>
    </row>
    <row r="12" spans="1:8" ht="20.100000000000001" customHeight="1" x14ac:dyDescent="0.25">
      <c r="A12" s="84"/>
      <c r="B12" s="2">
        <v>45364</v>
      </c>
      <c r="C12" s="3">
        <v>983714375</v>
      </c>
      <c r="D12" s="3">
        <v>4</v>
      </c>
      <c r="E12" s="4" t="s">
        <v>312</v>
      </c>
      <c r="F12" s="4" t="s">
        <v>128</v>
      </c>
      <c r="G12" s="5" t="s">
        <v>6</v>
      </c>
      <c r="H12" s="6">
        <v>700</v>
      </c>
    </row>
    <row r="13" spans="1:8" ht="20.100000000000001" customHeight="1" x14ac:dyDescent="0.25">
      <c r="A13" s="84"/>
      <c r="B13" s="2">
        <v>45371</v>
      </c>
      <c r="C13" s="3">
        <v>3505670277</v>
      </c>
      <c r="D13" s="3">
        <v>2</v>
      </c>
      <c r="E13" s="4" t="s">
        <v>314</v>
      </c>
      <c r="F13" s="4" t="s">
        <v>315</v>
      </c>
      <c r="G13" s="5" t="s">
        <v>19</v>
      </c>
      <c r="H13" s="6">
        <v>500</v>
      </c>
    </row>
    <row r="14" spans="1:8" ht="20.100000000000001" customHeight="1" x14ac:dyDescent="0.25">
      <c r="A14" s="84"/>
      <c r="B14" s="2">
        <v>45371</v>
      </c>
      <c r="C14" s="3">
        <v>3505670277</v>
      </c>
      <c r="D14" s="3">
        <v>2</v>
      </c>
      <c r="E14" s="4" t="s">
        <v>314</v>
      </c>
      <c r="F14" s="4" t="s">
        <v>316</v>
      </c>
      <c r="G14" s="5" t="s">
        <v>19</v>
      </c>
      <c r="H14" s="6">
        <v>625</v>
      </c>
    </row>
    <row r="15" spans="1:8" ht="20.100000000000001" customHeight="1" x14ac:dyDescent="0.25">
      <c r="A15" s="84"/>
      <c r="B15" s="2">
        <v>45371</v>
      </c>
      <c r="C15" s="3">
        <v>3505670277</v>
      </c>
      <c r="D15" s="3">
        <v>2</v>
      </c>
      <c r="E15" s="4" t="s">
        <v>314</v>
      </c>
      <c r="F15" s="4" t="s">
        <v>128</v>
      </c>
      <c r="G15" s="5" t="s">
        <v>19</v>
      </c>
      <c r="H15" s="6">
        <v>350</v>
      </c>
    </row>
    <row r="16" spans="1:8" ht="20.100000000000001" customHeight="1" x14ac:dyDescent="0.25">
      <c r="A16" s="84"/>
      <c r="B16" s="2">
        <v>45371</v>
      </c>
      <c r="C16" s="3">
        <v>3505670277</v>
      </c>
      <c r="D16" s="3">
        <v>2</v>
      </c>
      <c r="E16" s="4" t="s">
        <v>314</v>
      </c>
      <c r="F16" s="4" t="s">
        <v>313</v>
      </c>
      <c r="G16" s="5" t="s">
        <v>19</v>
      </c>
      <c r="H16" s="6">
        <v>625</v>
      </c>
    </row>
    <row r="17" spans="1:8" ht="20.100000000000001" customHeight="1" x14ac:dyDescent="0.25">
      <c r="A17" s="84"/>
      <c r="B17" s="2">
        <v>45371</v>
      </c>
      <c r="C17" s="3">
        <v>3505670277</v>
      </c>
      <c r="D17" s="3">
        <v>2</v>
      </c>
      <c r="E17" s="4" t="s">
        <v>314</v>
      </c>
      <c r="F17" s="4" t="s">
        <v>129</v>
      </c>
      <c r="G17" s="5" t="s">
        <v>19</v>
      </c>
      <c r="H17" s="6">
        <v>462.5</v>
      </c>
    </row>
    <row r="18" spans="1:8" ht="20.100000000000001" customHeight="1" x14ac:dyDescent="0.25">
      <c r="A18" s="84"/>
      <c r="B18" s="2">
        <v>45390</v>
      </c>
      <c r="C18" s="3">
        <v>3432858299</v>
      </c>
      <c r="D18" s="3">
        <v>4</v>
      </c>
      <c r="E18" s="4" t="s">
        <v>478</v>
      </c>
      <c r="F18" s="4" t="s">
        <v>479</v>
      </c>
      <c r="G18" s="5" t="s">
        <v>7</v>
      </c>
      <c r="H18" s="6">
        <v>820</v>
      </c>
    </row>
    <row r="19" spans="1:8" ht="20.100000000000001" customHeight="1" x14ac:dyDescent="0.25">
      <c r="A19" s="84"/>
      <c r="B19" s="2">
        <v>45390</v>
      </c>
      <c r="C19" s="3">
        <v>3432858299</v>
      </c>
      <c r="D19" s="3">
        <v>4</v>
      </c>
      <c r="E19" s="4" t="s">
        <v>478</v>
      </c>
      <c r="F19" s="4" t="s">
        <v>480</v>
      </c>
      <c r="G19" s="5" t="s">
        <v>7</v>
      </c>
      <c r="H19" s="6">
        <v>925</v>
      </c>
    </row>
    <row r="20" spans="1:8" ht="20.100000000000001" customHeight="1" x14ac:dyDescent="0.25">
      <c r="A20" s="84"/>
      <c r="B20" s="2">
        <v>45400</v>
      </c>
      <c r="C20" s="3">
        <v>3358408824</v>
      </c>
      <c r="D20" s="3">
        <v>4</v>
      </c>
      <c r="E20" s="4" t="s">
        <v>481</v>
      </c>
      <c r="F20" s="4" t="s">
        <v>313</v>
      </c>
      <c r="G20" s="5" t="s">
        <v>6</v>
      </c>
      <c r="H20" s="6">
        <v>1250</v>
      </c>
    </row>
    <row r="21" spans="1:8" ht="20.100000000000001" customHeight="1" x14ac:dyDescent="0.25">
      <c r="A21" s="84"/>
      <c r="B21" s="2">
        <v>45400</v>
      </c>
      <c r="C21" s="3">
        <v>3358408824</v>
      </c>
      <c r="D21" s="3">
        <v>4</v>
      </c>
      <c r="E21" s="4" t="s">
        <v>481</v>
      </c>
      <c r="F21" s="4" t="s">
        <v>128</v>
      </c>
      <c r="G21" s="5" t="s">
        <v>6</v>
      </c>
      <c r="H21" s="6">
        <v>700</v>
      </c>
    </row>
    <row r="22" spans="1:8" ht="20.100000000000001" customHeight="1" x14ac:dyDescent="0.25">
      <c r="A22" s="84"/>
      <c r="B22" s="2">
        <v>45400</v>
      </c>
      <c r="C22" s="3">
        <v>3358408824</v>
      </c>
      <c r="D22" s="3">
        <v>4</v>
      </c>
      <c r="E22" s="4" t="s">
        <v>481</v>
      </c>
      <c r="F22" s="4" t="s">
        <v>129</v>
      </c>
      <c r="G22" s="5" t="s">
        <v>6</v>
      </c>
      <c r="H22" s="6">
        <v>925</v>
      </c>
    </row>
    <row r="23" spans="1:8" ht="20.100000000000001" customHeight="1" x14ac:dyDescent="0.25">
      <c r="A23" s="84"/>
      <c r="B23" s="2">
        <v>45400</v>
      </c>
      <c r="C23" s="3">
        <v>3358408824</v>
      </c>
      <c r="D23" s="3">
        <v>4</v>
      </c>
      <c r="E23" s="4" t="s">
        <v>481</v>
      </c>
      <c r="F23" s="4" t="s">
        <v>482</v>
      </c>
      <c r="G23" s="5" t="s">
        <v>6</v>
      </c>
      <c r="H23" s="6">
        <v>900</v>
      </c>
    </row>
    <row r="24" spans="1:8" ht="20.100000000000001" customHeight="1" x14ac:dyDescent="0.25">
      <c r="A24" s="84"/>
      <c r="B24" s="2">
        <v>45405</v>
      </c>
      <c r="C24" s="3">
        <v>1468024230</v>
      </c>
      <c r="D24" s="3">
        <v>4</v>
      </c>
      <c r="E24" s="4" t="s">
        <v>483</v>
      </c>
      <c r="F24" s="4" t="s">
        <v>313</v>
      </c>
      <c r="G24" s="5" t="s">
        <v>19</v>
      </c>
      <c r="H24" s="6">
        <v>1250</v>
      </c>
    </row>
    <row r="25" spans="1:8" ht="20.100000000000001" customHeight="1" x14ac:dyDescent="0.25">
      <c r="A25" s="84"/>
      <c r="B25" s="2">
        <v>45405</v>
      </c>
      <c r="C25" s="3">
        <v>1468024230</v>
      </c>
      <c r="D25" s="3">
        <v>4</v>
      </c>
      <c r="E25" s="4" t="s">
        <v>483</v>
      </c>
      <c r="F25" s="4" t="s">
        <v>128</v>
      </c>
      <c r="G25" s="5" t="s">
        <v>19</v>
      </c>
      <c r="H25" s="6">
        <v>700</v>
      </c>
    </row>
    <row r="26" spans="1:8" ht="20.100000000000001" customHeight="1" x14ac:dyDescent="0.25">
      <c r="A26" s="84"/>
      <c r="B26" s="2">
        <v>45405</v>
      </c>
      <c r="C26" s="3">
        <v>1468024230</v>
      </c>
      <c r="D26" s="3">
        <v>4</v>
      </c>
      <c r="E26" s="4" t="s">
        <v>483</v>
      </c>
      <c r="F26" s="4" t="s">
        <v>129</v>
      </c>
      <c r="G26" s="5" t="s">
        <v>19</v>
      </c>
      <c r="H26" s="6">
        <v>925</v>
      </c>
    </row>
    <row r="27" spans="1:8" ht="15.75" x14ac:dyDescent="0.25">
      <c r="A27" s="84"/>
      <c r="B27" s="2">
        <v>45420</v>
      </c>
      <c r="C27" s="3">
        <v>724585205</v>
      </c>
      <c r="D27" s="3">
        <v>1</v>
      </c>
      <c r="E27" s="4" t="s">
        <v>572</v>
      </c>
      <c r="F27" s="4" t="s">
        <v>128</v>
      </c>
      <c r="G27" s="5" t="s">
        <v>6</v>
      </c>
      <c r="H27" s="6">
        <v>264.5</v>
      </c>
    </row>
    <row r="28" spans="1:8" ht="20.100000000000001" customHeight="1" x14ac:dyDescent="0.25">
      <c r="A28" s="84"/>
      <c r="B28" s="2">
        <v>45420</v>
      </c>
      <c r="C28" s="3">
        <v>724585205</v>
      </c>
      <c r="D28" s="3">
        <v>1</v>
      </c>
      <c r="E28" s="4" t="s">
        <v>572</v>
      </c>
      <c r="F28" s="4" t="s">
        <v>129</v>
      </c>
      <c r="G28" s="5" t="s">
        <v>6</v>
      </c>
      <c r="H28" s="6">
        <v>264.5</v>
      </c>
    </row>
    <row r="29" spans="1:8" ht="20.100000000000001" customHeight="1" x14ac:dyDescent="0.25">
      <c r="A29" s="84"/>
      <c r="B29" s="2">
        <v>45432</v>
      </c>
      <c r="C29" s="3">
        <v>4029893618</v>
      </c>
      <c r="D29" s="3">
        <v>4</v>
      </c>
      <c r="E29" s="4" t="s">
        <v>573</v>
      </c>
      <c r="F29" s="4" t="s">
        <v>128</v>
      </c>
      <c r="G29" s="5" t="s">
        <v>10</v>
      </c>
      <c r="H29" s="6">
        <v>700</v>
      </c>
    </row>
    <row r="30" spans="1:8" ht="20.100000000000001" customHeight="1" x14ac:dyDescent="0.25">
      <c r="A30" s="84"/>
      <c r="B30" s="2">
        <v>45432</v>
      </c>
      <c r="C30" s="3">
        <v>4029893618</v>
      </c>
      <c r="D30" s="3">
        <v>4</v>
      </c>
      <c r="E30" s="4" t="s">
        <v>573</v>
      </c>
      <c r="F30" s="4" t="s">
        <v>130</v>
      </c>
      <c r="G30" s="5" t="s">
        <v>10</v>
      </c>
      <c r="H30" s="6">
        <v>500</v>
      </c>
    </row>
    <row r="31" spans="1:8" ht="20.100000000000001" customHeight="1" x14ac:dyDescent="0.25">
      <c r="A31" s="84"/>
      <c r="B31" s="2">
        <v>45432</v>
      </c>
      <c r="C31" s="3">
        <v>4029893618</v>
      </c>
      <c r="D31" s="3">
        <v>4</v>
      </c>
      <c r="E31" s="4" t="s">
        <v>573</v>
      </c>
      <c r="F31" s="4" t="s">
        <v>129</v>
      </c>
      <c r="G31" s="5" t="s">
        <v>10</v>
      </c>
      <c r="H31" s="6">
        <v>925</v>
      </c>
    </row>
    <row r="32" spans="1:8" ht="20.100000000000001" customHeight="1" x14ac:dyDescent="0.25">
      <c r="A32" s="84"/>
      <c r="B32" s="2">
        <v>45434</v>
      </c>
      <c r="C32" s="3">
        <v>2334605387</v>
      </c>
      <c r="D32" s="3">
        <v>4</v>
      </c>
      <c r="E32" s="4" t="s">
        <v>574</v>
      </c>
      <c r="F32" s="4" t="s">
        <v>129</v>
      </c>
      <c r="G32" s="5" t="s">
        <v>6</v>
      </c>
      <c r="H32" s="6">
        <v>925</v>
      </c>
    </row>
    <row r="33" spans="1:8" ht="20.100000000000001" customHeight="1" x14ac:dyDescent="0.25">
      <c r="A33" s="84"/>
      <c r="B33" s="2">
        <v>45434</v>
      </c>
      <c r="C33" s="3">
        <v>1018054978</v>
      </c>
      <c r="D33" s="3">
        <v>4</v>
      </c>
      <c r="E33" s="4" t="s">
        <v>575</v>
      </c>
      <c r="F33" s="4" t="s">
        <v>128</v>
      </c>
      <c r="G33" s="5" t="s">
        <v>6</v>
      </c>
      <c r="H33" s="6">
        <v>700</v>
      </c>
    </row>
    <row r="34" spans="1:8" ht="20.100000000000001" customHeight="1" x14ac:dyDescent="0.25">
      <c r="A34" s="84"/>
      <c r="B34" s="2">
        <v>45434</v>
      </c>
      <c r="C34" s="3">
        <v>1018054978</v>
      </c>
      <c r="D34" s="3">
        <v>4</v>
      </c>
      <c r="E34" s="4" t="s">
        <v>576</v>
      </c>
      <c r="F34" s="4" t="s">
        <v>129</v>
      </c>
      <c r="G34" s="5" t="s">
        <v>6</v>
      </c>
      <c r="H34" s="6">
        <v>925</v>
      </c>
    </row>
    <row r="35" spans="1:8" ht="30" x14ac:dyDescent="0.25">
      <c r="A35" s="84"/>
      <c r="B35" s="2">
        <v>45435</v>
      </c>
      <c r="C35" s="3">
        <v>580797068</v>
      </c>
      <c r="D35" s="3">
        <v>4</v>
      </c>
      <c r="E35" s="4" t="s">
        <v>577</v>
      </c>
      <c r="F35" s="4" t="s">
        <v>316</v>
      </c>
      <c r="G35" s="5" t="s">
        <v>6</v>
      </c>
      <c r="H35" s="6">
        <v>950</v>
      </c>
    </row>
    <row r="36" spans="1:8" ht="20.100000000000001" customHeight="1" x14ac:dyDescent="0.25">
      <c r="A36" s="84"/>
      <c r="B36" s="2">
        <v>45435</v>
      </c>
      <c r="C36" s="3">
        <v>580797068</v>
      </c>
      <c r="D36" s="3">
        <v>4</v>
      </c>
      <c r="E36" s="4" t="s">
        <v>577</v>
      </c>
      <c r="F36" s="4" t="s">
        <v>313</v>
      </c>
      <c r="G36" s="5" t="s">
        <v>6</v>
      </c>
      <c r="H36" s="6">
        <v>1250</v>
      </c>
    </row>
    <row r="37" spans="1:8" ht="20.100000000000001" customHeight="1" x14ac:dyDescent="0.25">
      <c r="A37" s="84"/>
      <c r="B37" s="2">
        <v>45435</v>
      </c>
      <c r="C37" s="3">
        <v>580797068</v>
      </c>
      <c r="D37" s="3">
        <v>4</v>
      </c>
      <c r="E37" s="4" t="s">
        <v>577</v>
      </c>
      <c r="F37" s="4" t="s">
        <v>578</v>
      </c>
      <c r="G37" s="5" t="s">
        <v>6</v>
      </c>
      <c r="H37" s="6">
        <v>1500</v>
      </c>
    </row>
    <row r="38" spans="1:8" ht="20.100000000000001" customHeight="1" x14ac:dyDescent="0.25">
      <c r="A38" s="84"/>
      <c r="B38" s="2">
        <v>45435</v>
      </c>
      <c r="C38" s="3">
        <v>580797068</v>
      </c>
      <c r="D38" s="3">
        <v>4</v>
      </c>
      <c r="E38" s="4" t="s">
        <v>577</v>
      </c>
      <c r="F38" s="4" t="s">
        <v>128</v>
      </c>
      <c r="G38" s="5" t="s">
        <v>6</v>
      </c>
      <c r="H38" s="6">
        <v>700</v>
      </c>
    </row>
    <row r="39" spans="1:8" ht="20.100000000000001" customHeight="1" x14ac:dyDescent="0.25">
      <c r="A39" s="84"/>
      <c r="B39" s="2">
        <v>45435</v>
      </c>
      <c r="C39" s="3">
        <v>580797068</v>
      </c>
      <c r="D39" s="3">
        <v>4</v>
      </c>
      <c r="E39" s="4" t="s">
        <v>577</v>
      </c>
      <c r="F39" s="4" t="s">
        <v>579</v>
      </c>
      <c r="G39" s="5" t="s">
        <v>6</v>
      </c>
      <c r="H39" s="6">
        <v>950</v>
      </c>
    </row>
    <row r="40" spans="1:8" ht="20.100000000000001" customHeight="1" x14ac:dyDescent="0.25">
      <c r="A40" s="84"/>
      <c r="B40" s="2">
        <v>45442</v>
      </c>
      <c r="C40" s="3">
        <v>2041007914</v>
      </c>
      <c r="D40" s="3">
        <v>4</v>
      </c>
      <c r="E40" s="4" t="s">
        <v>580</v>
      </c>
      <c r="F40" s="4" t="s">
        <v>129</v>
      </c>
      <c r="G40" s="5" t="s">
        <v>11</v>
      </c>
      <c r="H40" s="6">
        <v>925</v>
      </c>
    </row>
    <row r="41" spans="1:8" ht="20.100000000000001" customHeight="1" x14ac:dyDescent="0.25">
      <c r="A41" s="84"/>
      <c r="B41" s="2">
        <v>45442</v>
      </c>
      <c r="C41" s="3">
        <v>2041007914</v>
      </c>
      <c r="D41" s="3">
        <v>4</v>
      </c>
      <c r="E41" s="4" t="s">
        <v>580</v>
      </c>
      <c r="F41" s="4" t="s">
        <v>313</v>
      </c>
      <c r="G41" s="5" t="s">
        <v>11</v>
      </c>
      <c r="H41" s="6">
        <v>1250</v>
      </c>
    </row>
    <row r="42" spans="1:8" ht="20.100000000000001" customHeight="1" x14ac:dyDescent="0.25">
      <c r="A42" s="84"/>
      <c r="B42" s="2">
        <v>45442</v>
      </c>
      <c r="C42" s="3">
        <v>2041007914</v>
      </c>
      <c r="D42" s="3">
        <v>4</v>
      </c>
      <c r="E42" s="4" t="s">
        <v>580</v>
      </c>
      <c r="F42" s="4" t="s">
        <v>128</v>
      </c>
      <c r="G42" s="5" t="s">
        <v>11</v>
      </c>
      <c r="H42" s="6">
        <v>700</v>
      </c>
    </row>
    <row r="43" spans="1:8" ht="20.100000000000001" customHeight="1" x14ac:dyDescent="0.25">
      <c r="A43" s="84"/>
      <c r="B43" s="2">
        <v>45446</v>
      </c>
      <c r="C43" s="3">
        <v>1672760600</v>
      </c>
      <c r="D43" s="3">
        <v>2</v>
      </c>
      <c r="E43" s="4" t="s">
        <v>670</v>
      </c>
      <c r="F43" s="4" t="s">
        <v>129</v>
      </c>
      <c r="G43" s="5" t="s">
        <v>6</v>
      </c>
      <c r="H43" s="6">
        <v>462.5</v>
      </c>
    </row>
    <row r="44" spans="1:8" ht="20.100000000000001" customHeight="1" x14ac:dyDescent="0.25">
      <c r="A44" s="84"/>
      <c r="B44" s="2">
        <v>45448</v>
      </c>
      <c r="C44" s="3">
        <v>2321041818</v>
      </c>
      <c r="D44" s="3">
        <v>4</v>
      </c>
      <c r="E44" s="4" t="s">
        <v>671</v>
      </c>
      <c r="F44" s="4" t="s">
        <v>128</v>
      </c>
      <c r="G44" s="5" t="s">
        <v>6</v>
      </c>
      <c r="H44" s="6">
        <v>700</v>
      </c>
    </row>
    <row r="45" spans="1:8" ht="20.100000000000001" customHeight="1" x14ac:dyDescent="0.25">
      <c r="A45" s="84"/>
      <c r="B45" s="2">
        <v>45449</v>
      </c>
      <c r="C45" s="3">
        <v>1228819352</v>
      </c>
      <c r="D45" s="3">
        <v>4</v>
      </c>
      <c r="E45" s="4" t="s">
        <v>672</v>
      </c>
      <c r="F45" s="4" t="s">
        <v>128</v>
      </c>
      <c r="G45" s="5" t="s">
        <v>7</v>
      </c>
      <c r="H45" s="6">
        <v>700</v>
      </c>
    </row>
    <row r="46" spans="1:8" ht="20.100000000000001" customHeight="1" x14ac:dyDescent="0.25">
      <c r="A46" s="84"/>
      <c r="B46" s="2">
        <v>45449</v>
      </c>
      <c r="C46" s="3">
        <v>1228819352</v>
      </c>
      <c r="D46" s="3">
        <v>4</v>
      </c>
      <c r="E46" s="4" t="s">
        <v>672</v>
      </c>
      <c r="F46" s="4" t="s">
        <v>313</v>
      </c>
      <c r="G46" s="5" t="s">
        <v>7</v>
      </c>
      <c r="H46" s="6">
        <v>1250</v>
      </c>
    </row>
    <row r="47" spans="1:8" ht="20.100000000000001" customHeight="1" x14ac:dyDescent="0.25">
      <c r="A47" s="84"/>
      <c r="B47" s="2">
        <v>45460</v>
      </c>
      <c r="C47" s="3">
        <v>187461135</v>
      </c>
      <c r="D47" s="3">
        <v>4</v>
      </c>
      <c r="E47" s="4" t="s">
        <v>673</v>
      </c>
      <c r="F47" s="4" t="s">
        <v>674</v>
      </c>
      <c r="G47" s="5" t="s">
        <v>19</v>
      </c>
      <c r="H47" s="6">
        <v>1400</v>
      </c>
    </row>
    <row r="48" spans="1:8" ht="20.100000000000001" customHeight="1" x14ac:dyDescent="0.25">
      <c r="A48" s="84"/>
      <c r="B48" s="2">
        <v>45461</v>
      </c>
      <c r="C48" s="3">
        <v>333071575</v>
      </c>
      <c r="D48" s="3">
        <v>4</v>
      </c>
      <c r="E48" s="4" t="s">
        <v>675</v>
      </c>
      <c r="F48" s="4" t="s">
        <v>313</v>
      </c>
      <c r="G48" s="5" t="s">
        <v>19</v>
      </c>
      <c r="H48" s="6">
        <v>1250</v>
      </c>
    </row>
    <row r="49" spans="1:8" ht="20.100000000000001" customHeight="1" x14ac:dyDescent="0.25">
      <c r="A49" s="84"/>
      <c r="B49" s="2">
        <v>45461</v>
      </c>
      <c r="C49" s="3">
        <v>333071575</v>
      </c>
      <c r="D49" s="3">
        <v>4</v>
      </c>
      <c r="E49" s="4" t="s">
        <v>675</v>
      </c>
      <c r="F49" s="4" t="s">
        <v>128</v>
      </c>
      <c r="G49" s="5" t="s">
        <v>19</v>
      </c>
      <c r="H49" s="6">
        <v>700</v>
      </c>
    </row>
    <row r="50" spans="1:8" ht="20.100000000000001" customHeight="1" x14ac:dyDescent="0.25">
      <c r="A50" s="84"/>
      <c r="B50" s="2">
        <v>45476</v>
      </c>
      <c r="C50" s="3">
        <v>528173514</v>
      </c>
      <c r="D50" s="3">
        <v>4</v>
      </c>
      <c r="E50" s="4" t="s">
        <v>776</v>
      </c>
      <c r="F50" s="19" t="s">
        <v>313</v>
      </c>
      <c r="G50" s="5" t="s">
        <v>6</v>
      </c>
      <c r="H50" s="6">
        <v>1250</v>
      </c>
    </row>
    <row r="51" spans="1:8" ht="20.100000000000001" customHeight="1" x14ac:dyDescent="0.25">
      <c r="A51" s="84"/>
      <c r="B51" s="2">
        <v>45476</v>
      </c>
      <c r="C51" s="3">
        <v>528173514</v>
      </c>
      <c r="D51" s="3">
        <v>4</v>
      </c>
      <c r="E51" s="4" t="s">
        <v>776</v>
      </c>
      <c r="F51" s="19" t="s">
        <v>128</v>
      </c>
      <c r="G51" s="5" t="s">
        <v>6</v>
      </c>
      <c r="H51" s="6">
        <v>700</v>
      </c>
    </row>
    <row r="52" spans="1:8" ht="20.100000000000001" customHeight="1" x14ac:dyDescent="0.25">
      <c r="A52" s="84"/>
      <c r="B52" s="2">
        <v>45484</v>
      </c>
      <c r="C52" s="3">
        <v>2531934987</v>
      </c>
      <c r="D52" s="3">
        <v>4</v>
      </c>
      <c r="E52" s="4" t="s">
        <v>777</v>
      </c>
      <c r="F52" s="19" t="s">
        <v>129</v>
      </c>
      <c r="G52" s="5" t="s">
        <v>19</v>
      </c>
      <c r="H52" s="6">
        <v>925</v>
      </c>
    </row>
    <row r="53" spans="1:8" ht="20.100000000000001" customHeight="1" x14ac:dyDescent="0.25">
      <c r="A53" s="84"/>
      <c r="B53" s="2">
        <v>45484</v>
      </c>
      <c r="C53" s="3">
        <v>2531934987</v>
      </c>
      <c r="D53" s="3">
        <v>4</v>
      </c>
      <c r="E53" s="4" t="s">
        <v>778</v>
      </c>
      <c r="F53" s="19" t="s">
        <v>129</v>
      </c>
      <c r="G53" s="5" t="s">
        <v>19</v>
      </c>
      <c r="H53" s="6">
        <v>925</v>
      </c>
    </row>
    <row r="54" spans="1:8" ht="20.100000000000001" customHeight="1" x14ac:dyDescent="0.25">
      <c r="A54" s="84"/>
      <c r="B54" s="2">
        <v>45484</v>
      </c>
      <c r="C54" s="3">
        <v>2531934987</v>
      </c>
      <c r="D54" s="3">
        <v>4</v>
      </c>
      <c r="E54" s="4" t="s">
        <v>778</v>
      </c>
      <c r="F54" s="19" t="s">
        <v>315</v>
      </c>
      <c r="G54" s="5" t="s">
        <v>19</v>
      </c>
      <c r="H54" s="6">
        <v>1000</v>
      </c>
    </row>
    <row r="55" spans="1:8" ht="20.100000000000001" customHeight="1" x14ac:dyDescent="0.25">
      <c r="A55" s="84"/>
      <c r="B55" s="2">
        <v>45495</v>
      </c>
      <c r="C55" s="3">
        <v>2645445881</v>
      </c>
      <c r="D55" s="3">
        <v>4</v>
      </c>
      <c r="E55" s="4" t="s">
        <v>779</v>
      </c>
      <c r="F55" s="19" t="s">
        <v>129</v>
      </c>
      <c r="G55" s="5" t="s">
        <v>19</v>
      </c>
      <c r="H55" s="6">
        <v>925</v>
      </c>
    </row>
    <row r="56" spans="1:8" ht="20.100000000000001" customHeight="1" x14ac:dyDescent="0.25">
      <c r="A56" s="84"/>
      <c r="B56" s="2">
        <v>45498</v>
      </c>
      <c r="C56" s="3">
        <v>2675132407</v>
      </c>
      <c r="D56" s="3">
        <v>4</v>
      </c>
      <c r="E56" s="4" t="s">
        <v>202</v>
      </c>
      <c r="F56" s="19" t="s">
        <v>315</v>
      </c>
      <c r="G56" s="5" t="s">
        <v>6</v>
      </c>
      <c r="H56" s="6">
        <v>1250</v>
      </c>
    </row>
    <row r="57" spans="1:8" ht="20.100000000000001" customHeight="1" x14ac:dyDescent="0.25">
      <c r="A57" s="84"/>
      <c r="B57" s="2">
        <v>45502</v>
      </c>
      <c r="C57" s="3">
        <v>2450933205</v>
      </c>
      <c r="D57" s="3">
        <v>4</v>
      </c>
      <c r="E57" s="4" t="s">
        <v>779</v>
      </c>
      <c r="F57" s="19" t="s">
        <v>129</v>
      </c>
      <c r="G57" s="5" t="s">
        <v>10</v>
      </c>
      <c r="H57" s="6">
        <v>925</v>
      </c>
    </row>
    <row r="58" spans="1:8" ht="20.100000000000001" customHeight="1" x14ac:dyDescent="0.25">
      <c r="A58" s="84"/>
      <c r="B58" s="2">
        <v>45504</v>
      </c>
      <c r="C58" s="3">
        <v>1015235171</v>
      </c>
      <c r="D58" s="3">
        <v>4</v>
      </c>
      <c r="E58" s="4" t="s">
        <v>780</v>
      </c>
      <c r="F58" s="19" t="s">
        <v>315</v>
      </c>
      <c r="G58" s="5" t="s">
        <v>19</v>
      </c>
      <c r="H58" s="6">
        <v>1000</v>
      </c>
    </row>
    <row r="59" spans="1:8" ht="20.100000000000001" customHeight="1" x14ac:dyDescent="0.25">
      <c r="A59" s="84"/>
      <c r="B59" s="2">
        <v>45504</v>
      </c>
      <c r="C59" s="3">
        <v>1015235171</v>
      </c>
      <c r="D59" s="3">
        <v>4</v>
      </c>
      <c r="E59" s="4" t="s">
        <v>780</v>
      </c>
      <c r="F59" s="19" t="s">
        <v>129</v>
      </c>
      <c r="G59" s="5" t="s">
        <v>19</v>
      </c>
      <c r="H59" s="6">
        <v>925</v>
      </c>
    </row>
    <row r="60" spans="1:8" ht="20.100000000000001" customHeight="1" x14ac:dyDescent="0.25">
      <c r="A60" s="84"/>
      <c r="B60" s="2">
        <v>45523</v>
      </c>
      <c r="C60" s="3">
        <v>4187574175</v>
      </c>
      <c r="D60" s="3">
        <v>4</v>
      </c>
      <c r="E60" s="4" t="s">
        <v>900</v>
      </c>
      <c r="F60" s="19" t="s">
        <v>128</v>
      </c>
      <c r="G60" s="5" t="s">
        <v>6</v>
      </c>
      <c r="H60" s="6">
        <v>700</v>
      </c>
    </row>
    <row r="61" spans="1:8" ht="20.100000000000001" customHeight="1" x14ac:dyDescent="0.25">
      <c r="A61" s="84"/>
      <c r="B61" s="2">
        <v>45523</v>
      </c>
      <c r="C61" s="3">
        <v>1344160453</v>
      </c>
      <c r="D61" s="3">
        <v>4</v>
      </c>
      <c r="E61" s="4" t="s">
        <v>901</v>
      </c>
      <c r="F61" s="19" t="s">
        <v>674</v>
      </c>
      <c r="G61" s="5" t="s">
        <v>7</v>
      </c>
      <c r="H61" s="6">
        <v>1000</v>
      </c>
    </row>
    <row r="62" spans="1:8" ht="20.100000000000001" customHeight="1" x14ac:dyDescent="0.25">
      <c r="A62" s="84"/>
      <c r="B62" s="2" t="s">
        <v>898</v>
      </c>
      <c r="C62" s="3">
        <v>1092043841</v>
      </c>
      <c r="D62" s="3">
        <v>4</v>
      </c>
      <c r="E62" s="4" t="s">
        <v>902</v>
      </c>
      <c r="F62" s="19" t="s">
        <v>903</v>
      </c>
      <c r="G62" s="5" t="s">
        <v>19</v>
      </c>
      <c r="H62" s="6">
        <v>700</v>
      </c>
    </row>
    <row r="63" spans="1:8" ht="20.100000000000001" customHeight="1" x14ac:dyDescent="0.25">
      <c r="A63" s="84"/>
      <c r="B63" s="2">
        <v>45530</v>
      </c>
      <c r="C63" s="3">
        <v>3222487896</v>
      </c>
      <c r="D63" s="3">
        <v>4</v>
      </c>
      <c r="E63" s="4" t="s">
        <v>904</v>
      </c>
      <c r="F63" s="19" t="s">
        <v>313</v>
      </c>
      <c r="G63" s="5" t="s">
        <v>10</v>
      </c>
      <c r="H63" s="6">
        <v>1250</v>
      </c>
    </row>
    <row r="64" spans="1:8" ht="20.100000000000001" customHeight="1" x14ac:dyDescent="0.25">
      <c r="A64" s="84"/>
      <c r="B64" s="2">
        <v>45530</v>
      </c>
      <c r="C64" s="3">
        <v>3222487896</v>
      </c>
      <c r="D64" s="3">
        <v>4</v>
      </c>
      <c r="E64" s="4" t="s">
        <v>904</v>
      </c>
      <c r="F64" s="19" t="s">
        <v>128</v>
      </c>
      <c r="G64" s="5" t="s">
        <v>10</v>
      </c>
      <c r="H64" s="6">
        <v>700</v>
      </c>
    </row>
    <row r="65" spans="1:8" ht="20.100000000000001" customHeight="1" x14ac:dyDescent="0.25">
      <c r="A65" s="84"/>
      <c r="B65" s="2">
        <v>45530</v>
      </c>
      <c r="C65" s="3">
        <v>3222487896</v>
      </c>
      <c r="D65" s="3">
        <v>4</v>
      </c>
      <c r="E65" s="4" t="s">
        <v>904</v>
      </c>
      <c r="F65" s="19" t="s">
        <v>129</v>
      </c>
      <c r="G65" s="5" t="s">
        <v>10</v>
      </c>
      <c r="H65" s="6">
        <v>925</v>
      </c>
    </row>
    <row r="66" spans="1:8" ht="20.100000000000001" customHeight="1" x14ac:dyDescent="0.25">
      <c r="A66" s="84"/>
      <c r="B66" s="2">
        <v>45530</v>
      </c>
      <c r="C66" s="3">
        <v>3222487896</v>
      </c>
      <c r="D66" s="3">
        <v>4</v>
      </c>
      <c r="E66" s="4" t="s">
        <v>904</v>
      </c>
      <c r="F66" s="19" t="s">
        <v>905</v>
      </c>
      <c r="G66" s="5" t="s">
        <v>10</v>
      </c>
      <c r="H66" s="6">
        <v>1025</v>
      </c>
    </row>
    <row r="67" spans="1:8" ht="20.100000000000001" customHeight="1" x14ac:dyDescent="0.25">
      <c r="A67" s="84"/>
      <c r="B67" s="2">
        <v>45530</v>
      </c>
      <c r="C67" s="3">
        <v>3222487896</v>
      </c>
      <c r="D67" s="3">
        <v>4</v>
      </c>
      <c r="E67" s="4" t="s">
        <v>904</v>
      </c>
      <c r="F67" s="19" t="s">
        <v>315</v>
      </c>
      <c r="G67" s="5" t="s">
        <v>10</v>
      </c>
      <c r="H67" s="6">
        <v>1000</v>
      </c>
    </row>
    <row r="68" spans="1:8" ht="20.100000000000001" customHeight="1" x14ac:dyDescent="0.25">
      <c r="A68" s="84"/>
      <c r="B68" s="2">
        <v>45530</v>
      </c>
      <c r="C68" s="3">
        <v>3222487896</v>
      </c>
      <c r="D68" s="3">
        <v>4</v>
      </c>
      <c r="E68" s="4" t="s">
        <v>904</v>
      </c>
      <c r="F68" s="19" t="s">
        <v>906</v>
      </c>
      <c r="G68" s="5" t="s">
        <v>10</v>
      </c>
      <c r="H68" s="6">
        <v>600</v>
      </c>
    </row>
    <row r="69" spans="1:8" ht="20.100000000000001" customHeight="1" x14ac:dyDescent="0.25">
      <c r="A69" s="84"/>
      <c r="B69" s="2">
        <v>45531</v>
      </c>
      <c r="C69" s="3">
        <v>2991214010</v>
      </c>
      <c r="D69" s="3">
        <v>2</v>
      </c>
      <c r="E69" s="4" t="s">
        <v>907</v>
      </c>
      <c r="F69" s="19" t="s">
        <v>313</v>
      </c>
      <c r="G69" s="5" t="s">
        <v>6</v>
      </c>
      <c r="H69" s="6">
        <v>625</v>
      </c>
    </row>
    <row r="70" spans="1:8" ht="20.100000000000001" customHeight="1" x14ac:dyDescent="0.25">
      <c r="A70" s="84"/>
      <c r="B70" s="2">
        <v>45531</v>
      </c>
      <c r="C70" s="3">
        <v>2991214010</v>
      </c>
      <c r="D70" s="3">
        <v>2</v>
      </c>
      <c r="E70" s="4" t="s">
        <v>907</v>
      </c>
      <c r="F70" s="19" t="s">
        <v>128</v>
      </c>
      <c r="G70" s="5" t="s">
        <v>6</v>
      </c>
      <c r="H70" s="6">
        <v>350</v>
      </c>
    </row>
    <row r="71" spans="1:8" ht="20.100000000000001" customHeight="1" x14ac:dyDescent="0.25">
      <c r="A71" s="84"/>
      <c r="B71" s="2">
        <v>45531</v>
      </c>
      <c r="C71" s="3">
        <v>2991214010</v>
      </c>
      <c r="D71" s="3">
        <v>4</v>
      </c>
      <c r="E71" s="4" t="s">
        <v>907</v>
      </c>
      <c r="F71" s="19" t="s">
        <v>315</v>
      </c>
      <c r="G71" s="5" t="s">
        <v>6</v>
      </c>
      <c r="H71" s="6">
        <v>1000</v>
      </c>
    </row>
    <row r="72" spans="1:8" ht="20.100000000000001" customHeight="1" x14ac:dyDescent="0.25">
      <c r="A72" s="84"/>
      <c r="B72" s="2">
        <v>45531</v>
      </c>
      <c r="C72" s="3">
        <v>2991214010</v>
      </c>
      <c r="D72" s="3">
        <v>4</v>
      </c>
      <c r="E72" s="4" t="s">
        <v>908</v>
      </c>
      <c r="F72" s="19" t="s">
        <v>313</v>
      </c>
      <c r="G72" s="5" t="s">
        <v>6</v>
      </c>
      <c r="H72" s="6">
        <v>1250</v>
      </c>
    </row>
    <row r="73" spans="1:8" ht="20.100000000000001" customHeight="1" x14ac:dyDescent="0.25">
      <c r="A73" s="84"/>
      <c r="B73" s="2">
        <v>45531</v>
      </c>
      <c r="C73" s="3">
        <v>2991214010</v>
      </c>
      <c r="D73" s="3">
        <v>4</v>
      </c>
      <c r="E73" s="4" t="s">
        <v>908</v>
      </c>
      <c r="F73" s="19" t="s">
        <v>129</v>
      </c>
      <c r="G73" s="5" t="s">
        <v>6</v>
      </c>
      <c r="H73" s="6">
        <v>975</v>
      </c>
    </row>
    <row r="74" spans="1:8" ht="20.100000000000001" customHeight="1" x14ac:dyDescent="0.25">
      <c r="A74" s="84"/>
      <c r="B74" s="2">
        <v>45531</v>
      </c>
      <c r="C74" s="3">
        <v>2991214010</v>
      </c>
      <c r="D74" s="3">
        <v>4</v>
      </c>
      <c r="E74" s="4" t="s">
        <v>908</v>
      </c>
      <c r="F74" s="19" t="s">
        <v>128</v>
      </c>
      <c r="G74" s="5" t="s">
        <v>6</v>
      </c>
      <c r="H74" s="6">
        <v>700</v>
      </c>
    </row>
    <row r="75" spans="1:8" ht="20.100000000000001" customHeight="1" x14ac:dyDescent="0.25">
      <c r="A75" s="84"/>
      <c r="B75" s="2">
        <v>45532</v>
      </c>
      <c r="C75" s="3">
        <v>2122927053</v>
      </c>
      <c r="D75" s="3">
        <v>1</v>
      </c>
      <c r="E75" s="4" t="s">
        <v>572</v>
      </c>
      <c r="F75" s="19" t="s">
        <v>129</v>
      </c>
      <c r="G75" s="5" t="s">
        <v>6</v>
      </c>
      <c r="H75" s="6">
        <v>264.5</v>
      </c>
    </row>
    <row r="76" spans="1:8" ht="20.100000000000001" customHeight="1" x14ac:dyDescent="0.25">
      <c r="A76" s="84"/>
      <c r="B76" s="2">
        <v>45532</v>
      </c>
      <c r="C76" s="3">
        <v>2122927053</v>
      </c>
      <c r="D76" s="3">
        <v>1</v>
      </c>
      <c r="E76" s="4" t="s">
        <v>572</v>
      </c>
      <c r="F76" s="19" t="s">
        <v>128</v>
      </c>
      <c r="G76" s="5" t="s">
        <v>6</v>
      </c>
      <c r="H76" s="6">
        <v>264.5</v>
      </c>
    </row>
    <row r="77" spans="1:8" ht="20.100000000000001" customHeight="1" x14ac:dyDescent="0.25">
      <c r="A77" s="84"/>
      <c r="B77" s="2">
        <v>45534</v>
      </c>
      <c r="C77" s="3">
        <v>150621059</v>
      </c>
      <c r="D77" s="3">
        <v>4</v>
      </c>
      <c r="E77" s="4" t="s">
        <v>909</v>
      </c>
      <c r="F77" s="19" t="s">
        <v>316</v>
      </c>
      <c r="G77" s="5" t="s">
        <v>7</v>
      </c>
      <c r="H77" s="6">
        <v>1250</v>
      </c>
    </row>
    <row r="78" spans="1:8" ht="20.100000000000001" customHeight="1" x14ac:dyDescent="0.25">
      <c r="A78" s="84"/>
      <c r="B78" s="2">
        <v>45534</v>
      </c>
      <c r="C78" s="3">
        <v>150621059</v>
      </c>
      <c r="D78" s="3">
        <v>4</v>
      </c>
      <c r="E78" s="4" t="s">
        <v>909</v>
      </c>
      <c r="F78" s="19" t="s">
        <v>128</v>
      </c>
      <c r="G78" s="5" t="s">
        <v>7</v>
      </c>
      <c r="H78" s="6">
        <v>700</v>
      </c>
    </row>
    <row r="79" spans="1:8" ht="20.100000000000001" customHeight="1" x14ac:dyDescent="0.25">
      <c r="A79" s="84"/>
      <c r="B79" s="2">
        <v>45534</v>
      </c>
      <c r="C79" s="3">
        <v>150621059</v>
      </c>
      <c r="D79" s="3">
        <v>4</v>
      </c>
      <c r="E79" s="4" t="s">
        <v>909</v>
      </c>
      <c r="F79" s="19" t="s">
        <v>129</v>
      </c>
      <c r="G79" s="5" t="s">
        <v>7</v>
      </c>
      <c r="H79" s="6">
        <v>925</v>
      </c>
    </row>
    <row r="80" spans="1:8" ht="20.100000000000001" customHeight="1" x14ac:dyDescent="0.25">
      <c r="A80" s="84"/>
      <c r="B80" s="2">
        <v>45552</v>
      </c>
      <c r="C80" s="3">
        <v>1577864678</v>
      </c>
      <c r="D80" s="3">
        <v>4</v>
      </c>
      <c r="E80" s="4" t="s">
        <v>976</v>
      </c>
      <c r="F80" s="19" t="s">
        <v>130</v>
      </c>
      <c r="G80" s="5" t="s">
        <v>7</v>
      </c>
      <c r="H80" s="6">
        <v>700</v>
      </c>
    </row>
    <row r="81" spans="1:8" ht="20.100000000000001" customHeight="1" x14ac:dyDescent="0.25">
      <c r="A81" s="84"/>
      <c r="B81" s="2">
        <v>45559</v>
      </c>
      <c r="C81" s="3">
        <v>2541898132</v>
      </c>
      <c r="D81" s="3">
        <v>4</v>
      </c>
      <c r="E81" s="4" t="s">
        <v>902</v>
      </c>
      <c r="F81" s="19" t="s">
        <v>129</v>
      </c>
      <c r="G81" s="5" t="s">
        <v>19</v>
      </c>
      <c r="H81" s="6">
        <v>1250</v>
      </c>
    </row>
    <row r="82" spans="1:8" ht="15.75" x14ac:dyDescent="0.25">
      <c r="A82" s="84"/>
      <c r="B82" s="2">
        <v>45559</v>
      </c>
      <c r="C82" s="3">
        <v>1947355746</v>
      </c>
      <c r="D82" s="3">
        <v>4</v>
      </c>
      <c r="E82" s="4" t="s">
        <v>85</v>
      </c>
      <c r="F82" s="19" t="s">
        <v>315</v>
      </c>
      <c r="G82" s="5" t="s">
        <v>13</v>
      </c>
      <c r="H82" s="6">
        <v>1250</v>
      </c>
    </row>
    <row r="83" spans="1:8" ht="20.100000000000001" customHeight="1" x14ac:dyDescent="0.25">
      <c r="A83" s="84"/>
      <c r="B83" s="2">
        <v>45559</v>
      </c>
      <c r="C83" s="3">
        <v>1947355746</v>
      </c>
      <c r="D83" s="3">
        <v>4</v>
      </c>
      <c r="E83" s="4" t="s">
        <v>85</v>
      </c>
      <c r="F83" s="19" t="s">
        <v>977</v>
      </c>
      <c r="G83" s="5" t="s">
        <v>13</v>
      </c>
      <c r="H83" s="6">
        <v>700</v>
      </c>
    </row>
    <row r="84" spans="1:8" ht="20.100000000000001" customHeight="1" x14ac:dyDescent="0.25">
      <c r="A84" s="84"/>
      <c r="B84" s="2">
        <v>45568</v>
      </c>
      <c r="C84" s="3">
        <v>295780496</v>
      </c>
      <c r="D84" s="3">
        <v>4</v>
      </c>
      <c r="E84" s="4" t="s">
        <v>1051</v>
      </c>
      <c r="F84" s="19" t="s">
        <v>313</v>
      </c>
      <c r="G84" s="5" t="s">
        <v>7</v>
      </c>
      <c r="H84" s="6">
        <v>1250</v>
      </c>
    </row>
    <row r="85" spans="1:8" ht="20.100000000000001" customHeight="1" x14ac:dyDescent="0.25">
      <c r="A85" s="84"/>
      <c r="B85" s="2">
        <v>45568</v>
      </c>
      <c r="C85" s="3">
        <v>295780496</v>
      </c>
      <c r="D85" s="3">
        <v>4</v>
      </c>
      <c r="E85" s="4" t="s">
        <v>1051</v>
      </c>
      <c r="F85" s="19" t="s">
        <v>129</v>
      </c>
      <c r="G85" s="5" t="s">
        <v>7</v>
      </c>
      <c r="H85" s="6">
        <v>925</v>
      </c>
    </row>
    <row r="86" spans="1:8" ht="20.100000000000001" customHeight="1" x14ac:dyDescent="0.25">
      <c r="A86" s="84"/>
      <c r="B86" s="2">
        <v>45568</v>
      </c>
      <c r="C86" s="3">
        <v>295780496</v>
      </c>
      <c r="D86" s="3">
        <v>4</v>
      </c>
      <c r="E86" s="4" t="s">
        <v>1051</v>
      </c>
      <c r="F86" s="19" t="s">
        <v>906</v>
      </c>
      <c r="G86" s="5" t="s">
        <v>7</v>
      </c>
      <c r="H86" s="6">
        <v>800</v>
      </c>
    </row>
    <row r="87" spans="1:8" ht="20.100000000000001" customHeight="1" x14ac:dyDescent="0.25">
      <c r="A87" s="84"/>
      <c r="B87" s="2">
        <v>45568</v>
      </c>
      <c r="C87" s="3">
        <v>295780496</v>
      </c>
      <c r="D87" s="3">
        <v>4</v>
      </c>
      <c r="E87" s="4" t="s">
        <v>1051</v>
      </c>
      <c r="F87" s="19" t="s">
        <v>480</v>
      </c>
      <c r="G87" s="5" t="s">
        <v>7</v>
      </c>
      <c r="H87" s="6">
        <v>1000</v>
      </c>
    </row>
    <row r="88" spans="1:8" ht="20.100000000000001" customHeight="1" x14ac:dyDescent="0.25">
      <c r="A88" s="84"/>
      <c r="B88" s="2">
        <v>45568</v>
      </c>
      <c r="C88" s="3">
        <v>295780496</v>
      </c>
      <c r="D88" s="3">
        <v>4</v>
      </c>
      <c r="E88" s="4" t="s">
        <v>1051</v>
      </c>
      <c r="F88" s="19" t="s">
        <v>128</v>
      </c>
      <c r="G88" s="5" t="s">
        <v>7</v>
      </c>
      <c r="H88" s="6">
        <v>700</v>
      </c>
    </row>
    <row r="89" spans="1:8" ht="20.100000000000001" customHeight="1" x14ac:dyDescent="0.25">
      <c r="A89" s="84"/>
      <c r="B89" s="2">
        <v>45579</v>
      </c>
      <c r="C89" s="3">
        <v>3246935700</v>
      </c>
      <c r="D89" s="3">
        <v>4</v>
      </c>
      <c r="E89" s="4" t="s">
        <v>1052</v>
      </c>
      <c r="F89" s="19" t="s">
        <v>128</v>
      </c>
      <c r="G89" s="5" t="s">
        <v>6</v>
      </c>
      <c r="H89" s="6">
        <v>700</v>
      </c>
    </row>
    <row r="90" spans="1:8" ht="20.100000000000001" customHeight="1" x14ac:dyDescent="0.25">
      <c r="A90" s="84"/>
      <c r="B90" s="2">
        <v>45579</v>
      </c>
      <c r="C90" s="3">
        <v>3246935700</v>
      </c>
      <c r="D90" s="3">
        <v>4</v>
      </c>
      <c r="E90" s="4" t="s">
        <v>1052</v>
      </c>
      <c r="F90" s="19" t="s">
        <v>129</v>
      </c>
      <c r="G90" s="5" t="s">
        <v>6</v>
      </c>
      <c r="H90" s="6">
        <v>925</v>
      </c>
    </row>
    <row r="91" spans="1:8" ht="20.100000000000001" customHeight="1" x14ac:dyDescent="0.25">
      <c r="A91" s="84"/>
      <c r="B91" s="2">
        <v>45601</v>
      </c>
      <c r="C91" s="3">
        <v>3896460274</v>
      </c>
      <c r="D91" s="3">
        <v>4</v>
      </c>
      <c r="E91" s="4" t="s">
        <v>940</v>
      </c>
      <c r="F91" s="19" t="s">
        <v>128</v>
      </c>
      <c r="G91" s="5" t="s">
        <v>7</v>
      </c>
      <c r="H91" s="6">
        <v>700</v>
      </c>
    </row>
    <row r="92" spans="1:8" ht="20.100000000000001" customHeight="1" x14ac:dyDescent="0.25">
      <c r="A92" s="84"/>
      <c r="B92" s="2">
        <v>45601</v>
      </c>
      <c r="C92" s="3">
        <v>3896460274</v>
      </c>
      <c r="D92" s="3">
        <v>4</v>
      </c>
      <c r="E92" s="4" t="s">
        <v>940</v>
      </c>
      <c r="F92" s="19" t="s">
        <v>313</v>
      </c>
      <c r="G92" s="5" t="s">
        <v>7</v>
      </c>
      <c r="H92" s="6">
        <v>1250</v>
      </c>
    </row>
    <row r="93" spans="1:8" ht="20.100000000000001" customHeight="1" x14ac:dyDescent="0.25">
      <c r="A93" s="84"/>
      <c r="B93" s="2">
        <v>45601</v>
      </c>
      <c r="C93" s="3">
        <v>3936370793</v>
      </c>
      <c r="D93" s="3">
        <v>4</v>
      </c>
      <c r="E93" s="4" t="s">
        <v>1146</v>
      </c>
      <c r="F93" s="19" t="s">
        <v>128</v>
      </c>
      <c r="G93" s="5" t="s">
        <v>7</v>
      </c>
      <c r="H93" s="6">
        <v>700</v>
      </c>
    </row>
    <row r="94" spans="1:8" ht="20.100000000000001" customHeight="1" x14ac:dyDescent="0.25">
      <c r="A94" s="84"/>
      <c r="B94" s="2">
        <v>45601</v>
      </c>
      <c r="C94" s="3">
        <v>3936370793</v>
      </c>
      <c r="D94" s="3">
        <v>4</v>
      </c>
      <c r="E94" s="4" t="s">
        <v>1146</v>
      </c>
      <c r="F94" s="19" t="s">
        <v>313</v>
      </c>
      <c r="G94" s="5" t="s">
        <v>7</v>
      </c>
      <c r="H94" s="6">
        <v>1250</v>
      </c>
    </row>
    <row r="95" spans="1:8" ht="20.100000000000001" customHeight="1" x14ac:dyDescent="0.25">
      <c r="A95" s="84"/>
      <c r="B95" s="2">
        <v>45603</v>
      </c>
      <c r="C95" s="3">
        <v>1472021089</v>
      </c>
      <c r="D95" s="3">
        <v>4</v>
      </c>
      <c r="E95" s="4" t="s">
        <v>216</v>
      </c>
      <c r="F95" s="19" t="s">
        <v>129</v>
      </c>
      <c r="G95" s="5" t="s">
        <v>7</v>
      </c>
      <c r="H95" s="6">
        <v>825</v>
      </c>
    </row>
    <row r="96" spans="1:8" ht="20.100000000000001" customHeight="1" x14ac:dyDescent="0.25">
      <c r="A96" s="84"/>
      <c r="B96" s="2">
        <v>45603</v>
      </c>
      <c r="C96" s="3">
        <v>2385594034</v>
      </c>
      <c r="D96" s="3">
        <v>4</v>
      </c>
      <c r="E96" s="4" t="s">
        <v>1147</v>
      </c>
      <c r="F96" s="19" t="s">
        <v>1148</v>
      </c>
      <c r="G96" s="5" t="s">
        <v>19</v>
      </c>
      <c r="H96" s="6">
        <v>650</v>
      </c>
    </row>
    <row r="97" spans="1:8" ht="20.100000000000001" customHeight="1" x14ac:dyDescent="0.25">
      <c r="A97" s="84"/>
      <c r="B97" s="2">
        <v>45609</v>
      </c>
      <c r="C97" s="3">
        <v>575950622</v>
      </c>
      <c r="D97" s="3">
        <v>2</v>
      </c>
      <c r="E97" s="4" t="s">
        <v>217</v>
      </c>
      <c r="F97" s="19" t="s">
        <v>218</v>
      </c>
      <c r="G97" s="5" t="s">
        <v>13</v>
      </c>
      <c r="H97" s="6">
        <v>472</v>
      </c>
    </row>
    <row r="98" spans="1:8" ht="20.100000000000001" customHeight="1" x14ac:dyDescent="0.25">
      <c r="A98" s="84"/>
      <c r="B98" s="2">
        <v>45614</v>
      </c>
      <c r="C98" s="3">
        <v>2418032894</v>
      </c>
      <c r="D98" s="3">
        <v>4</v>
      </c>
      <c r="E98" s="4" t="s">
        <v>671</v>
      </c>
      <c r="F98" s="19" t="s">
        <v>1149</v>
      </c>
      <c r="G98" s="5" t="s">
        <v>7</v>
      </c>
      <c r="H98" s="6">
        <v>1250</v>
      </c>
    </row>
    <row r="99" spans="1:8" ht="20.100000000000001" customHeight="1" x14ac:dyDescent="0.25">
      <c r="A99" s="84"/>
      <c r="B99" s="2">
        <v>45636</v>
      </c>
      <c r="C99" s="3">
        <v>1214333454</v>
      </c>
      <c r="D99" s="3">
        <v>4</v>
      </c>
      <c r="E99" s="4" t="s">
        <v>1249</v>
      </c>
      <c r="F99" s="19" t="s">
        <v>313</v>
      </c>
      <c r="G99" s="5" t="s">
        <v>6</v>
      </c>
      <c r="H99" s="6">
        <v>1250</v>
      </c>
    </row>
    <row r="100" spans="1:8" ht="20.100000000000001" customHeight="1" x14ac:dyDescent="0.25">
      <c r="A100" s="84"/>
      <c r="B100" s="2">
        <v>45636</v>
      </c>
      <c r="C100" s="3">
        <v>1214333454</v>
      </c>
      <c r="D100" s="3">
        <v>4</v>
      </c>
      <c r="E100" s="4" t="s">
        <v>1249</v>
      </c>
      <c r="F100" s="19" t="s">
        <v>129</v>
      </c>
      <c r="G100" s="5" t="s">
        <v>6</v>
      </c>
      <c r="H100" s="6">
        <v>925</v>
      </c>
    </row>
    <row r="101" spans="1:8" ht="20.100000000000001" customHeight="1" x14ac:dyDescent="0.25">
      <c r="A101" s="84"/>
      <c r="B101" s="2">
        <v>45636</v>
      </c>
      <c r="C101" s="3">
        <v>1214333454</v>
      </c>
      <c r="D101" s="3">
        <v>4</v>
      </c>
      <c r="E101" s="4" t="s">
        <v>1249</v>
      </c>
      <c r="F101" s="19" t="s">
        <v>128</v>
      </c>
      <c r="G101" s="5" t="s">
        <v>6</v>
      </c>
      <c r="H101" s="6">
        <v>700</v>
      </c>
    </row>
    <row r="102" spans="1:8" ht="20.100000000000001" customHeight="1" x14ac:dyDescent="0.25">
      <c r="A102" s="84"/>
      <c r="B102" s="2">
        <v>45636</v>
      </c>
      <c r="C102" s="3">
        <v>1214333454</v>
      </c>
      <c r="D102" s="3">
        <v>4</v>
      </c>
      <c r="E102" s="4" t="s">
        <v>1249</v>
      </c>
      <c r="F102" s="19" t="s">
        <v>480</v>
      </c>
      <c r="G102" s="5" t="s">
        <v>6</v>
      </c>
      <c r="H102" s="6">
        <v>625</v>
      </c>
    </row>
    <row r="103" spans="1:8" ht="20.100000000000001" customHeight="1" x14ac:dyDescent="0.25">
      <c r="A103" s="84"/>
      <c r="B103" s="2">
        <v>45636</v>
      </c>
      <c r="C103" s="3">
        <v>1214333454</v>
      </c>
      <c r="D103" s="3">
        <v>4</v>
      </c>
      <c r="E103" s="4" t="s">
        <v>1249</v>
      </c>
      <c r="F103" s="19" t="s">
        <v>132</v>
      </c>
      <c r="G103" s="5" t="s">
        <v>6</v>
      </c>
      <c r="H103" s="6">
        <v>750</v>
      </c>
    </row>
    <row r="104" spans="1:8" ht="20.100000000000001" customHeight="1" x14ac:dyDescent="0.25">
      <c r="A104" s="84"/>
      <c r="B104" s="2">
        <v>45636</v>
      </c>
      <c r="C104" s="3">
        <v>1252542885</v>
      </c>
      <c r="D104" s="3">
        <v>1</v>
      </c>
      <c r="E104" s="4" t="s">
        <v>572</v>
      </c>
      <c r="F104" s="19" t="s">
        <v>129</v>
      </c>
      <c r="G104" s="5" t="s">
        <v>6</v>
      </c>
      <c r="H104" s="6">
        <v>264.5</v>
      </c>
    </row>
    <row r="105" spans="1:8" ht="20.100000000000001" customHeight="1" x14ac:dyDescent="0.25">
      <c r="A105" s="84"/>
      <c r="B105" s="2">
        <v>45636</v>
      </c>
      <c r="C105" s="3">
        <v>1252542885</v>
      </c>
      <c r="D105" s="3">
        <v>1</v>
      </c>
      <c r="E105" s="4" t="s">
        <v>572</v>
      </c>
      <c r="F105" s="19" t="s">
        <v>128</v>
      </c>
      <c r="G105" s="5" t="s">
        <v>6</v>
      </c>
      <c r="H105" s="6">
        <v>264.5</v>
      </c>
    </row>
    <row r="106" spans="1:8" ht="20.100000000000001" customHeight="1" x14ac:dyDescent="0.25">
      <c r="A106" s="84"/>
      <c r="B106" s="2">
        <v>45645</v>
      </c>
      <c r="C106" s="3">
        <v>4025501645</v>
      </c>
      <c r="D106" s="3">
        <v>4</v>
      </c>
      <c r="E106" s="4" t="s">
        <v>1250</v>
      </c>
      <c r="F106" s="19" t="s">
        <v>129</v>
      </c>
      <c r="G106" s="5" t="s">
        <v>19</v>
      </c>
      <c r="H106" s="6">
        <v>975</v>
      </c>
    </row>
    <row r="107" spans="1:8" ht="15.75" x14ac:dyDescent="0.25">
      <c r="A107" s="85"/>
      <c r="B107" s="20"/>
      <c r="C107" s="18"/>
      <c r="D107" s="18"/>
      <c r="E107" s="18" t="s">
        <v>5</v>
      </c>
      <c r="F107" s="18"/>
      <c r="G107" s="21"/>
      <c r="H107" s="22">
        <f>SUM(H3:H106)</f>
        <v>88154</v>
      </c>
    </row>
  </sheetData>
  <autoFilter ref="A1:H107" xr:uid="{00000000-0009-0000-0000-000003000000}"/>
  <mergeCells count="8">
    <mergeCell ref="A1:A107"/>
    <mergeCell ref="H1:H2"/>
    <mergeCell ref="B1:B2"/>
    <mergeCell ref="C1:C2"/>
    <mergeCell ref="D1:D2"/>
    <mergeCell ref="E1:E2"/>
    <mergeCell ref="F1:F2"/>
    <mergeCell ref="G1:G2"/>
  </mergeCells>
  <pageMargins left="0.7" right="0.7" top="0.75" bottom="0.75" header="0.3" footer="0.3"/>
  <pageSetup paperSize="9" orientation="portrait" horizontalDpi="120" verticalDpi="72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3CCFF"/>
  </sheetPr>
  <dimension ref="A1:AO55"/>
  <sheetViews>
    <sheetView zoomScale="115" zoomScaleNormal="115" zoomScaleSheetLayoutView="50" workbookViewId="0">
      <pane ySplit="1" topLeftCell="A2" activePane="bottomLeft" state="frozen"/>
      <selection activeCell="D32" sqref="D32"/>
      <selection pane="bottomLeft" activeCell="G5" sqref="G5"/>
    </sheetView>
  </sheetViews>
  <sheetFormatPr baseColWidth="10" defaultRowHeight="15" x14ac:dyDescent="0.25"/>
  <cols>
    <col min="1" max="1" width="26.85546875" customWidth="1"/>
    <col min="2" max="13" width="21.5703125" style="49" bestFit="1" customWidth="1"/>
    <col min="14" max="14" width="23.85546875" style="48" bestFit="1" customWidth="1"/>
    <col min="15" max="16" width="23.85546875" customWidth="1"/>
  </cols>
  <sheetData>
    <row r="1" spans="1:41" ht="15.75" x14ac:dyDescent="0.25">
      <c r="A1" s="30" t="s">
        <v>44</v>
      </c>
      <c r="B1" s="34" t="s">
        <v>58</v>
      </c>
      <c r="C1" s="34" t="s">
        <v>77</v>
      </c>
      <c r="D1" s="34" t="s">
        <v>84</v>
      </c>
      <c r="E1" s="34" t="s">
        <v>90</v>
      </c>
      <c r="F1" s="30" t="s">
        <v>93</v>
      </c>
      <c r="G1" s="34" t="s">
        <v>98</v>
      </c>
      <c r="H1" s="34" t="s">
        <v>101</v>
      </c>
      <c r="I1" s="34" t="s">
        <v>108</v>
      </c>
      <c r="J1" s="34" t="s">
        <v>109</v>
      </c>
      <c r="K1" s="34" t="s">
        <v>110</v>
      </c>
      <c r="L1" s="34" t="s">
        <v>111</v>
      </c>
      <c r="M1" s="34" t="s">
        <v>112</v>
      </c>
      <c r="N1" s="30" t="s">
        <v>5</v>
      </c>
      <c r="O1" s="38"/>
      <c r="P1" s="38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</row>
    <row r="2" spans="1:41" ht="31.5" customHeight="1" x14ac:dyDescent="0.25">
      <c r="A2" s="29" t="s">
        <v>38</v>
      </c>
      <c r="B2" s="41">
        <f>SUM(Producto!H3:H13)</f>
        <v>9230</v>
      </c>
      <c r="C2" s="41">
        <f>SUM(Producto!H14:H28)</f>
        <v>11627.72</v>
      </c>
      <c r="D2" s="41">
        <f>SUM(Producto!H29:H43)</f>
        <v>7836</v>
      </c>
      <c r="E2" s="41">
        <f>SUM(Producto!H44:H63)</f>
        <v>11530</v>
      </c>
      <c r="F2" s="50">
        <f>SUM(Producto!H64:H71)</f>
        <v>4560</v>
      </c>
      <c r="G2" s="50">
        <f>SUM(Producto!H72:H85)</f>
        <v>10550</v>
      </c>
      <c r="H2" s="50">
        <f>SUM(Producto!H86:H105)</f>
        <v>11670</v>
      </c>
      <c r="I2" s="50">
        <f>SUM(Producto!H106:H116)</f>
        <v>8430</v>
      </c>
      <c r="J2" s="50">
        <f>SUM(Producto!H117:H125)</f>
        <v>6000</v>
      </c>
      <c r="K2" s="50">
        <f>SUM(Producto!H126:H140)</f>
        <v>11100</v>
      </c>
      <c r="L2" s="50">
        <f>SUM(Producto!H141:H164)</f>
        <v>14305.25</v>
      </c>
      <c r="M2" s="50">
        <f>SUM(Producto!H165:H170)</f>
        <v>5048</v>
      </c>
      <c r="N2" s="42">
        <f t="shared" ref="N2:N33" si="0">SUM(B2:M2)</f>
        <v>111886.97</v>
      </c>
      <c r="O2" s="39">
        <f>+Producto!H171</f>
        <v>111886.97</v>
      </c>
      <c r="P2" s="39">
        <f>+O2-N2</f>
        <v>0</v>
      </c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</row>
    <row r="3" spans="1:41" ht="24.95" customHeight="1" x14ac:dyDescent="0.25">
      <c r="A3" s="29" t="s">
        <v>9</v>
      </c>
      <c r="B3" s="41">
        <v>0</v>
      </c>
      <c r="C3" s="41">
        <f>SUM('Acido hialuronico'!H3:H4)</f>
        <v>6000</v>
      </c>
      <c r="D3" s="41">
        <f>SUM('Acido hialuronico'!H5:H11)</f>
        <v>16900</v>
      </c>
      <c r="E3" s="41">
        <f>SUM('Acido hialuronico'!H12:H17)</f>
        <v>26200</v>
      </c>
      <c r="F3" s="50">
        <f>SUM('Acido hialuronico'!H18)</f>
        <v>2800</v>
      </c>
      <c r="G3" s="50">
        <v>0</v>
      </c>
      <c r="H3" s="50">
        <f>SUM('Acido hialuronico'!H19:H26)</f>
        <v>24400</v>
      </c>
      <c r="I3" s="50">
        <f>SUM('Acido hialuronico'!H27:H34)</f>
        <v>25400</v>
      </c>
      <c r="J3" s="50">
        <f>SUM('Acido hialuronico'!H35:H42)</f>
        <v>27600</v>
      </c>
      <c r="K3" s="50">
        <f>SUM('Acido hialuronico'!H43:H54)</f>
        <v>43750</v>
      </c>
      <c r="L3" s="50">
        <f>SUM('Acido hialuronico'!H55:H65)</f>
        <v>81046</v>
      </c>
      <c r="M3" s="50">
        <f>SUM('Acido hialuronico'!H66:H68)</f>
        <v>5600</v>
      </c>
      <c r="N3" s="42">
        <f t="shared" si="0"/>
        <v>259696</v>
      </c>
      <c r="O3" s="39">
        <f>+'Acido hialuronico'!H69</f>
        <v>259696</v>
      </c>
      <c r="P3" s="39">
        <f t="shared" ref="P3:P53" si="1">+O3-N3</f>
        <v>0</v>
      </c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</row>
    <row r="4" spans="1:41" s="35" customFormat="1" ht="24.95" customHeight="1" x14ac:dyDescent="0.25">
      <c r="A4" s="36" t="s">
        <v>12</v>
      </c>
      <c r="B4" s="41">
        <f>SUM(Depilación!H3:H8)</f>
        <v>4650</v>
      </c>
      <c r="C4" s="41">
        <f>SUM(Depilación!H9:H10)</f>
        <v>1625</v>
      </c>
      <c r="D4" s="41">
        <f>SUM(Depilación!H11:H17)</f>
        <v>4512.5</v>
      </c>
      <c r="E4" s="41">
        <f>SUM(Depilación!H18:H26)</f>
        <v>8395</v>
      </c>
      <c r="F4" s="50">
        <f>SUM(Depilación!H27:H42)</f>
        <v>13429</v>
      </c>
      <c r="G4" s="50">
        <f>SUM(Depilación!H43:H49)</f>
        <v>6462.5</v>
      </c>
      <c r="H4" s="50">
        <f>SUM(Depilación!H50:H59)</f>
        <v>9825</v>
      </c>
      <c r="I4" s="50">
        <f>SUM(Depilación!H60:H79)</f>
        <v>16204</v>
      </c>
      <c r="J4" s="50">
        <f>SUM(Depilación!H80:H83)</f>
        <v>3900</v>
      </c>
      <c r="K4" s="50">
        <f>SUM(Depilación!H84:H90)</f>
        <v>6300</v>
      </c>
      <c r="L4" s="50">
        <f>SUM(Depilación!H91:H98)</f>
        <v>7097</v>
      </c>
      <c r="M4" s="50">
        <f>SUM(Depilación!H99:H106)</f>
        <v>5754</v>
      </c>
      <c r="N4" s="42">
        <f t="shared" si="0"/>
        <v>88154</v>
      </c>
      <c r="O4" s="39">
        <f>+Depilación!H107</f>
        <v>88154</v>
      </c>
      <c r="P4" s="39">
        <f t="shared" si="1"/>
        <v>0</v>
      </c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</row>
    <row r="5" spans="1:41" ht="24.95" customHeight="1" x14ac:dyDescent="0.25">
      <c r="A5" s="29" t="s">
        <v>14</v>
      </c>
      <c r="B5" s="41">
        <f>SUM(Emsculpt!H3:H4)</f>
        <v>13500</v>
      </c>
      <c r="C5" s="41">
        <f>SUM(Emsculpt!H5:H9)</f>
        <v>33750</v>
      </c>
      <c r="D5" s="41">
        <f>SUM(Emsculpt!H10)</f>
        <v>6750</v>
      </c>
      <c r="E5" s="41">
        <f>SUM(Emsculpt!H11:H13)</f>
        <v>18000</v>
      </c>
      <c r="F5" s="50">
        <f>SUM(Emsculpt!H14:H16)</f>
        <v>13750</v>
      </c>
      <c r="G5" s="50">
        <f>SUM(Emsculpt!H17:H22)</f>
        <v>33750</v>
      </c>
      <c r="H5" s="50">
        <v>0</v>
      </c>
      <c r="I5" s="50">
        <f>SUM(Emsculpt!H23)</f>
        <v>6750</v>
      </c>
      <c r="J5" s="50">
        <v>0</v>
      </c>
      <c r="K5" s="50">
        <f>SUM(Emsculpt!H24)</f>
        <v>6750</v>
      </c>
      <c r="L5" s="50">
        <v>0</v>
      </c>
      <c r="M5" s="50">
        <v>0</v>
      </c>
      <c r="N5" s="42">
        <f t="shared" si="0"/>
        <v>133000</v>
      </c>
      <c r="O5" s="39">
        <f>+Emsculpt!H25</f>
        <v>133000</v>
      </c>
      <c r="P5" s="39">
        <f t="shared" si="1"/>
        <v>0</v>
      </c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</row>
    <row r="6" spans="1:41" ht="24.95" customHeight="1" x14ac:dyDescent="0.25">
      <c r="A6" s="29" t="s">
        <v>15</v>
      </c>
      <c r="B6" s="41">
        <f>SUM(Emtone!H3)</f>
        <v>5000</v>
      </c>
      <c r="C6" s="41">
        <f>SUM(Emtone!H4:H6)</f>
        <v>10525</v>
      </c>
      <c r="D6" s="41">
        <f>SUM(Emtone!H7:H8)</f>
        <v>10000</v>
      </c>
      <c r="E6" s="41">
        <f>SUM(Emtone!H9:H10)</f>
        <v>11000</v>
      </c>
      <c r="F6" s="50">
        <f>SUM(Emtone!H11:H14)</f>
        <v>19000</v>
      </c>
      <c r="G6" s="50">
        <f>SUM(Emtone!H15:H17)</f>
        <v>15000</v>
      </c>
      <c r="H6" s="50">
        <f>SUM(Emtone!H18:H21)</f>
        <v>20000</v>
      </c>
      <c r="I6" s="50">
        <f>SUM(Emtone!H22:H24)</f>
        <v>10950</v>
      </c>
      <c r="J6" s="50">
        <f>SUM(Emtone!H25:H27)</f>
        <v>12500</v>
      </c>
      <c r="K6" s="50">
        <f>SUM(Emtone!H28:H33)</f>
        <v>20000</v>
      </c>
      <c r="L6" s="50">
        <f>SUM(Emtone!H34:H35)</f>
        <v>10000</v>
      </c>
      <c r="M6" s="50">
        <f>SUM(Emtone!H36)</f>
        <v>5000</v>
      </c>
      <c r="N6" s="42">
        <f t="shared" si="0"/>
        <v>148975</v>
      </c>
      <c r="O6" s="39">
        <f>+Emtone!H51</f>
        <v>148975</v>
      </c>
      <c r="P6" s="39">
        <f t="shared" si="1"/>
        <v>0</v>
      </c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</row>
    <row r="7" spans="1:41" ht="24.95" customHeight="1" x14ac:dyDescent="0.25">
      <c r="A7" s="29" t="s">
        <v>45</v>
      </c>
      <c r="B7" s="41">
        <f>SUM(Exilis!H3:H9)</f>
        <v>45500</v>
      </c>
      <c r="C7" s="41">
        <f>SUM(Exilis!H10:H17)</f>
        <v>39890.54</v>
      </c>
      <c r="D7" s="41">
        <f>SUM(Exilis!H18:H19)</f>
        <v>9750</v>
      </c>
      <c r="E7" s="41">
        <f>SUM(Exilis!H20:H26)</f>
        <v>45500</v>
      </c>
      <c r="F7" s="50">
        <f>SUM(Exilis!H27:H36)</f>
        <v>52375</v>
      </c>
      <c r="G7" s="50">
        <f>SUM(Exilis!H37:H44)</f>
        <v>33600</v>
      </c>
      <c r="H7" s="50">
        <f>SUM(Exilis!H45:H46)</f>
        <v>3800</v>
      </c>
      <c r="I7" s="50">
        <f>SUM(Exilis!H47:H52)</f>
        <v>19237</v>
      </c>
      <c r="J7" s="50">
        <f>SUM(Exilis!H53:H57)</f>
        <v>23300</v>
      </c>
      <c r="K7" s="50">
        <f>SUM(Exilis!H58:H62)</f>
        <v>23500</v>
      </c>
      <c r="L7" s="50">
        <f>SUM(Exilis!H63:H67)</f>
        <v>19500</v>
      </c>
      <c r="M7" s="50">
        <f>SUM(Exilis!H68:H70)</f>
        <v>16250</v>
      </c>
      <c r="N7" s="42">
        <f t="shared" si="0"/>
        <v>332202.54000000004</v>
      </c>
      <c r="O7" s="39">
        <f>+Exilis!H79</f>
        <v>332202.53999999998</v>
      </c>
      <c r="P7" s="39">
        <f t="shared" si="1"/>
        <v>0</v>
      </c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</row>
    <row r="8" spans="1:41" ht="24.95" customHeight="1" x14ac:dyDescent="0.25">
      <c r="A8" s="29" t="s">
        <v>46</v>
      </c>
      <c r="B8" s="41">
        <v>0</v>
      </c>
      <c r="C8" s="41">
        <v>0</v>
      </c>
      <c r="D8" s="41">
        <v>0</v>
      </c>
      <c r="E8" s="41">
        <v>0</v>
      </c>
      <c r="F8" s="50">
        <v>0</v>
      </c>
      <c r="G8" s="50">
        <v>0</v>
      </c>
      <c r="H8" s="50">
        <v>0</v>
      </c>
      <c r="I8" s="50">
        <v>0</v>
      </c>
      <c r="J8" s="50">
        <v>0</v>
      </c>
      <c r="K8" s="50">
        <v>0</v>
      </c>
      <c r="L8" s="50">
        <v>0</v>
      </c>
      <c r="M8" s="50">
        <v>0</v>
      </c>
      <c r="N8" s="42">
        <f t="shared" si="0"/>
        <v>0</v>
      </c>
      <c r="O8" s="39">
        <f>+Exfoliación!H4</f>
        <v>0</v>
      </c>
      <c r="P8" s="39">
        <f t="shared" si="1"/>
        <v>0</v>
      </c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</row>
    <row r="9" spans="1:41" ht="24.95" customHeight="1" x14ac:dyDescent="0.25">
      <c r="A9" s="29" t="s">
        <v>18</v>
      </c>
      <c r="B9" s="41">
        <f>SUM('Facial purificante'!H3:H5)</f>
        <v>3075</v>
      </c>
      <c r="C9" s="41">
        <f>SUM('Facial purificante'!H6:H9)</f>
        <v>2175</v>
      </c>
      <c r="D9" s="41">
        <f>SUM('Facial purificante'!H10:H12)</f>
        <v>1750</v>
      </c>
      <c r="E9" s="41">
        <f>SUM('Facial purificante'!H13:H16)</f>
        <v>1600</v>
      </c>
      <c r="F9" s="50">
        <f>SUM('Facial purificante'!H17:H20)</f>
        <v>2875</v>
      </c>
      <c r="G9" s="50">
        <f>SUM('Facial purificante'!H21:H29)</f>
        <v>9165</v>
      </c>
      <c r="H9" s="50">
        <f>SUM('Facial purificante'!H30)</f>
        <v>575</v>
      </c>
      <c r="I9" s="50">
        <f>SUM('Facial purificante'!H31:H35)</f>
        <v>2875</v>
      </c>
      <c r="J9" s="50">
        <f>SUM('Facial purificante'!H36)</f>
        <v>575</v>
      </c>
      <c r="K9" s="50">
        <f>SUM('Facial purificante'!H37:H43)</f>
        <v>4000</v>
      </c>
      <c r="L9" s="50">
        <f>SUM('Facial purificante'!H44:H47)</f>
        <v>1782.5</v>
      </c>
      <c r="M9" s="50">
        <f>SUM('Facial purificante'!H48:H51)</f>
        <v>2750</v>
      </c>
      <c r="N9" s="42">
        <f t="shared" si="0"/>
        <v>33197.5</v>
      </c>
      <c r="O9" s="39">
        <f>+'Facial purificante'!H78</f>
        <v>33197.5</v>
      </c>
      <c r="P9" s="39">
        <f t="shared" si="1"/>
        <v>0</v>
      </c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</row>
    <row r="10" spans="1:41" ht="24.95" customHeight="1" x14ac:dyDescent="0.25">
      <c r="A10" s="29" t="s">
        <v>703</v>
      </c>
      <c r="B10" s="41">
        <f>SUM(Hifu!H3)</f>
        <v>3000</v>
      </c>
      <c r="C10" s="41">
        <f>SUM(Hifu!H4)</f>
        <v>3000</v>
      </c>
      <c r="D10" s="41">
        <v>0</v>
      </c>
      <c r="E10" s="41">
        <f>SUM(Hifu!H5)</f>
        <v>3000</v>
      </c>
      <c r="F10" s="50">
        <f>SUM(Hifu!H6)</f>
        <v>3000</v>
      </c>
      <c r="G10" s="50">
        <f>SUM(Hifu!H7)</f>
        <v>3000</v>
      </c>
      <c r="H10" s="50">
        <f>SUM(Hifu!H8:H10)</f>
        <v>6000</v>
      </c>
      <c r="I10" s="50">
        <f>SUM(Hifu!H11:H14)</f>
        <v>12000</v>
      </c>
      <c r="J10" s="50">
        <v>0</v>
      </c>
      <c r="K10" s="50">
        <v>0</v>
      </c>
      <c r="L10" s="50">
        <v>0</v>
      </c>
      <c r="M10" s="50">
        <v>0</v>
      </c>
      <c r="N10" s="42">
        <f t="shared" si="0"/>
        <v>33000</v>
      </c>
      <c r="O10" s="39">
        <f>+Hifu!H16</f>
        <v>33000</v>
      </c>
      <c r="P10" s="39">
        <f t="shared" si="1"/>
        <v>0</v>
      </c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</row>
    <row r="11" spans="1:41" ht="24.95" customHeight="1" x14ac:dyDescent="0.25">
      <c r="A11" s="29" t="s">
        <v>21</v>
      </c>
      <c r="B11" s="41">
        <f>SUM(Hydrafacial!H3:H6)</f>
        <v>7167.6</v>
      </c>
      <c r="C11" s="41">
        <f>SUM(Hydrafacial!H7)</f>
        <v>834</v>
      </c>
      <c r="D11" s="41">
        <f>SUM(Hydrafacial!H8:H10)</f>
        <v>4502</v>
      </c>
      <c r="E11" s="41">
        <f>SUM(Hydrafacial!H11)</f>
        <v>834</v>
      </c>
      <c r="F11" s="50">
        <f>SUM(Hydrafacial!H12:H19)</f>
        <v>7077.6</v>
      </c>
      <c r="G11" s="50">
        <f>SUM(Hydrafacial!H20)</f>
        <v>1668</v>
      </c>
      <c r="H11" s="50">
        <f>SUM(Hydrafacial!H21:H22)</f>
        <v>1794</v>
      </c>
      <c r="I11" s="50">
        <f>SUM(Hydrafacial!H23:H27)</f>
        <v>5902</v>
      </c>
      <c r="J11" s="50">
        <f>SUM(Hydrafacial!H28:H30)</f>
        <v>3252</v>
      </c>
      <c r="K11" s="50">
        <f>SUM(Hydrafacial!H31:H33)</f>
        <v>2502</v>
      </c>
      <c r="L11" s="50">
        <f>SUM(Hydrafacial!H34:H37)</f>
        <v>4317.8</v>
      </c>
      <c r="M11" s="50">
        <f>SUM(Hydrafacial!H38:H42)</f>
        <v>5402</v>
      </c>
      <c r="N11" s="42">
        <f t="shared" si="0"/>
        <v>45253</v>
      </c>
      <c r="O11" s="39">
        <f>+Hydrafacial!H53</f>
        <v>45253</v>
      </c>
      <c r="P11" s="39">
        <f t="shared" si="1"/>
        <v>0</v>
      </c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</row>
    <row r="12" spans="1:41" ht="24.95" customHeight="1" x14ac:dyDescent="0.25">
      <c r="A12" s="29" t="s">
        <v>22</v>
      </c>
      <c r="B12" s="41">
        <f>SUM(Laboratorios!H3)</f>
        <v>750</v>
      </c>
      <c r="C12" s="41">
        <v>0</v>
      </c>
      <c r="D12" s="41">
        <v>0</v>
      </c>
      <c r="E12" s="41">
        <v>0</v>
      </c>
      <c r="F12" s="50">
        <v>0</v>
      </c>
      <c r="G12" s="50">
        <f>SUM(Laboratorios!H4)</f>
        <v>1200</v>
      </c>
      <c r="H12" s="50">
        <v>0</v>
      </c>
      <c r="I12" s="50">
        <f>SUM(Laboratorios!H5)</f>
        <v>1200</v>
      </c>
      <c r="J12" s="50">
        <f>SUM(Laboratorios!H6)</f>
        <v>1200</v>
      </c>
      <c r="K12" s="50">
        <f>SUM(Laboratorios!H7)</f>
        <v>1200</v>
      </c>
      <c r="L12" s="50">
        <v>0</v>
      </c>
      <c r="M12" s="50">
        <v>0</v>
      </c>
      <c r="N12" s="42">
        <f t="shared" si="0"/>
        <v>5550</v>
      </c>
      <c r="O12" s="39">
        <f>+Laboratorios!H18</f>
        <v>5550</v>
      </c>
      <c r="P12" s="39">
        <f t="shared" si="1"/>
        <v>0</v>
      </c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</row>
    <row r="13" spans="1:41" ht="24.95" customHeight="1" x14ac:dyDescent="0.25">
      <c r="A13" s="29" t="s">
        <v>23</v>
      </c>
      <c r="B13" s="41">
        <f>SUM('Masaje linfatico'!H3:H5)</f>
        <v>4200</v>
      </c>
      <c r="C13" s="41">
        <f>SUM('Masaje linfatico'!H6:H10)</f>
        <v>8899.9999499999994</v>
      </c>
      <c r="D13" s="41">
        <f>SUM('Masaje linfatico'!H11)</f>
        <v>200</v>
      </c>
      <c r="E13" s="41">
        <f>SUM('Masaje linfatico'!H12:H18)</f>
        <v>4800</v>
      </c>
      <c r="F13" s="50">
        <f>SUM('Masaje linfatico'!H19:H22)</f>
        <v>7200</v>
      </c>
      <c r="G13" s="50">
        <f>SUM('Masaje linfatico'!H23:H24)</f>
        <v>4500</v>
      </c>
      <c r="H13" s="50">
        <f>SUM('Masaje linfatico'!H25)</f>
        <v>2000</v>
      </c>
      <c r="I13" s="50">
        <f>SUM('Masaje linfatico'!H26:H27)</f>
        <v>1600</v>
      </c>
      <c r="J13" s="50">
        <f>SUM('Masaje linfatico'!H28:H29)</f>
        <v>1250</v>
      </c>
      <c r="K13" s="50">
        <v>0</v>
      </c>
      <c r="L13" s="50">
        <f>SUM('Masaje linfatico'!H30:H35)</f>
        <v>2100</v>
      </c>
      <c r="M13" s="50">
        <f>SUM('Masaje linfatico'!H36:H38)</f>
        <v>600</v>
      </c>
      <c r="N13" s="42">
        <f t="shared" si="0"/>
        <v>37349.999949999998</v>
      </c>
      <c r="O13" s="39">
        <f>+'Masaje linfatico'!H58</f>
        <v>37349.999949999998</v>
      </c>
      <c r="P13" s="39">
        <f t="shared" si="1"/>
        <v>0</v>
      </c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</row>
    <row r="14" spans="1:41" ht="24.95" customHeight="1" x14ac:dyDescent="0.25">
      <c r="A14" s="29" t="s">
        <v>24</v>
      </c>
      <c r="B14" s="41">
        <f>SUM(Mesoterapia!H3)</f>
        <v>3120</v>
      </c>
      <c r="C14" s="41">
        <f>SUM(Mesoterapia!H4)</f>
        <v>5500</v>
      </c>
      <c r="D14" s="41">
        <f>SUM(Mesoterapia!H5:H8)</f>
        <v>10986</v>
      </c>
      <c r="E14" s="41">
        <f>SUM(Mesoterapia!H9:H11)</f>
        <v>9184</v>
      </c>
      <c r="F14" s="50">
        <f>SUM(Mesoterapia!H12)</f>
        <v>3800</v>
      </c>
      <c r="G14" s="50">
        <f>SUM(Mesoterapia!H13:H14)</f>
        <v>1440</v>
      </c>
      <c r="H14" s="50">
        <f>SUM(Mesoterapia!H15:H18)</f>
        <v>6446</v>
      </c>
      <c r="I14" s="50">
        <f>SUM(Mesoterapia!H19:H20)</f>
        <v>7000</v>
      </c>
      <c r="J14" s="50">
        <f>SUM(Mesoterapia!H21:H25)</f>
        <v>18940</v>
      </c>
      <c r="K14" s="50">
        <f>SUM(Mesoterapia!H26:H29)</f>
        <v>14060</v>
      </c>
      <c r="L14" s="50">
        <f>SUM(Mesoterapia!H30:H31)</f>
        <v>5500</v>
      </c>
      <c r="M14" s="50">
        <f>SUM(Mesoterapia!H32)</f>
        <v>2000</v>
      </c>
      <c r="N14" s="42">
        <f t="shared" si="0"/>
        <v>87976</v>
      </c>
      <c r="O14" s="39">
        <f>+Mesoterapia!H33</f>
        <v>87976</v>
      </c>
      <c r="P14" s="39">
        <f t="shared" si="1"/>
        <v>0</v>
      </c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</row>
    <row r="15" spans="1:41" ht="24.95" customHeight="1" x14ac:dyDescent="0.25">
      <c r="A15" s="29" t="s">
        <v>27</v>
      </c>
      <c r="B15" s="41">
        <f>SUM(Morpheus!H3:H6)</f>
        <v>40000</v>
      </c>
      <c r="C15" s="41">
        <f>SUM(Morpheus!H7:H18)</f>
        <v>114460</v>
      </c>
      <c r="D15" s="41">
        <f>SUM(Morpheus!H19:H27)</f>
        <v>73500</v>
      </c>
      <c r="E15" s="41">
        <f>SUM(Morpheus!H28)</f>
        <v>10000</v>
      </c>
      <c r="F15" s="50">
        <f>SUM(Morpheus!H29:H33)</f>
        <v>40000</v>
      </c>
      <c r="G15" s="50">
        <f>SUM(Morpheus!H34:H43)</f>
        <v>104000</v>
      </c>
      <c r="H15" s="50">
        <f>SUM(Morpheus!H44:H51)</f>
        <v>92500</v>
      </c>
      <c r="I15" s="50">
        <f>SUM(Morpheus!H52:H54)</f>
        <v>30000</v>
      </c>
      <c r="J15" s="50">
        <f>SUM(Morpheus!H55:H60)</f>
        <v>45000</v>
      </c>
      <c r="K15" s="50">
        <f>SUM(Morpheus!H61:H65)</f>
        <v>45000</v>
      </c>
      <c r="L15" s="50">
        <f>SUM(Morpheus!H66:H72)</f>
        <v>65000</v>
      </c>
      <c r="M15" s="50">
        <f>SUM(Morpheus!H73:H78)</f>
        <v>55000</v>
      </c>
      <c r="N15" s="42">
        <f t="shared" si="0"/>
        <v>714460</v>
      </c>
      <c r="O15" s="39">
        <f>+Morpheus!H82</f>
        <v>714460</v>
      </c>
      <c r="P15" s="39">
        <f t="shared" si="1"/>
        <v>0</v>
      </c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</row>
    <row r="16" spans="1:41" ht="24.95" customHeight="1" x14ac:dyDescent="0.25">
      <c r="A16" s="29" t="s">
        <v>28</v>
      </c>
      <c r="B16" s="41">
        <v>0</v>
      </c>
      <c r="C16" s="41">
        <v>0</v>
      </c>
      <c r="D16" s="41">
        <v>0</v>
      </c>
      <c r="E16" s="41">
        <v>0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0</v>
      </c>
      <c r="N16" s="42">
        <f t="shared" si="0"/>
        <v>0</v>
      </c>
      <c r="O16" s="39">
        <f>+'Pico-láser'!H6</f>
        <v>0</v>
      </c>
      <c r="P16" s="39">
        <f t="shared" si="1"/>
        <v>0</v>
      </c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</row>
    <row r="17" spans="1:41" ht="24.95" customHeight="1" x14ac:dyDescent="0.25">
      <c r="A17" s="29" t="s">
        <v>47</v>
      </c>
      <c r="B17" s="41">
        <f>SUM(Profhilo!H3:H9)</f>
        <v>32500</v>
      </c>
      <c r="C17" s="41">
        <v>0</v>
      </c>
      <c r="D17" s="41">
        <f>SUM(Profhilo!H10)</f>
        <v>5000</v>
      </c>
      <c r="E17" s="41">
        <f>SUM(Profhilo!H11)</f>
        <v>5000</v>
      </c>
      <c r="F17" s="50">
        <f>SUM(Profhilo!H12)</f>
        <v>5000</v>
      </c>
      <c r="G17" s="50">
        <v>0</v>
      </c>
      <c r="H17" s="50">
        <f>SUM(Profhilo!H13)</f>
        <v>5000</v>
      </c>
      <c r="I17" s="50">
        <f>SUM(Profhilo!H14:H17)</f>
        <v>20000</v>
      </c>
      <c r="J17" s="50">
        <f>SUM(Profhilo!H18:H22)</f>
        <v>20000</v>
      </c>
      <c r="K17" s="50">
        <f>SUM(Profhilo!H23:H27)</f>
        <v>20000</v>
      </c>
      <c r="L17" s="50">
        <f>SUM(Profhilo!H28)</f>
        <v>5000</v>
      </c>
      <c r="M17" s="50">
        <f>SUM(Profhilo!H29)</f>
        <v>5000</v>
      </c>
      <c r="N17" s="42">
        <f t="shared" si="0"/>
        <v>122500</v>
      </c>
      <c r="O17" s="39">
        <f>+Profhilo!H30</f>
        <v>122500</v>
      </c>
      <c r="P17" s="39">
        <f t="shared" si="1"/>
        <v>0</v>
      </c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</row>
    <row r="18" spans="1:41" ht="24.95" customHeight="1" x14ac:dyDescent="0.25">
      <c r="A18" s="29" t="s">
        <v>31</v>
      </c>
      <c r="B18" s="41">
        <f>SUM(PRP!H3:H13)</f>
        <v>23400</v>
      </c>
      <c r="C18" s="41">
        <f>SUM(PRP!H14:H20)</f>
        <v>14120</v>
      </c>
      <c r="D18" s="41">
        <f>SUM(PRP!H21:H32)</f>
        <v>22300</v>
      </c>
      <c r="E18" s="41">
        <f>SUM(PRP!H33:H59)</f>
        <v>42400</v>
      </c>
      <c r="F18" s="50">
        <f>SUM(PRP!H60:H79)</f>
        <v>42760</v>
      </c>
      <c r="G18" s="50">
        <f>SUM(PRP!H80:H85)</f>
        <v>16400</v>
      </c>
      <c r="H18" s="50">
        <f>SUM(PRP!H86:H91)</f>
        <v>11500</v>
      </c>
      <c r="I18" s="50">
        <f>SUM(PRP!H92:H106)</f>
        <v>30300</v>
      </c>
      <c r="J18" s="50">
        <f>SUM(PRP!H107:H114)</f>
        <v>20100</v>
      </c>
      <c r="K18" s="50">
        <f>SUM(PRP!H115:H121)</f>
        <v>12860</v>
      </c>
      <c r="L18" s="50">
        <f>SUM(PRP!H122:H130)</f>
        <v>17900</v>
      </c>
      <c r="M18" s="50">
        <f>SUM(PRP!H131:H146)</f>
        <v>50200</v>
      </c>
      <c r="N18" s="42">
        <f t="shared" si="0"/>
        <v>304240</v>
      </c>
      <c r="O18" s="39">
        <f>+PRP!H147</f>
        <v>304240</v>
      </c>
      <c r="P18" s="39">
        <f t="shared" si="1"/>
        <v>0</v>
      </c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</row>
    <row r="19" spans="1:41" ht="24.95" customHeight="1" x14ac:dyDescent="0.25">
      <c r="A19" s="29" t="s">
        <v>33</v>
      </c>
      <c r="B19" s="41">
        <f>SUM(Radiofrecuencia!H3:H9)</f>
        <v>17670</v>
      </c>
      <c r="C19" s="41">
        <f>SUM(Radiofrecuencia!H10:H13)</f>
        <v>11325.500000000002</v>
      </c>
      <c r="D19" s="41">
        <f>SUM(Radiofrecuencia!H14)</f>
        <v>1780</v>
      </c>
      <c r="E19" s="41">
        <f>SUM(Radiofrecuencia!H15:H16)</f>
        <v>3560</v>
      </c>
      <c r="F19" s="50">
        <f>SUM(Radiofrecuencia!H17:H21)</f>
        <v>16710</v>
      </c>
      <c r="G19" s="50">
        <f>SUM(Radiofrecuencia!H22:H27)</f>
        <v>13408</v>
      </c>
      <c r="H19" s="50">
        <f>SUM(Radiofrecuencia!H28)</f>
        <v>10680</v>
      </c>
      <c r="I19" s="50">
        <f>SUM(Radiofrecuencia!H29:H31)</f>
        <v>9180</v>
      </c>
      <c r="J19" s="50">
        <f>SUM(Radiofrecuencia!H32:H33)</f>
        <v>3700</v>
      </c>
      <c r="K19" s="50">
        <f>SUM(Radiofrecuencia!H34:H40)</f>
        <v>39776</v>
      </c>
      <c r="L19" s="50">
        <f>SUM(Radiofrecuencia!H41:H43)</f>
        <v>8900</v>
      </c>
      <c r="M19" s="50">
        <f>SUM(Radiofrecuencia!H44:H49)</f>
        <v>20600</v>
      </c>
      <c r="N19" s="42">
        <f t="shared" si="0"/>
        <v>157289.5</v>
      </c>
      <c r="O19" s="39">
        <f>+Radiofrecuencia!H50</f>
        <v>157289.5</v>
      </c>
      <c r="P19" s="39">
        <f t="shared" si="1"/>
        <v>0</v>
      </c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</row>
    <row r="20" spans="1:41" ht="24.95" customHeight="1" x14ac:dyDescent="0.25">
      <c r="A20" s="29" t="s">
        <v>48</v>
      </c>
      <c r="B20" s="41">
        <f>SUM(Ultrasonido!H3:H4)</f>
        <v>2700</v>
      </c>
      <c r="C20" s="41">
        <f>SUM(Ultrasonido!H5:H7)</f>
        <v>5400</v>
      </c>
      <c r="D20" s="41">
        <f>SUM(Ultrasonido!H8)</f>
        <v>900</v>
      </c>
      <c r="E20" s="41">
        <f>SUM(Ultrasonido!H9:H10)</f>
        <v>2700</v>
      </c>
      <c r="F20" s="50">
        <f>SUM(Ultrasonido!H11:H13)</f>
        <v>4680</v>
      </c>
      <c r="G20" s="50">
        <v>0</v>
      </c>
      <c r="H20" s="50">
        <f>SUM(Ultrasonido!H14)</f>
        <v>1200</v>
      </c>
      <c r="I20" s="50">
        <v>0</v>
      </c>
      <c r="J20" s="50">
        <v>0</v>
      </c>
      <c r="K20" s="50">
        <f>SUM(Ultrasonido!H15)</f>
        <v>1800</v>
      </c>
      <c r="L20" s="50">
        <f>SUM(Ultrasonido!H16)</f>
        <v>900</v>
      </c>
      <c r="M20" s="50">
        <f>SUM(Ultrasonido!H17)</f>
        <v>1440</v>
      </c>
      <c r="N20" s="42">
        <f t="shared" si="0"/>
        <v>21720</v>
      </c>
      <c r="O20" s="39">
        <f>+Ultrasonido!H18</f>
        <v>21720</v>
      </c>
      <c r="P20" s="39">
        <f t="shared" si="1"/>
        <v>0</v>
      </c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</row>
    <row r="21" spans="1:41" ht="24.95" customHeight="1" x14ac:dyDescent="0.25">
      <c r="A21" s="29" t="s">
        <v>35</v>
      </c>
      <c r="B21" s="41">
        <v>0</v>
      </c>
      <c r="C21" s="41">
        <v>0</v>
      </c>
      <c r="D21" s="41">
        <v>0</v>
      </c>
      <c r="E21" s="41">
        <v>0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f>SUM('Velo de acido hialuronico'!H3:H4)</f>
        <v>1300</v>
      </c>
      <c r="N21" s="42">
        <f t="shared" si="0"/>
        <v>1300</v>
      </c>
      <c r="O21" s="39">
        <f>+'Velo de acido hialuronico'!H5</f>
        <v>1300</v>
      </c>
      <c r="P21" s="39">
        <f t="shared" si="1"/>
        <v>0</v>
      </c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</row>
    <row r="22" spans="1:41" ht="24.95" customHeight="1" x14ac:dyDescent="0.25">
      <c r="A22" s="29" t="s">
        <v>36</v>
      </c>
      <c r="B22" s="41">
        <v>0</v>
      </c>
      <c r="C22" s="41">
        <v>0</v>
      </c>
      <c r="D22" s="41">
        <f>SUM(Velox!H3)</f>
        <v>3500</v>
      </c>
      <c r="E22" s="41">
        <v>0</v>
      </c>
      <c r="F22" s="50">
        <f>SUM(Velox!H4:H6)</f>
        <v>9040</v>
      </c>
      <c r="G22" s="50">
        <f>SUM(Velox!H7:H9)</f>
        <v>7910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0</v>
      </c>
      <c r="N22" s="42">
        <f t="shared" si="0"/>
        <v>20450</v>
      </c>
      <c r="O22" s="39">
        <f>+Velox!H10</f>
        <v>20450</v>
      </c>
      <c r="P22" s="39">
        <f t="shared" si="1"/>
        <v>0</v>
      </c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</row>
    <row r="23" spans="1:41" ht="24.95" customHeight="1" x14ac:dyDescent="0.25">
      <c r="A23" s="29" t="s">
        <v>37</v>
      </c>
      <c r="B23" s="41">
        <f>SUM('Vitamina C intravenosa'!H3:H14)</f>
        <v>12840</v>
      </c>
      <c r="C23" s="41">
        <f>SUM('Vitamina C intravenosa'!H15:H25)</f>
        <v>13316</v>
      </c>
      <c r="D23" s="41">
        <f>SUM('Vitamina C intravenosa'!H26:H31)</f>
        <v>6285</v>
      </c>
      <c r="E23" s="41">
        <f>SUM('Vitamina C intravenosa'!H32:H50)</f>
        <v>18031</v>
      </c>
      <c r="F23" s="50">
        <f>SUM('Vitamina C intravenosa'!H51:H56)</f>
        <v>7866</v>
      </c>
      <c r="G23" s="50">
        <f>SUM('Vitamina C intravenosa'!H57:H69)</f>
        <v>15515</v>
      </c>
      <c r="H23" s="50">
        <f>SUM('Vitamina C intravenosa'!H70:H78)</f>
        <v>12630</v>
      </c>
      <c r="I23" s="50">
        <f>SUM('Vitamina C intravenosa'!H79:H95)</f>
        <v>15356</v>
      </c>
      <c r="J23" s="50">
        <f>SUM('Vitamina C intravenosa'!H96:H105)</f>
        <v>10541</v>
      </c>
      <c r="K23" s="50">
        <f>SUM('Vitamina C intravenosa'!H106:H122)</f>
        <v>13246</v>
      </c>
      <c r="L23" s="50">
        <f>SUM('Vitamina C intravenosa'!H123:H131)</f>
        <v>7485</v>
      </c>
      <c r="M23" s="50">
        <f>SUM('Vitamina C intravenosa'!H132:H145)</f>
        <v>12295</v>
      </c>
      <c r="N23" s="42">
        <f t="shared" si="0"/>
        <v>145406</v>
      </c>
      <c r="O23" s="39">
        <f>+'Vitamina C intravenosa'!H146</f>
        <v>145406</v>
      </c>
      <c r="P23" s="39">
        <f t="shared" si="1"/>
        <v>0</v>
      </c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</row>
    <row r="24" spans="1:41" ht="24.95" customHeight="1" x14ac:dyDescent="0.25">
      <c r="A24" s="29" t="s">
        <v>39</v>
      </c>
      <c r="B24" s="41">
        <v>0</v>
      </c>
      <c r="C24" s="41">
        <f>SUM('Ciclo coolsculpting'!H3)</f>
        <v>9000</v>
      </c>
      <c r="D24" s="41">
        <f>SUM('Ciclo coolsculpting'!H4:H5)</f>
        <v>27000</v>
      </c>
      <c r="E24" s="41">
        <v>0</v>
      </c>
      <c r="F24" s="50">
        <v>0</v>
      </c>
      <c r="G24" s="50">
        <v>0</v>
      </c>
      <c r="H24" s="50">
        <f>SUM('Ciclo coolsculpting'!H6)</f>
        <v>9000</v>
      </c>
      <c r="I24" s="50">
        <v>0</v>
      </c>
      <c r="J24" s="50">
        <v>0</v>
      </c>
      <c r="K24" s="50">
        <v>0</v>
      </c>
      <c r="L24" s="50">
        <v>0</v>
      </c>
      <c r="M24" s="50">
        <v>0</v>
      </c>
      <c r="N24" s="42">
        <f t="shared" si="0"/>
        <v>45000</v>
      </c>
      <c r="O24" s="39">
        <f>+'Ciclo coolsculpting'!H7</f>
        <v>45000</v>
      </c>
      <c r="P24" s="39">
        <f t="shared" si="1"/>
        <v>0</v>
      </c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</row>
    <row r="25" spans="1:41" ht="24.95" customHeight="1" x14ac:dyDescent="0.25">
      <c r="A25" s="29" t="s">
        <v>50</v>
      </c>
      <c r="B25" s="41">
        <v>0</v>
      </c>
      <c r="C25" s="41">
        <f>SUM(Dermapen!H3)</f>
        <v>3000</v>
      </c>
      <c r="D25" s="41">
        <v>0</v>
      </c>
      <c r="E25" s="41">
        <v>0</v>
      </c>
      <c r="F25" s="50">
        <v>0</v>
      </c>
      <c r="G25" s="50">
        <f>SUM(Dermapen!H4)</f>
        <v>3600</v>
      </c>
      <c r="H25" s="50">
        <f>SUM(Dermapen!H5)</f>
        <v>3600</v>
      </c>
      <c r="I25" s="50">
        <v>0</v>
      </c>
      <c r="J25" s="50">
        <v>0</v>
      </c>
      <c r="K25" s="50">
        <v>0</v>
      </c>
      <c r="L25" s="50">
        <v>0</v>
      </c>
      <c r="M25" s="50">
        <v>0</v>
      </c>
      <c r="N25" s="42">
        <f t="shared" si="0"/>
        <v>10200</v>
      </c>
      <c r="O25" s="39">
        <f>+Dermapen!H6</f>
        <v>10200</v>
      </c>
      <c r="P25" s="39">
        <f t="shared" si="1"/>
        <v>0</v>
      </c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</row>
    <row r="26" spans="1:41" ht="24.95" customHeight="1" x14ac:dyDescent="0.25">
      <c r="A26" s="29" t="s">
        <v>41</v>
      </c>
      <c r="B26" s="41">
        <v>0</v>
      </c>
      <c r="C26" s="41">
        <v>0</v>
      </c>
      <c r="D26" s="41">
        <f>SUM('Láser CO2'!H3)</f>
        <v>6500</v>
      </c>
      <c r="E26" s="41">
        <f>SUM('Láser CO2'!H4)</f>
        <v>1800</v>
      </c>
      <c r="F26" s="50">
        <v>0</v>
      </c>
      <c r="G26" s="50">
        <v>0</v>
      </c>
      <c r="H26" s="50">
        <f>SUM('Láser CO2'!H5:H6)</f>
        <v>6000</v>
      </c>
      <c r="I26" s="50">
        <v>0</v>
      </c>
      <c r="J26" s="50">
        <f>SUM('Láser CO2'!H7)</f>
        <v>6000</v>
      </c>
      <c r="K26" s="50">
        <v>0</v>
      </c>
      <c r="L26" s="50">
        <f>SUM('Láser CO2'!H8)</f>
        <v>5000</v>
      </c>
      <c r="M26" s="50">
        <v>0</v>
      </c>
      <c r="N26" s="42">
        <f t="shared" si="0"/>
        <v>25300</v>
      </c>
      <c r="O26" s="39">
        <f>+'Láser CO2'!H9</f>
        <v>25300</v>
      </c>
      <c r="P26" s="39">
        <f t="shared" si="1"/>
        <v>0</v>
      </c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</row>
    <row r="27" spans="1:41" ht="24.95" customHeight="1" x14ac:dyDescent="0.25">
      <c r="A27" s="29" t="s">
        <v>49</v>
      </c>
      <c r="B27" s="41">
        <f>SUM('Masaje relajante'!H3:H4)</f>
        <v>2850</v>
      </c>
      <c r="C27" s="41">
        <f>SUM('Masaje relajante'!H5)</f>
        <v>3000</v>
      </c>
      <c r="D27" s="41">
        <v>0</v>
      </c>
      <c r="E27" s="41">
        <f>SUM('Masaje relajante'!H6:H7)</f>
        <v>700</v>
      </c>
      <c r="F27" s="50">
        <f>SUM('Masaje relajante'!H8:H10)</f>
        <v>1050</v>
      </c>
      <c r="G27" s="50">
        <f>SUM('Masaje relajante'!H11:H14)</f>
        <v>7750</v>
      </c>
      <c r="H27" s="50">
        <f>SUM('Masaje relajante'!H15)</f>
        <v>250</v>
      </c>
      <c r="I27" s="50">
        <f>SUM('Masaje relajante'!H16:H19)</f>
        <v>2050</v>
      </c>
      <c r="J27" s="50">
        <f>SUM('Masaje relajante'!H20)</f>
        <v>350</v>
      </c>
      <c r="K27" s="50">
        <f>SUM('Masaje relajante'!H21:H22)</f>
        <v>1950</v>
      </c>
      <c r="L27" s="50">
        <f>SUM('Masaje relajante'!H23)</f>
        <v>1500</v>
      </c>
      <c r="M27" s="50">
        <f>SUM('Masaje relajante'!H24)</f>
        <v>3500</v>
      </c>
      <c r="N27" s="42">
        <f t="shared" si="0"/>
        <v>24950</v>
      </c>
      <c r="O27" s="39">
        <f>+'Masaje relajante'!H25</f>
        <v>24950</v>
      </c>
      <c r="P27" s="39">
        <f t="shared" si="1"/>
        <v>0</v>
      </c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</row>
    <row r="28" spans="1:41" ht="24.95" customHeight="1" x14ac:dyDescent="0.25">
      <c r="A28" s="29" t="s">
        <v>43</v>
      </c>
      <c r="B28" s="41">
        <v>0</v>
      </c>
      <c r="C28" s="41">
        <v>0</v>
      </c>
      <c r="D28" s="41">
        <v>0</v>
      </c>
      <c r="E28" s="41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f>SUM(Oligoelementos!H3)</f>
        <v>1400</v>
      </c>
      <c r="N28" s="42">
        <f t="shared" si="0"/>
        <v>1400</v>
      </c>
      <c r="O28" s="39">
        <f>+Oligoelementos!H4</f>
        <v>1400</v>
      </c>
      <c r="P28" s="39">
        <f t="shared" si="1"/>
        <v>0</v>
      </c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</row>
    <row r="29" spans="1:41" ht="24.95" customHeight="1" x14ac:dyDescent="0.25">
      <c r="A29" s="29" t="s">
        <v>54</v>
      </c>
      <c r="B29" s="41">
        <f>SUM(Grow!H3:H5)</f>
        <v>7912.09</v>
      </c>
      <c r="C29" s="41">
        <f>SUM(Grow!H6:H9)</f>
        <v>9112.09</v>
      </c>
      <c r="D29" s="41">
        <f>SUM(Grow!H10:H12)</f>
        <v>7912.09</v>
      </c>
      <c r="E29" s="41">
        <f>SUM(Grow!H13:H15)</f>
        <v>7912.09</v>
      </c>
      <c r="F29" s="50">
        <f>SUM(Grow!H16:H18)</f>
        <v>7912.09</v>
      </c>
      <c r="G29" s="50">
        <f>SUM(Grow!H19:H21)</f>
        <v>7912.09</v>
      </c>
      <c r="H29" s="50">
        <f>SUM(Grow!H22:H24)</f>
        <v>7912.09</v>
      </c>
      <c r="I29" s="50">
        <f>SUM(Grow!H25:H27)</f>
        <v>7912.09</v>
      </c>
      <c r="J29" s="50">
        <f>SUM(Grow!H28:H30)</f>
        <v>7912.09</v>
      </c>
      <c r="K29" s="50">
        <f>SUM(Grow!H31:H33)</f>
        <v>7912.09</v>
      </c>
      <c r="L29" s="50">
        <f>SUM(Grow!H34:H36)</f>
        <v>7912.09</v>
      </c>
      <c r="M29" s="50">
        <f>SUM(Grow!H37:H39)</f>
        <v>7912.09</v>
      </c>
      <c r="N29" s="42">
        <f t="shared" si="0"/>
        <v>96145.079999999973</v>
      </c>
      <c r="O29" s="39">
        <f>+Grow!H40</f>
        <v>96145.079999999973</v>
      </c>
      <c r="P29" s="39">
        <f t="shared" si="1"/>
        <v>0</v>
      </c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</row>
    <row r="30" spans="1:41" ht="24.95" customHeight="1" x14ac:dyDescent="0.25">
      <c r="A30" s="29" t="s">
        <v>56</v>
      </c>
      <c r="B30" s="41">
        <v>0</v>
      </c>
      <c r="C30" s="41">
        <v>0</v>
      </c>
      <c r="D30" s="41">
        <f>SUM('Abonos a tratamientos'!H3)</f>
        <v>1000</v>
      </c>
      <c r="E30" s="41">
        <v>0</v>
      </c>
      <c r="F30" s="50">
        <v>0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0</v>
      </c>
      <c r="N30" s="42">
        <f t="shared" si="0"/>
        <v>1000</v>
      </c>
      <c r="O30" s="39">
        <f>+'Abonos a tratamientos'!H4</f>
        <v>1000</v>
      </c>
      <c r="P30" s="39">
        <f t="shared" si="1"/>
        <v>0</v>
      </c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</row>
    <row r="31" spans="1:41" ht="24.95" customHeight="1" x14ac:dyDescent="0.25">
      <c r="A31" s="29" t="s">
        <v>57</v>
      </c>
      <c r="B31" s="41">
        <f>SUM('Celulas madre'!H3)</f>
        <v>17750</v>
      </c>
      <c r="C31" s="41">
        <v>0</v>
      </c>
      <c r="D31" s="41">
        <v>0</v>
      </c>
      <c r="E31" s="41">
        <v>0</v>
      </c>
      <c r="F31" s="50">
        <v>0</v>
      </c>
      <c r="G31" s="50">
        <f>SUM('Celulas madre'!H4)</f>
        <v>17750</v>
      </c>
      <c r="H31" s="50">
        <v>0</v>
      </c>
      <c r="I31" s="50">
        <f>SUM('Celulas madre'!H5)</f>
        <v>25838</v>
      </c>
      <c r="J31" s="50">
        <f>SUM('Celulas madre'!H6)</f>
        <v>23160</v>
      </c>
      <c r="K31" s="50">
        <f>SUM('Celulas madre'!H7)</f>
        <v>23160</v>
      </c>
      <c r="L31" s="50">
        <v>0</v>
      </c>
      <c r="M31" s="50">
        <v>0</v>
      </c>
      <c r="N31" s="42">
        <f t="shared" si="0"/>
        <v>107658</v>
      </c>
      <c r="O31" s="39">
        <f>+'Celulas madre'!H12</f>
        <v>107658</v>
      </c>
      <c r="P31" s="39">
        <f t="shared" si="1"/>
        <v>0</v>
      </c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</row>
    <row r="32" spans="1:41" ht="24.95" customHeight="1" x14ac:dyDescent="0.25">
      <c r="A32" s="29" t="s">
        <v>60</v>
      </c>
      <c r="B32" s="41">
        <v>0</v>
      </c>
      <c r="C32" s="41">
        <v>0</v>
      </c>
      <c r="D32" s="41">
        <v>0</v>
      </c>
      <c r="E32" s="41">
        <f>SUM(Peeling!H3:H5)</f>
        <v>5500</v>
      </c>
      <c r="F32" s="50">
        <f>SUM(Peeling!H6:H7)</f>
        <v>6350</v>
      </c>
      <c r="G32" s="50">
        <f>SUM(Peeling!H8)</f>
        <v>3800</v>
      </c>
      <c r="H32" s="50">
        <f>SUM(Peeling!H9:H12)</f>
        <v>5050</v>
      </c>
      <c r="I32" s="50">
        <f>SUM(Peeling!H13)</f>
        <v>450</v>
      </c>
      <c r="J32" s="50">
        <f>SUM(Peeling!H14:H22)</f>
        <v>5245</v>
      </c>
      <c r="K32" s="50">
        <f>SUM(Peeling!H23:H24)</f>
        <v>2600</v>
      </c>
      <c r="L32" s="50">
        <v>0</v>
      </c>
      <c r="M32" s="50">
        <f>SUM(Peeling!H25)</f>
        <v>800</v>
      </c>
      <c r="N32" s="42">
        <f t="shared" si="0"/>
        <v>29795</v>
      </c>
      <c r="O32" s="39">
        <f>+Peeling!H29</f>
        <v>29795</v>
      </c>
      <c r="P32" s="39">
        <f t="shared" si="1"/>
        <v>0</v>
      </c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</row>
    <row r="33" spans="1:41" ht="24.95" customHeight="1" x14ac:dyDescent="0.25">
      <c r="A33" s="29" t="s">
        <v>61</v>
      </c>
      <c r="B33" s="41">
        <v>0</v>
      </c>
      <c r="C33" s="41">
        <v>0</v>
      </c>
      <c r="D33" s="41">
        <v>0</v>
      </c>
      <c r="E33" s="41">
        <f>SUM('Spectra ginecologico'!H3:H5)</f>
        <v>18000</v>
      </c>
      <c r="F33" s="50">
        <v>0</v>
      </c>
      <c r="G33" s="50">
        <v>0</v>
      </c>
      <c r="H33" s="50">
        <f>SUM('Spectra ginecologico'!H6)</f>
        <v>6000</v>
      </c>
      <c r="I33" s="50">
        <f>SUM('Spectra ginecologico'!H7:H8)</f>
        <v>5500</v>
      </c>
      <c r="J33" s="50">
        <f>SUM('Spectra ginecologico'!H9:H10)</f>
        <v>2900</v>
      </c>
      <c r="K33" s="50">
        <f>SUM('Spectra ginecologico'!H11:H13)</f>
        <v>1400</v>
      </c>
      <c r="L33" s="50">
        <v>0</v>
      </c>
      <c r="M33" s="50">
        <v>0</v>
      </c>
      <c r="N33" s="42">
        <f t="shared" si="0"/>
        <v>33800</v>
      </c>
      <c r="O33" s="39">
        <f>+'Spectra ginecologico'!H32</f>
        <v>33800</v>
      </c>
      <c r="P33" s="39">
        <f t="shared" si="1"/>
        <v>0</v>
      </c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</row>
    <row r="34" spans="1:41" ht="24.95" customHeight="1" x14ac:dyDescent="0.25">
      <c r="A34" s="29" t="s">
        <v>63</v>
      </c>
      <c r="B34" s="41">
        <v>0</v>
      </c>
      <c r="C34" s="41">
        <v>0</v>
      </c>
      <c r="D34" s="41">
        <v>0</v>
      </c>
      <c r="E34" s="41">
        <v>0</v>
      </c>
      <c r="F34" s="50">
        <v>0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L34" s="50">
        <v>0</v>
      </c>
      <c r="M34" s="50">
        <v>0</v>
      </c>
      <c r="N34" s="42">
        <f t="shared" ref="N34:N51" si="2">SUM(B34:M34)</f>
        <v>0</v>
      </c>
      <c r="O34" s="39">
        <f>+'Eliminación de lunares'!H4:H4</f>
        <v>0</v>
      </c>
      <c r="P34" s="39">
        <f t="shared" si="1"/>
        <v>0</v>
      </c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</row>
    <row r="35" spans="1:41" ht="24.95" customHeight="1" x14ac:dyDescent="0.25">
      <c r="A35" s="29" t="s">
        <v>64</v>
      </c>
      <c r="B35" s="41">
        <f>SUM(Botox!H3:H4)</f>
        <v>4345</v>
      </c>
      <c r="C35" s="41">
        <f>SUM(Botox!H5:H6)</f>
        <v>5720</v>
      </c>
      <c r="D35" s="41">
        <f>SUM(Botox!H7:H115)</f>
        <v>230504.99591999999</v>
      </c>
      <c r="E35" s="41">
        <v>0</v>
      </c>
      <c r="F35" s="50">
        <v>0</v>
      </c>
      <c r="G35" s="50">
        <v>0</v>
      </c>
      <c r="H35" s="50">
        <f>SUM(Botox!H116:H210)</f>
        <v>195914.99619999999</v>
      </c>
      <c r="I35" s="50">
        <f>SUM(Botox!H211:H213)</f>
        <v>14740</v>
      </c>
      <c r="J35" s="50">
        <f>SUM(Botox!H214:H221)</f>
        <v>14630</v>
      </c>
      <c r="K35" s="50">
        <f>SUM(Botox!H222:H223)</f>
        <v>4455</v>
      </c>
      <c r="L35" s="50">
        <f>SUM(Botox!H224:H348)</f>
        <v>280350</v>
      </c>
      <c r="M35" s="50">
        <v>0</v>
      </c>
      <c r="N35" s="42">
        <f t="shared" si="2"/>
        <v>750659.99211999995</v>
      </c>
      <c r="O35" s="39">
        <f>+Botox!H349</f>
        <v>750659.99212000007</v>
      </c>
      <c r="P35" s="39">
        <f t="shared" si="1"/>
        <v>0</v>
      </c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</row>
    <row r="36" spans="1:41" ht="24.95" customHeight="1" x14ac:dyDescent="0.25">
      <c r="A36" s="29" t="s">
        <v>65</v>
      </c>
      <c r="B36" s="41">
        <v>0</v>
      </c>
      <c r="C36" s="41">
        <v>0</v>
      </c>
      <c r="D36" s="41">
        <v>0</v>
      </c>
      <c r="E36" s="41">
        <v>0</v>
      </c>
      <c r="F36" s="50">
        <v>0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50">
        <v>0</v>
      </c>
      <c r="N36" s="42">
        <f t="shared" si="2"/>
        <v>0</v>
      </c>
      <c r="O36" s="39">
        <f>+Encimas!H4</f>
        <v>0</v>
      </c>
      <c r="P36" s="39">
        <f t="shared" si="1"/>
        <v>0</v>
      </c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</row>
    <row r="37" spans="1:41" ht="24.95" customHeight="1" x14ac:dyDescent="0.25">
      <c r="A37" s="29" t="s">
        <v>66</v>
      </c>
      <c r="B37" s="41">
        <v>0</v>
      </c>
      <c r="C37" s="41">
        <f>SUM('Cambio de tratamiento'!H3)</f>
        <v>1500</v>
      </c>
      <c r="D37" s="41">
        <v>0</v>
      </c>
      <c r="E37" s="41">
        <v>0</v>
      </c>
      <c r="F37" s="50">
        <v>0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50">
        <v>0</v>
      </c>
      <c r="N37" s="42">
        <f t="shared" si="2"/>
        <v>1500</v>
      </c>
      <c r="O37" s="39">
        <f>+'Cambio de tratamiento'!H8</f>
        <v>1500</v>
      </c>
      <c r="P37" s="39">
        <f t="shared" si="1"/>
        <v>0</v>
      </c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</row>
    <row r="38" spans="1:41" ht="24.95" customHeight="1" x14ac:dyDescent="0.25">
      <c r="A38" s="29" t="s">
        <v>67</v>
      </c>
      <c r="B38" s="41">
        <v>0</v>
      </c>
      <c r="C38" s="41">
        <v>0</v>
      </c>
      <c r="D38" s="41">
        <v>0</v>
      </c>
      <c r="E38" s="41">
        <v>0</v>
      </c>
      <c r="F38" s="50">
        <f>SUM(Microdermoabrasión!H3)</f>
        <v>350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0</v>
      </c>
      <c r="M38" s="50">
        <v>0</v>
      </c>
      <c r="N38" s="42">
        <f t="shared" si="2"/>
        <v>350</v>
      </c>
      <c r="O38" s="39">
        <f>+Microdermoabrasión!H5</f>
        <v>350</v>
      </c>
      <c r="P38" s="39">
        <f t="shared" si="1"/>
        <v>0</v>
      </c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</row>
    <row r="39" spans="1:41" ht="24.95" customHeight="1" x14ac:dyDescent="0.25">
      <c r="A39" s="29" t="s">
        <v>69</v>
      </c>
      <c r="B39" s="41">
        <v>0</v>
      </c>
      <c r="C39" s="41">
        <v>0</v>
      </c>
      <c r="D39" s="41">
        <v>0</v>
      </c>
      <c r="E39" s="41">
        <v>0</v>
      </c>
      <c r="F39" s="50">
        <v>0</v>
      </c>
      <c r="G39" s="50">
        <v>0</v>
      </c>
      <c r="H39" s="50">
        <v>0</v>
      </c>
      <c r="I39" s="50">
        <v>0</v>
      </c>
      <c r="J39" s="50">
        <v>0</v>
      </c>
      <c r="K39" s="50">
        <v>0</v>
      </c>
      <c r="L39" s="50">
        <v>0</v>
      </c>
      <c r="M39" s="50">
        <v>0</v>
      </c>
      <c r="N39" s="42">
        <f t="shared" si="2"/>
        <v>0</v>
      </c>
      <c r="O39" s="39">
        <f>+'Terapia Luminica'!H4</f>
        <v>0</v>
      </c>
      <c r="P39" s="39">
        <f t="shared" si="1"/>
        <v>0</v>
      </c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</row>
    <row r="40" spans="1:41" ht="24.95" customHeight="1" x14ac:dyDescent="0.25">
      <c r="A40" s="29" t="s">
        <v>71</v>
      </c>
      <c r="B40" s="41">
        <f>SUM(Oscilación!H3:H10)</f>
        <v>19060</v>
      </c>
      <c r="C40" s="41">
        <f>SUM(Oscilación!H11:H15)</f>
        <v>18000</v>
      </c>
      <c r="D40" s="41">
        <f>SUM(Oscilación!H16:H18)</f>
        <v>5000</v>
      </c>
      <c r="E40" s="41">
        <f>SUM(Oscilación!H19:H20)</f>
        <v>4500</v>
      </c>
      <c r="F40" s="50">
        <f>SUM(Oscilación!H21:H23)</f>
        <v>8000</v>
      </c>
      <c r="G40" s="50">
        <f>SUM(Oscilación!H24:H26)</f>
        <v>3000</v>
      </c>
      <c r="H40" s="50">
        <f>SUM(Oscilación!H27:H33)</f>
        <v>14000</v>
      </c>
      <c r="I40" s="50">
        <f>SUM(Oscilación!H34:H36)</f>
        <v>4550</v>
      </c>
      <c r="J40" s="50">
        <f>SUM(Oscilación!H37)</f>
        <v>2500</v>
      </c>
      <c r="K40" s="50">
        <f>SUM(Oscilación!H38:H41)</f>
        <v>9500</v>
      </c>
      <c r="L40" s="50">
        <f>SUM(Oscilación!H42)</f>
        <v>2500</v>
      </c>
      <c r="M40" s="50">
        <v>0</v>
      </c>
      <c r="N40" s="42">
        <f t="shared" si="2"/>
        <v>90610</v>
      </c>
      <c r="O40" s="39">
        <f>+Oscilación!H53</f>
        <v>90610</v>
      </c>
      <c r="P40" s="39">
        <f t="shared" si="1"/>
        <v>0</v>
      </c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</row>
    <row r="41" spans="1:41" ht="24.95" customHeight="1" x14ac:dyDescent="0.25">
      <c r="A41" s="29" t="s">
        <v>73</v>
      </c>
      <c r="B41" s="41">
        <f>SUM(Sueros!H3:H10)</f>
        <v>7500</v>
      </c>
      <c r="C41" s="41">
        <f>SUM(Sueros!H11:H19)</f>
        <v>10500</v>
      </c>
      <c r="D41" s="41">
        <f>SUM(Sueros!H20:H25)</f>
        <v>5000</v>
      </c>
      <c r="E41" s="41">
        <f>SUM(Sueros!H26:H35)</f>
        <v>11250</v>
      </c>
      <c r="F41" s="50">
        <f>SUM(Sueros!H36:H38)</f>
        <v>3750</v>
      </c>
      <c r="G41" s="50">
        <f>SUM(Sueros!H39:H47)</f>
        <v>6900</v>
      </c>
      <c r="H41" s="50">
        <f>SUM(Sueros!H48:H52)</f>
        <v>4920</v>
      </c>
      <c r="I41" s="50">
        <f>SUM(Sueros!H53:H59)</f>
        <v>7250</v>
      </c>
      <c r="J41" s="50">
        <f>SUM(Sueros!H60:H67)</f>
        <v>6750</v>
      </c>
      <c r="K41" s="50">
        <f>SUM(Sueros!H68:H75)</f>
        <v>6750</v>
      </c>
      <c r="L41" s="50">
        <f>SUM(Sueros!H76:H77)</f>
        <v>1500</v>
      </c>
      <c r="M41" s="50">
        <f>SUM(Sueros!H78:H83)</f>
        <v>6000</v>
      </c>
      <c r="N41" s="42">
        <f t="shared" si="2"/>
        <v>78070</v>
      </c>
      <c r="O41" s="39">
        <f>+Sueros!H91</f>
        <v>78070</v>
      </c>
      <c r="P41" s="39">
        <f>+O41-N41</f>
        <v>0</v>
      </c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</row>
    <row r="42" spans="1:41" ht="24.95" customHeight="1" x14ac:dyDescent="0.25">
      <c r="A42" s="29" t="s">
        <v>76</v>
      </c>
      <c r="B42" s="41">
        <v>0</v>
      </c>
      <c r="C42" s="41">
        <v>0</v>
      </c>
      <c r="D42" s="41">
        <v>0</v>
      </c>
      <c r="E42" s="41">
        <v>0</v>
      </c>
      <c r="F42" s="50">
        <v>0</v>
      </c>
      <c r="G42" s="50">
        <v>0</v>
      </c>
      <c r="H42" s="50">
        <f>SUM(Presoterapia!H3)</f>
        <v>250</v>
      </c>
      <c r="I42" s="50">
        <v>0</v>
      </c>
      <c r="J42" s="50">
        <v>0</v>
      </c>
      <c r="K42" s="50">
        <v>0</v>
      </c>
      <c r="L42" s="50">
        <v>0</v>
      </c>
      <c r="M42" s="50">
        <v>0</v>
      </c>
      <c r="N42" s="42">
        <f t="shared" si="2"/>
        <v>250</v>
      </c>
      <c r="O42" s="39">
        <f>+Presoterapia!H6</f>
        <v>250</v>
      </c>
      <c r="P42" s="39">
        <f t="shared" ref="P42:P51" si="3">+N42-O42</f>
        <v>0</v>
      </c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</row>
    <row r="43" spans="1:41" ht="24.95" customHeight="1" x14ac:dyDescent="0.25">
      <c r="A43" s="29" t="s">
        <v>83</v>
      </c>
      <c r="B43" s="41">
        <f>SUM(Nioo!H3)</f>
        <v>3000</v>
      </c>
      <c r="C43" s="41">
        <f>SUM(Nioo!H4)</f>
        <v>4368</v>
      </c>
      <c r="D43" s="41">
        <v>0</v>
      </c>
      <c r="E43" s="41">
        <f>SUM(Nioo!H5:H7)</f>
        <v>7488</v>
      </c>
      <c r="F43" s="50">
        <v>0</v>
      </c>
      <c r="G43" s="50">
        <v>0</v>
      </c>
      <c r="H43" s="50">
        <v>0</v>
      </c>
      <c r="I43" s="50">
        <v>0</v>
      </c>
      <c r="J43" s="50">
        <v>0</v>
      </c>
      <c r="K43" s="50">
        <v>0</v>
      </c>
      <c r="L43" s="50">
        <v>0</v>
      </c>
      <c r="M43" s="50">
        <v>0</v>
      </c>
      <c r="N43" s="42">
        <f t="shared" si="2"/>
        <v>14856</v>
      </c>
      <c r="O43" s="39">
        <f>+Nioo!H40</f>
        <v>14856</v>
      </c>
      <c r="P43" s="39">
        <f t="shared" si="3"/>
        <v>0</v>
      </c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</row>
    <row r="44" spans="1:41" ht="24.95" customHeight="1" x14ac:dyDescent="0.25">
      <c r="A44" s="29" t="s">
        <v>105</v>
      </c>
      <c r="B44" s="41">
        <v>0</v>
      </c>
      <c r="C44" s="41">
        <v>0</v>
      </c>
      <c r="D44" s="41">
        <v>0</v>
      </c>
      <c r="E44" s="41">
        <f>SUM(Sedación!H3)</f>
        <v>500</v>
      </c>
      <c r="F44" s="50">
        <f>SUM(Sedación!H4)</f>
        <v>400</v>
      </c>
      <c r="G44" s="50">
        <f>SUM(Sedación!H5)</f>
        <v>400</v>
      </c>
      <c r="H44" s="50">
        <f>SUM(Sedación!H6)</f>
        <v>410</v>
      </c>
      <c r="I44" s="50">
        <v>0</v>
      </c>
      <c r="J44" s="50">
        <v>0</v>
      </c>
      <c r="K44" s="50">
        <v>0</v>
      </c>
      <c r="L44" s="50">
        <f>SUM(Sedación!H7:H8)</f>
        <v>800</v>
      </c>
      <c r="M44" s="50">
        <f>SUM(Sedación!H9)</f>
        <v>400</v>
      </c>
      <c r="N44" s="42">
        <f t="shared" si="2"/>
        <v>2910</v>
      </c>
      <c r="O44" s="39">
        <f>+Sedación!H10</f>
        <v>2910</v>
      </c>
      <c r="P44" s="39">
        <f t="shared" si="3"/>
        <v>0</v>
      </c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</row>
    <row r="45" spans="1:41" ht="24.95" customHeight="1" x14ac:dyDescent="0.25">
      <c r="A45" s="29" t="s">
        <v>285</v>
      </c>
      <c r="B45" s="41">
        <v>0</v>
      </c>
      <c r="C45" s="41">
        <f>SUM('Masaje reflexologia'!H3)</f>
        <v>200</v>
      </c>
      <c r="D45" s="41">
        <v>0</v>
      </c>
      <c r="E45" s="41">
        <v>0</v>
      </c>
      <c r="F45" s="50">
        <v>0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0</v>
      </c>
      <c r="N45" s="42">
        <f t="shared" si="2"/>
        <v>200</v>
      </c>
      <c r="O45" s="39">
        <f>+'Masaje reflexologia'!H4</f>
        <v>200</v>
      </c>
      <c r="P45" s="39">
        <f t="shared" si="3"/>
        <v>0</v>
      </c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</row>
    <row r="46" spans="1:41" ht="24.95" customHeight="1" x14ac:dyDescent="0.25">
      <c r="A46" s="29" t="s">
        <v>286</v>
      </c>
      <c r="B46" s="41">
        <v>0</v>
      </c>
      <c r="C46" s="41">
        <f>SUM('Intrasure post-operatorio'!H3)</f>
        <v>5000</v>
      </c>
      <c r="D46" s="41">
        <f>SUM('Intrasure post-operatorio'!H4:H6)</f>
        <v>12500</v>
      </c>
      <c r="E46" s="41">
        <f>SUM('Intrasure post-operatorio'!H7:H8)</f>
        <v>7000</v>
      </c>
      <c r="F46" s="50">
        <f>SUM('Intrasure post-operatorio'!H9:H11)</f>
        <v>9500</v>
      </c>
      <c r="G46" s="50">
        <f>SUM('Intrasure post-operatorio'!H12:H20)</f>
        <v>30500</v>
      </c>
      <c r="H46" s="50">
        <f>SUM('Intrasure post-operatorio'!H21:H31)</f>
        <v>30700</v>
      </c>
      <c r="I46" s="50">
        <f>SUM('Intrasure post-operatorio'!H32:H35)</f>
        <v>11800</v>
      </c>
      <c r="J46" s="50">
        <f>SUM('Intrasure post-operatorio'!H36:H43)</f>
        <v>28500</v>
      </c>
      <c r="K46" s="50">
        <f>SUM('Intrasure post-operatorio'!H44:H54)</f>
        <v>41500</v>
      </c>
      <c r="L46" s="50">
        <f>SUM('Intrasure post-operatorio'!H55:H59)</f>
        <v>9000</v>
      </c>
      <c r="M46" s="50">
        <f>SUM('Intrasure post-operatorio'!H60:H65)</f>
        <v>19600</v>
      </c>
      <c r="N46" s="42">
        <f t="shared" si="2"/>
        <v>205600</v>
      </c>
      <c r="O46" s="39">
        <f>+'Intrasure post-operatorio'!H66</f>
        <v>205600</v>
      </c>
      <c r="P46" s="39">
        <f t="shared" si="3"/>
        <v>0</v>
      </c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</row>
    <row r="47" spans="1:41" ht="24.95" customHeight="1" x14ac:dyDescent="0.25">
      <c r="A47" s="29" t="s">
        <v>449</v>
      </c>
      <c r="B47" s="41">
        <v>0</v>
      </c>
      <c r="C47" s="41">
        <f>SUM(Mascarilla!H3)</f>
        <v>650</v>
      </c>
      <c r="D47" s="41">
        <f>SUM(Mascarilla!H4)</f>
        <v>150</v>
      </c>
      <c r="E47" s="41">
        <v>0</v>
      </c>
      <c r="F47" s="50">
        <v>0</v>
      </c>
      <c r="G47" s="50">
        <v>0</v>
      </c>
      <c r="H47" s="50">
        <v>0</v>
      </c>
      <c r="I47" s="50">
        <v>0</v>
      </c>
      <c r="J47" s="50">
        <v>0</v>
      </c>
      <c r="K47" s="50">
        <v>0</v>
      </c>
      <c r="L47" s="50">
        <v>0</v>
      </c>
      <c r="M47" s="50">
        <v>0</v>
      </c>
      <c r="N47" s="42">
        <f t="shared" si="2"/>
        <v>800</v>
      </c>
      <c r="O47" s="39">
        <f>SUM(Mascarilla!H5)</f>
        <v>800</v>
      </c>
      <c r="P47" s="39">
        <f t="shared" si="3"/>
        <v>0</v>
      </c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</row>
    <row r="48" spans="1:41" ht="24.95" customHeight="1" x14ac:dyDescent="0.25">
      <c r="A48" s="29" t="s">
        <v>288</v>
      </c>
      <c r="B48" s="41">
        <v>0</v>
      </c>
      <c r="C48" s="41">
        <f>SUM('Hifu Ultra-forme'!H3)</f>
        <v>3840</v>
      </c>
      <c r="D48" s="41">
        <f>SUM('Hifu Ultra-forme'!H4:H8)</f>
        <v>16200</v>
      </c>
      <c r="E48" s="41">
        <f>SUM('Hifu Ultra-forme'!H9:H22)</f>
        <v>38700</v>
      </c>
      <c r="F48" s="50">
        <f>SUM('Hifu Ultra-forme'!H23:H43)</f>
        <v>83200</v>
      </c>
      <c r="G48" s="50">
        <f>SUM('Hifu Ultra-forme'!H44:H45)</f>
        <v>7500</v>
      </c>
      <c r="H48" s="50">
        <f>SUM('Hifu Ultra-forme'!H46:H49)</f>
        <v>36400</v>
      </c>
      <c r="I48" s="50">
        <f>SUM('Hifu Ultra-forme'!H50:H51)</f>
        <v>6000</v>
      </c>
      <c r="J48" s="50">
        <v>0</v>
      </c>
      <c r="K48" s="50">
        <f>SUM('Hifu Ultra-forme'!H52)</f>
        <v>10400</v>
      </c>
      <c r="L48" s="50">
        <f>SUM('Hifu Ultra-forme'!H53:H57)</f>
        <v>13405</v>
      </c>
      <c r="M48" s="50">
        <f>SUM('Hifu Ultra-forme'!H58:H61)</f>
        <v>10400</v>
      </c>
      <c r="N48" s="42">
        <f t="shared" si="2"/>
        <v>226045</v>
      </c>
      <c r="O48" s="39">
        <f>+'Hifu Ultra-forme'!H62</f>
        <v>226045</v>
      </c>
      <c r="P48" s="39">
        <f t="shared" ref="P48" si="4">+N48-O48</f>
        <v>0</v>
      </c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</row>
    <row r="49" spans="1:41" ht="24.95" customHeight="1" x14ac:dyDescent="0.25">
      <c r="A49" s="29" t="s">
        <v>558</v>
      </c>
      <c r="B49" s="41">
        <v>0</v>
      </c>
      <c r="C49" s="41">
        <v>0</v>
      </c>
      <c r="D49" s="41">
        <v>0</v>
      </c>
      <c r="E49" s="41">
        <f>SUM(Powershape!H3)</f>
        <v>4000</v>
      </c>
      <c r="F49" s="50">
        <f>SUM(Powershape!H4:H6)</f>
        <v>9800</v>
      </c>
      <c r="G49" s="50">
        <f>SUM(Powershape!H7:H13)</f>
        <v>25368</v>
      </c>
      <c r="H49" s="50">
        <f>SUM(Powershape!H14)</f>
        <v>5000</v>
      </c>
      <c r="I49" s="50">
        <v>0</v>
      </c>
      <c r="J49" s="50">
        <f>SUM(Powershape!H15:H16)</f>
        <v>8168</v>
      </c>
      <c r="K49" s="50">
        <f>SUM(Powershape!H17)</f>
        <v>5460</v>
      </c>
      <c r="L49" s="50">
        <f>SUM(Powershape!H18:H19)</f>
        <v>6000</v>
      </c>
      <c r="M49" s="50">
        <v>0</v>
      </c>
      <c r="N49" s="42">
        <f t="shared" si="2"/>
        <v>63796</v>
      </c>
      <c r="O49" s="39">
        <f>+Powershape!H20</f>
        <v>63796</v>
      </c>
      <c r="P49" s="39">
        <f t="shared" si="3"/>
        <v>0</v>
      </c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</row>
    <row r="50" spans="1:41" ht="24.95" customHeight="1" x14ac:dyDescent="0.25">
      <c r="A50" s="29" t="s">
        <v>873</v>
      </c>
      <c r="B50" s="41">
        <v>0</v>
      </c>
      <c r="C50" s="41">
        <v>0</v>
      </c>
      <c r="D50" s="41">
        <v>0</v>
      </c>
      <c r="E50" s="41">
        <v>0</v>
      </c>
      <c r="F50" s="41">
        <v>0</v>
      </c>
      <c r="G50" s="41">
        <v>0</v>
      </c>
      <c r="H50" s="50">
        <f>SUM('Emsculpt NEO'!H3:H6)</f>
        <v>20000</v>
      </c>
      <c r="I50" s="50">
        <f>SUM('Emsculpt NEO'!H7:H7)</f>
        <v>9999.9995999999992</v>
      </c>
      <c r="J50" s="50">
        <f>SUM('Emsculpt NEO'!H8:H11)</f>
        <v>19999.999599999999</v>
      </c>
      <c r="K50" s="50">
        <f>SUM('Emsculpt NEO'!H12:H15)</f>
        <v>15000</v>
      </c>
      <c r="L50" s="50">
        <f>SUM('Emsculpt NEO'!H16:H24)</f>
        <v>49999.995999999999</v>
      </c>
      <c r="M50" s="50">
        <v>0</v>
      </c>
      <c r="N50" s="42">
        <f t="shared" si="2"/>
        <v>114999.9952</v>
      </c>
      <c r="O50" s="39">
        <f>+'Emsculpt NEO'!H25</f>
        <v>114999.99519999999</v>
      </c>
      <c r="P50" s="39">
        <f t="shared" si="3"/>
        <v>0</v>
      </c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</row>
    <row r="51" spans="1:41" ht="24.95" customHeight="1" x14ac:dyDescent="0.25">
      <c r="A51" s="29" t="s">
        <v>879</v>
      </c>
      <c r="B51" s="41">
        <v>0</v>
      </c>
      <c r="C51" s="41">
        <v>0</v>
      </c>
      <c r="D51" s="41">
        <v>0</v>
      </c>
      <c r="E51" s="41">
        <v>0</v>
      </c>
      <c r="F51" s="41">
        <v>0</v>
      </c>
      <c r="G51" s="41">
        <v>0</v>
      </c>
      <c r="H51" s="50">
        <f>SUM(Exion!H3:H5)</f>
        <v>29000</v>
      </c>
      <c r="I51" s="50">
        <f>SUM(Exion!H6:H12)</f>
        <v>63000</v>
      </c>
      <c r="J51" s="50">
        <f>SUM(Exion!H13:H15)</f>
        <v>18000</v>
      </c>
      <c r="K51" s="50">
        <f>SUM(Exion!H16:H17)</f>
        <v>16000</v>
      </c>
      <c r="L51" s="50">
        <v>0</v>
      </c>
      <c r="M51" s="50">
        <v>0</v>
      </c>
      <c r="N51" s="42">
        <f t="shared" si="2"/>
        <v>126000</v>
      </c>
      <c r="O51" s="39">
        <f>+Exion!H18</f>
        <v>126000</v>
      </c>
      <c r="P51" s="39">
        <f t="shared" si="3"/>
        <v>0</v>
      </c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</row>
    <row r="52" spans="1:41" ht="24.95" customHeight="1" x14ac:dyDescent="0.25">
      <c r="A52" s="29"/>
      <c r="B52" s="41"/>
      <c r="C52" s="41"/>
      <c r="D52" s="41"/>
      <c r="E52" s="41"/>
      <c r="F52" s="50"/>
      <c r="G52" s="50"/>
      <c r="H52" s="50"/>
      <c r="I52" s="50"/>
      <c r="J52" s="50"/>
      <c r="K52" s="50"/>
      <c r="L52" s="50"/>
      <c r="M52" s="50"/>
      <c r="N52" s="42"/>
      <c r="O52" s="39"/>
      <c r="P52" s="39">
        <f t="shared" si="1"/>
        <v>0</v>
      </c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</row>
    <row r="53" spans="1:41" ht="24.95" customHeight="1" x14ac:dyDescent="0.3">
      <c r="A53" s="32" t="s">
        <v>5</v>
      </c>
      <c r="B53" s="43">
        <f t="shared" ref="B53:N53" si="5">SUM(B2:B52)</f>
        <v>290719.69</v>
      </c>
      <c r="C53" s="43">
        <f t="shared" si="5"/>
        <v>356338.84995000006</v>
      </c>
      <c r="D53" s="43">
        <f t="shared" si="5"/>
        <v>498218.58591999998</v>
      </c>
      <c r="E53" s="43">
        <f t="shared" si="5"/>
        <v>329084.08999999997</v>
      </c>
      <c r="F53" s="51">
        <f t="shared" si="5"/>
        <v>386234.69</v>
      </c>
      <c r="G53" s="43">
        <f t="shared" si="5"/>
        <v>392048.59</v>
      </c>
      <c r="H53" s="43">
        <f t="shared" si="5"/>
        <v>594427.08620000002</v>
      </c>
      <c r="I53" s="43">
        <f t="shared" si="5"/>
        <v>381474.08959999995</v>
      </c>
      <c r="J53" s="43">
        <f>SUM(J2:J52)</f>
        <v>341973.08959999995</v>
      </c>
      <c r="K53" s="43">
        <f t="shared" si="5"/>
        <v>411931.09</v>
      </c>
      <c r="L53" s="43">
        <f t="shared" si="5"/>
        <v>628800.63600000006</v>
      </c>
      <c r="M53" s="43">
        <f t="shared" si="5"/>
        <v>244251.09</v>
      </c>
      <c r="N53" s="44">
        <f t="shared" si="5"/>
        <v>4855501.5772700002</v>
      </c>
      <c r="O53" s="39"/>
      <c r="P53" s="39">
        <f t="shared" si="1"/>
        <v>-4855501.5772700002</v>
      </c>
    </row>
    <row r="54" spans="1:41" ht="20.25" x14ac:dyDescent="0.25">
      <c r="B54" s="45">
        <f>+'[1]Enero 24'!$B$141</f>
        <v>290719.59000000003</v>
      </c>
      <c r="C54" s="45">
        <f>+'[1]Febrero 24'!$B$146</f>
        <v>356338.85000000003</v>
      </c>
      <c r="D54" s="45">
        <f>+'[1]Marzo 24'!$B$217</f>
        <v>498218.59</v>
      </c>
      <c r="E54" s="45">
        <f>+'[1]Abril 24'!$B$159</f>
        <v>329084.09000000003</v>
      </c>
      <c r="F54" s="52">
        <f>+'[1]Mayo 24'!$B$143</f>
        <v>386234.69</v>
      </c>
      <c r="G54" s="45">
        <f>+'[1]Junio 24'!$B$136</f>
        <v>392048.58999999997</v>
      </c>
      <c r="H54" s="45">
        <f>+'[1]Julio 24'!$B$240</f>
        <v>594427.09</v>
      </c>
      <c r="I54" s="45">
        <f>+'[1]Agosto 24'!$B$153</f>
        <v>381474.09</v>
      </c>
      <c r="J54" s="45">
        <f>+'[1]Septiembre 24'!$B$138</f>
        <v>341973.08999999997</v>
      </c>
      <c r="K54" s="45">
        <f>+'[1]Octubre 24'!$B$171</f>
        <v>411931.09</v>
      </c>
      <c r="L54" s="45">
        <f>+'[1]Noviembre 24'!$B$271</f>
        <v>628800.64</v>
      </c>
      <c r="M54" s="45">
        <f>+'[1]Diciembre 24'!$B$111</f>
        <v>244251.09</v>
      </c>
      <c r="N54" s="46"/>
    </row>
    <row r="55" spans="1:41" x14ac:dyDescent="0.25">
      <c r="B55" s="47">
        <f t="shared" ref="B55:K55" si="6">+B53-B54</f>
        <v>9.9999999976716936E-2</v>
      </c>
      <c r="C55" s="47">
        <f t="shared" si="6"/>
        <v>-4.9999973271042109E-5</v>
      </c>
      <c r="D55" s="47">
        <f t="shared" si="6"/>
        <v>-4.080000042449683E-3</v>
      </c>
      <c r="E55" s="47">
        <f t="shared" si="6"/>
        <v>0</v>
      </c>
      <c r="F55" s="47">
        <f t="shared" si="6"/>
        <v>0</v>
      </c>
      <c r="G55" s="47">
        <f t="shared" si="6"/>
        <v>0</v>
      </c>
      <c r="H55" s="47">
        <f t="shared" si="6"/>
        <v>-3.7999999476596713E-3</v>
      </c>
      <c r="I55" s="47">
        <f t="shared" si="6"/>
        <v>-4.0000007720664144E-4</v>
      </c>
      <c r="J55" s="47">
        <f t="shared" si="6"/>
        <v>-4.0000001899898052E-4</v>
      </c>
      <c r="K55" s="47">
        <f t="shared" si="6"/>
        <v>0</v>
      </c>
      <c r="L55" s="47"/>
      <c r="M55" s="47"/>
    </row>
  </sheetData>
  <pageMargins left="0.7" right="0.7" top="0.75" bottom="0.75" header="0.3" footer="0.3"/>
  <pageSetup paperSize="9" orientation="portrait" horizontalDpi="120" verticalDpi="72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5"/>
  <sheetViews>
    <sheetView topLeftCell="A13" workbookViewId="0">
      <selection activeCell="C20" sqref="C20"/>
    </sheetView>
  </sheetViews>
  <sheetFormatPr baseColWidth="10" defaultColWidth="9.140625" defaultRowHeight="15" x14ac:dyDescent="0.25"/>
  <cols>
    <col min="1" max="1" width="13.5703125" bestFit="1" customWidth="1"/>
    <col min="2" max="2" width="12.7109375" bestFit="1" customWidth="1"/>
    <col min="3" max="3" width="18.140625" customWidth="1"/>
    <col min="4" max="4" width="11" customWidth="1"/>
    <col min="5" max="5" width="32.42578125" bestFit="1" customWidth="1"/>
    <col min="6" max="6" width="48" style="1" bestFit="1" customWidth="1"/>
    <col min="7" max="7" width="16.140625" bestFit="1" customWidth="1"/>
    <col min="8" max="8" width="14.28515625" bestFit="1" customWidth="1"/>
  </cols>
  <sheetData>
    <row r="1" spans="1:8" ht="15" customHeight="1" x14ac:dyDescent="0.25">
      <c r="A1" s="86" t="s">
        <v>14</v>
      </c>
      <c r="B1" s="72" t="s">
        <v>0</v>
      </c>
      <c r="C1" s="74" t="s">
        <v>1</v>
      </c>
      <c r="D1" s="74" t="s">
        <v>2</v>
      </c>
      <c r="E1" s="74" t="s">
        <v>3</v>
      </c>
      <c r="F1" s="74" t="s">
        <v>8</v>
      </c>
      <c r="G1" s="68" t="s">
        <v>4</v>
      </c>
      <c r="H1" s="70" t="s">
        <v>5</v>
      </c>
    </row>
    <row r="2" spans="1:8" ht="15" customHeight="1" x14ac:dyDescent="0.25">
      <c r="A2" s="86"/>
      <c r="B2" s="73"/>
      <c r="C2" s="75"/>
      <c r="D2" s="75"/>
      <c r="E2" s="75"/>
      <c r="F2" s="75"/>
      <c r="G2" s="69"/>
      <c r="H2" s="71"/>
    </row>
    <row r="3" spans="1:8" ht="20.100000000000001" customHeight="1" x14ac:dyDescent="0.25">
      <c r="A3" s="86"/>
      <c r="B3" s="2">
        <v>45307</v>
      </c>
      <c r="C3" s="3">
        <v>3945351926</v>
      </c>
      <c r="D3" s="3">
        <v>3</v>
      </c>
      <c r="E3" s="4" t="s">
        <v>99</v>
      </c>
      <c r="F3" s="19" t="s">
        <v>134</v>
      </c>
      <c r="G3" s="5" t="s">
        <v>19</v>
      </c>
      <c r="H3" s="6">
        <v>6750</v>
      </c>
    </row>
    <row r="4" spans="1:8" ht="20.100000000000001" customHeight="1" x14ac:dyDescent="0.25">
      <c r="A4" s="86"/>
      <c r="B4" s="2">
        <v>45315</v>
      </c>
      <c r="C4" s="3">
        <v>193940475</v>
      </c>
      <c r="D4" s="3">
        <v>3</v>
      </c>
      <c r="E4" s="4" t="s">
        <v>97</v>
      </c>
      <c r="F4" s="19" t="s">
        <v>135</v>
      </c>
      <c r="G4" s="5" t="s">
        <v>7</v>
      </c>
      <c r="H4" s="6">
        <v>6750</v>
      </c>
    </row>
    <row r="5" spans="1:8" ht="20.100000000000001" customHeight="1" x14ac:dyDescent="0.25">
      <c r="A5" s="86"/>
      <c r="B5" s="2">
        <v>45341</v>
      </c>
      <c r="C5" s="3">
        <v>3320006423</v>
      </c>
      <c r="D5" s="3">
        <v>3</v>
      </c>
      <c r="E5" s="4" t="s">
        <v>219</v>
      </c>
      <c r="F5" s="4" t="s">
        <v>134</v>
      </c>
      <c r="G5" s="5" t="s">
        <v>6</v>
      </c>
      <c r="H5" s="6">
        <v>6750</v>
      </c>
    </row>
    <row r="6" spans="1:8" ht="20.100000000000001" customHeight="1" x14ac:dyDescent="0.25">
      <c r="A6" s="86"/>
      <c r="B6" s="2">
        <v>45345</v>
      </c>
      <c r="C6" s="3">
        <v>3893709192</v>
      </c>
      <c r="D6" s="3">
        <v>3</v>
      </c>
      <c r="E6" s="4" t="s">
        <v>220</v>
      </c>
      <c r="F6" s="4" t="s">
        <v>135</v>
      </c>
      <c r="G6" s="5" t="s">
        <v>7</v>
      </c>
      <c r="H6" s="6">
        <v>6750</v>
      </c>
    </row>
    <row r="7" spans="1:8" ht="20.100000000000001" customHeight="1" x14ac:dyDescent="0.25">
      <c r="A7" s="86"/>
      <c r="B7" s="2">
        <v>45349</v>
      </c>
      <c r="C7" s="3">
        <v>2695384338</v>
      </c>
      <c r="D7" s="3">
        <v>3</v>
      </c>
      <c r="E7" s="4" t="s">
        <v>221</v>
      </c>
      <c r="F7" s="4" t="s">
        <v>135</v>
      </c>
      <c r="G7" s="5" t="s">
        <v>7</v>
      </c>
      <c r="H7" s="6">
        <v>6750</v>
      </c>
    </row>
    <row r="8" spans="1:8" ht="20.100000000000001" customHeight="1" x14ac:dyDescent="0.25">
      <c r="A8" s="86"/>
      <c r="B8" s="2">
        <v>45351</v>
      </c>
      <c r="C8" s="3">
        <v>1004686758</v>
      </c>
      <c r="D8" s="3">
        <v>3</v>
      </c>
      <c r="E8" s="4" t="s">
        <v>222</v>
      </c>
      <c r="F8" s="4" t="s">
        <v>135</v>
      </c>
      <c r="G8" s="5" t="s">
        <v>7</v>
      </c>
      <c r="H8" s="6">
        <v>6750</v>
      </c>
    </row>
    <row r="9" spans="1:8" ht="20.100000000000001" customHeight="1" x14ac:dyDescent="0.25">
      <c r="A9" s="86"/>
      <c r="B9" s="2">
        <v>45351</v>
      </c>
      <c r="C9" s="3">
        <v>1879460739</v>
      </c>
      <c r="D9" s="3">
        <v>3</v>
      </c>
      <c r="E9" s="4" t="s">
        <v>223</v>
      </c>
      <c r="F9" s="4" t="s">
        <v>135</v>
      </c>
      <c r="G9" s="5" t="s">
        <v>7</v>
      </c>
      <c r="H9" s="6">
        <v>6750</v>
      </c>
    </row>
    <row r="10" spans="1:8" ht="20.100000000000001" customHeight="1" x14ac:dyDescent="0.25">
      <c r="A10" s="86"/>
      <c r="B10" s="2">
        <v>45369</v>
      </c>
      <c r="C10" s="3">
        <v>2710651286</v>
      </c>
      <c r="D10" s="3">
        <v>3</v>
      </c>
      <c r="E10" s="4" t="s">
        <v>317</v>
      </c>
      <c r="F10" s="4" t="s">
        <v>135</v>
      </c>
      <c r="G10" s="5" t="s">
        <v>7</v>
      </c>
      <c r="H10" s="6">
        <v>6750</v>
      </c>
    </row>
    <row r="11" spans="1:8" ht="20.100000000000001" customHeight="1" x14ac:dyDescent="0.25">
      <c r="A11" s="86"/>
      <c r="B11" s="2">
        <v>45386</v>
      </c>
      <c r="C11" s="3">
        <v>3479391061</v>
      </c>
      <c r="D11" s="3">
        <v>3</v>
      </c>
      <c r="E11" s="4" t="s">
        <v>484</v>
      </c>
      <c r="F11" s="19" t="s">
        <v>135</v>
      </c>
      <c r="G11" s="5" t="s">
        <v>6</v>
      </c>
      <c r="H11" s="6">
        <v>6750</v>
      </c>
    </row>
    <row r="12" spans="1:8" ht="20.100000000000001" customHeight="1" x14ac:dyDescent="0.25">
      <c r="A12" s="86"/>
      <c r="B12" s="2">
        <v>45393</v>
      </c>
      <c r="C12" s="3">
        <v>3140305740</v>
      </c>
      <c r="D12" s="3">
        <v>3</v>
      </c>
      <c r="E12" s="4" t="s">
        <v>485</v>
      </c>
      <c r="F12" s="19" t="s">
        <v>486</v>
      </c>
      <c r="G12" s="5" t="s">
        <v>7</v>
      </c>
      <c r="H12" s="6">
        <v>4500</v>
      </c>
    </row>
    <row r="13" spans="1:8" ht="20.100000000000001" customHeight="1" x14ac:dyDescent="0.25">
      <c r="A13" s="86"/>
      <c r="B13" s="2">
        <v>45405</v>
      </c>
      <c r="C13" s="3">
        <v>1550797207</v>
      </c>
      <c r="D13" s="3">
        <v>3</v>
      </c>
      <c r="E13" s="4" t="s">
        <v>487</v>
      </c>
      <c r="F13" s="19" t="s">
        <v>135</v>
      </c>
      <c r="G13" s="5" t="s">
        <v>7</v>
      </c>
      <c r="H13" s="6">
        <v>6750</v>
      </c>
    </row>
    <row r="14" spans="1:8" ht="20.100000000000001" customHeight="1" x14ac:dyDescent="0.25">
      <c r="A14" s="86"/>
      <c r="B14" s="2">
        <v>45414</v>
      </c>
      <c r="C14" s="3">
        <v>139018633</v>
      </c>
      <c r="D14" s="3">
        <v>3</v>
      </c>
      <c r="E14" s="4" t="s">
        <v>581</v>
      </c>
      <c r="F14" s="19" t="s">
        <v>135</v>
      </c>
      <c r="G14" s="5" t="s">
        <v>10</v>
      </c>
      <c r="H14" s="6">
        <v>6750</v>
      </c>
    </row>
    <row r="15" spans="1:8" ht="20.100000000000001" customHeight="1" x14ac:dyDescent="0.25">
      <c r="A15" s="86"/>
      <c r="B15" s="2">
        <v>45441</v>
      </c>
      <c r="C15" s="3">
        <v>3282192009</v>
      </c>
      <c r="D15" s="3">
        <v>3</v>
      </c>
      <c r="E15" s="4" t="s">
        <v>582</v>
      </c>
      <c r="F15" s="19" t="s">
        <v>134</v>
      </c>
      <c r="G15" s="5" t="s">
        <v>19</v>
      </c>
      <c r="H15" s="6">
        <v>6750</v>
      </c>
    </row>
    <row r="16" spans="1:8" ht="20.100000000000001" customHeight="1" x14ac:dyDescent="0.25">
      <c r="A16" s="86"/>
      <c r="B16" s="2">
        <v>45441</v>
      </c>
      <c r="C16" s="3">
        <v>3282192009</v>
      </c>
      <c r="D16" s="3">
        <v>1</v>
      </c>
      <c r="E16" s="4" t="s">
        <v>582</v>
      </c>
      <c r="F16" s="19" t="s">
        <v>583</v>
      </c>
      <c r="G16" s="5" t="s">
        <v>19</v>
      </c>
      <c r="H16" s="6">
        <v>250</v>
      </c>
    </row>
    <row r="17" spans="1:8" ht="20.100000000000001" customHeight="1" x14ac:dyDescent="0.25">
      <c r="A17" s="86"/>
      <c r="B17" s="2">
        <v>45454</v>
      </c>
      <c r="C17" s="3">
        <v>2267170070</v>
      </c>
      <c r="D17" s="3">
        <v>3</v>
      </c>
      <c r="E17" s="4" t="s">
        <v>676</v>
      </c>
      <c r="F17" s="19" t="s">
        <v>677</v>
      </c>
      <c r="G17" s="5" t="s">
        <v>7</v>
      </c>
      <c r="H17" s="6">
        <v>4500</v>
      </c>
    </row>
    <row r="18" spans="1:8" ht="20.100000000000001" customHeight="1" x14ac:dyDescent="0.25">
      <c r="A18" s="86"/>
      <c r="B18" s="2">
        <v>45454</v>
      </c>
      <c r="C18" s="3">
        <v>2267170070</v>
      </c>
      <c r="D18" s="3">
        <v>3</v>
      </c>
      <c r="E18" s="4" t="s">
        <v>676</v>
      </c>
      <c r="F18" s="19" t="s">
        <v>486</v>
      </c>
      <c r="G18" s="5" t="s">
        <v>7</v>
      </c>
      <c r="H18" s="6">
        <v>4500</v>
      </c>
    </row>
    <row r="19" spans="1:8" ht="20.100000000000001" customHeight="1" x14ac:dyDescent="0.25">
      <c r="A19" s="86"/>
      <c r="B19" s="2">
        <v>45454</v>
      </c>
      <c r="C19" s="3">
        <v>2267170070</v>
      </c>
      <c r="D19" s="3">
        <v>3</v>
      </c>
      <c r="E19" s="4" t="s">
        <v>676</v>
      </c>
      <c r="F19" s="19" t="s">
        <v>678</v>
      </c>
      <c r="G19" s="5" t="s">
        <v>7</v>
      </c>
      <c r="H19" s="6">
        <v>4500</v>
      </c>
    </row>
    <row r="20" spans="1:8" ht="20.100000000000001" customHeight="1" x14ac:dyDescent="0.25">
      <c r="A20" s="86"/>
      <c r="B20" s="2">
        <v>45454</v>
      </c>
      <c r="C20" s="3">
        <v>2267170070</v>
      </c>
      <c r="D20" s="3">
        <v>3</v>
      </c>
      <c r="E20" s="4" t="s">
        <v>676</v>
      </c>
      <c r="F20" s="19" t="s">
        <v>134</v>
      </c>
      <c r="G20" s="5" t="s">
        <v>7</v>
      </c>
      <c r="H20" s="6">
        <v>6750</v>
      </c>
    </row>
    <row r="21" spans="1:8" ht="20.100000000000001" customHeight="1" x14ac:dyDescent="0.25">
      <c r="A21" s="86"/>
      <c r="B21" s="2">
        <v>45454</v>
      </c>
      <c r="C21" s="3">
        <v>2267170070</v>
      </c>
      <c r="D21" s="3">
        <v>3</v>
      </c>
      <c r="E21" s="4" t="s">
        <v>676</v>
      </c>
      <c r="F21" s="19" t="s">
        <v>135</v>
      </c>
      <c r="G21" s="5" t="s">
        <v>7</v>
      </c>
      <c r="H21" s="6">
        <v>6750</v>
      </c>
    </row>
    <row r="22" spans="1:8" ht="20.100000000000001" customHeight="1" x14ac:dyDescent="0.25">
      <c r="A22" s="86"/>
      <c r="B22" s="2">
        <v>45460</v>
      </c>
      <c r="C22" s="3">
        <v>1985302054</v>
      </c>
      <c r="D22" s="3">
        <v>3</v>
      </c>
      <c r="E22" s="4" t="s">
        <v>679</v>
      </c>
      <c r="F22" s="19" t="s">
        <v>134</v>
      </c>
      <c r="G22" s="5" t="s">
        <v>19</v>
      </c>
      <c r="H22" s="6">
        <v>6750</v>
      </c>
    </row>
    <row r="23" spans="1:8" ht="20.100000000000001" customHeight="1" x14ac:dyDescent="0.25">
      <c r="A23" s="86"/>
      <c r="B23" s="2">
        <v>45505</v>
      </c>
      <c r="C23" s="3">
        <v>4148512567</v>
      </c>
      <c r="D23" s="3">
        <v>3</v>
      </c>
      <c r="E23" s="4" t="s">
        <v>954</v>
      </c>
      <c r="F23" s="19" t="s">
        <v>955</v>
      </c>
      <c r="G23" s="5" t="s">
        <v>6</v>
      </c>
      <c r="H23" s="6">
        <v>6750</v>
      </c>
    </row>
    <row r="24" spans="1:8" ht="20.100000000000001" customHeight="1" x14ac:dyDescent="0.25">
      <c r="A24" s="86"/>
      <c r="B24" s="2">
        <v>45568</v>
      </c>
      <c r="C24" s="3">
        <v>3482797528</v>
      </c>
      <c r="D24" s="3">
        <v>3</v>
      </c>
      <c r="E24" s="4" t="s">
        <v>1053</v>
      </c>
      <c r="F24" s="19" t="s">
        <v>134</v>
      </c>
      <c r="G24" s="5" t="s">
        <v>19</v>
      </c>
      <c r="H24" s="6">
        <v>6750</v>
      </c>
    </row>
    <row r="25" spans="1:8" ht="15.75" x14ac:dyDescent="0.25">
      <c r="A25" s="86"/>
      <c r="B25" s="20"/>
      <c r="C25" s="18"/>
      <c r="D25" s="18"/>
      <c r="E25" s="18" t="s">
        <v>5</v>
      </c>
      <c r="F25" s="18"/>
      <c r="G25" s="21"/>
      <c r="H25" s="22">
        <f>SUM(H3:H24)</f>
        <v>133000</v>
      </c>
    </row>
  </sheetData>
  <autoFilter ref="B1:H25" xr:uid="{00000000-0009-0000-0000-000004000000}"/>
  <mergeCells count="8">
    <mergeCell ref="A1:A25"/>
    <mergeCell ref="C1:C2"/>
    <mergeCell ref="B1:B2"/>
    <mergeCell ref="H1:H2"/>
    <mergeCell ref="G1:G2"/>
    <mergeCell ref="F1:F2"/>
    <mergeCell ref="E1:E2"/>
    <mergeCell ref="D1:D2"/>
  </mergeCells>
  <pageMargins left="0.7" right="0.7" top="0.75" bottom="0.75" header="0.3" footer="0.3"/>
  <pageSetup paperSize="9" orientation="portrait" horizontalDpi="120" verticalDpi="72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1"/>
  <sheetViews>
    <sheetView topLeftCell="A29" workbookViewId="0">
      <selection activeCell="B36" sqref="B36:H36"/>
    </sheetView>
  </sheetViews>
  <sheetFormatPr baseColWidth="10" defaultColWidth="9.140625" defaultRowHeight="15" x14ac:dyDescent="0.25"/>
  <cols>
    <col min="1" max="1" width="16.140625" customWidth="1"/>
    <col min="2" max="2" width="12.7109375" bestFit="1" customWidth="1"/>
    <col min="3" max="3" width="17.42578125" customWidth="1"/>
    <col min="4" max="4" width="11" customWidth="1"/>
    <col min="5" max="5" width="32.42578125" bestFit="1" customWidth="1"/>
    <col min="6" max="6" width="67.28515625" style="25" bestFit="1" customWidth="1"/>
    <col min="7" max="7" width="16.140625" customWidth="1"/>
    <col min="8" max="8" width="14.28515625" bestFit="1" customWidth="1"/>
  </cols>
  <sheetData>
    <row r="1" spans="1:8" ht="15" customHeight="1" x14ac:dyDescent="0.25">
      <c r="A1" s="86" t="s">
        <v>15</v>
      </c>
      <c r="B1" s="81" t="s">
        <v>0</v>
      </c>
      <c r="C1" s="82" t="s">
        <v>1</v>
      </c>
      <c r="D1" s="82" t="s">
        <v>2</v>
      </c>
      <c r="E1" s="82" t="s">
        <v>3</v>
      </c>
      <c r="F1" s="82" t="s">
        <v>8</v>
      </c>
      <c r="G1" s="79" t="s">
        <v>4</v>
      </c>
      <c r="H1" s="80" t="s">
        <v>5</v>
      </c>
    </row>
    <row r="2" spans="1:8" ht="15" customHeight="1" x14ac:dyDescent="0.25">
      <c r="A2" s="86"/>
      <c r="B2" s="81"/>
      <c r="C2" s="74"/>
      <c r="D2" s="74"/>
      <c r="E2" s="74"/>
      <c r="F2" s="74"/>
      <c r="G2" s="68"/>
      <c r="H2" s="70"/>
    </row>
    <row r="3" spans="1:8" ht="15.75" x14ac:dyDescent="0.25">
      <c r="A3" s="86"/>
      <c r="B3" s="2">
        <v>45315</v>
      </c>
      <c r="C3" s="3">
        <v>2555792518</v>
      </c>
      <c r="D3" s="3">
        <v>8</v>
      </c>
      <c r="E3" s="4" t="s">
        <v>96</v>
      </c>
      <c r="F3" s="19" t="s">
        <v>136</v>
      </c>
      <c r="G3" s="10" t="s">
        <v>10</v>
      </c>
      <c r="H3" s="11">
        <v>5000</v>
      </c>
    </row>
    <row r="4" spans="1:8" ht="15.75" x14ac:dyDescent="0.25">
      <c r="A4" s="86"/>
      <c r="B4" s="2">
        <v>45342</v>
      </c>
      <c r="C4" s="3">
        <v>2195147469</v>
      </c>
      <c r="D4" s="3">
        <v>8</v>
      </c>
      <c r="E4" s="4" t="s">
        <v>224</v>
      </c>
      <c r="F4" s="4" t="s">
        <v>225</v>
      </c>
      <c r="G4" s="5" t="s">
        <v>7</v>
      </c>
      <c r="H4" s="6">
        <v>5000</v>
      </c>
    </row>
    <row r="5" spans="1:8" ht="20.100000000000001" customHeight="1" x14ac:dyDescent="0.25">
      <c r="A5" s="86"/>
      <c r="B5" s="2">
        <v>45344</v>
      </c>
      <c r="C5" s="3">
        <v>502022384</v>
      </c>
      <c r="D5" s="3">
        <v>7</v>
      </c>
      <c r="E5" s="4" t="s">
        <v>226</v>
      </c>
      <c r="F5" s="4" t="s">
        <v>227</v>
      </c>
      <c r="G5" s="5" t="s">
        <v>7</v>
      </c>
      <c r="H5" s="6">
        <v>4830</v>
      </c>
    </row>
    <row r="6" spans="1:8" ht="20.100000000000001" customHeight="1" x14ac:dyDescent="0.25">
      <c r="A6" s="86"/>
      <c r="B6" s="2">
        <v>45344</v>
      </c>
      <c r="C6" s="3">
        <v>502022384</v>
      </c>
      <c r="D6" s="3">
        <v>1</v>
      </c>
      <c r="E6" s="4" t="s">
        <v>226</v>
      </c>
      <c r="F6" s="4" t="s">
        <v>227</v>
      </c>
      <c r="G6" s="5" t="s">
        <v>7</v>
      </c>
      <c r="H6" s="6">
        <v>695</v>
      </c>
    </row>
    <row r="7" spans="1:8" ht="20.100000000000001" customHeight="1" x14ac:dyDescent="0.25">
      <c r="A7" s="86"/>
      <c r="B7" s="2">
        <v>45364</v>
      </c>
      <c r="C7" s="3">
        <v>3967897459</v>
      </c>
      <c r="D7" s="3">
        <v>8</v>
      </c>
      <c r="E7" s="4" t="s">
        <v>318</v>
      </c>
      <c r="F7" s="19" t="s">
        <v>227</v>
      </c>
      <c r="G7" s="10" t="s">
        <v>7</v>
      </c>
      <c r="H7" s="11">
        <v>5000</v>
      </c>
    </row>
    <row r="8" spans="1:8" ht="20.100000000000001" customHeight="1" x14ac:dyDescent="0.25">
      <c r="A8" s="86"/>
      <c r="B8" s="2">
        <v>45369</v>
      </c>
      <c r="C8" s="3">
        <v>538726094</v>
      </c>
      <c r="D8" s="3">
        <v>8</v>
      </c>
      <c r="E8" s="4" t="s">
        <v>319</v>
      </c>
      <c r="F8" s="19" t="s">
        <v>320</v>
      </c>
      <c r="G8" s="10" t="s">
        <v>6</v>
      </c>
      <c r="H8" s="11">
        <v>5000</v>
      </c>
    </row>
    <row r="9" spans="1:8" ht="15.75" x14ac:dyDescent="0.25">
      <c r="A9" s="86"/>
      <c r="B9" s="2">
        <v>45384</v>
      </c>
      <c r="C9" s="3">
        <v>848252474</v>
      </c>
      <c r="D9" s="3">
        <v>8</v>
      </c>
      <c r="E9" s="4" t="s">
        <v>488</v>
      </c>
      <c r="F9" s="19" t="s">
        <v>489</v>
      </c>
      <c r="G9" s="10" t="s">
        <v>7</v>
      </c>
      <c r="H9" s="11">
        <v>5000</v>
      </c>
    </row>
    <row r="10" spans="1:8" ht="20.100000000000001" customHeight="1" x14ac:dyDescent="0.25">
      <c r="A10" s="86"/>
      <c r="B10" s="2">
        <v>45400</v>
      </c>
      <c r="C10" s="3">
        <v>2825798556</v>
      </c>
      <c r="D10" s="3">
        <v>8</v>
      </c>
      <c r="E10" s="4" t="s">
        <v>490</v>
      </c>
      <c r="F10" s="19" t="s">
        <v>227</v>
      </c>
      <c r="G10" s="10" t="s">
        <v>7</v>
      </c>
      <c r="H10" s="11">
        <v>6000</v>
      </c>
    </row>
    <row r="11" spans="1:8" ht="20.100000000000001" customHeight="1" x14ac:dyDescent="0.25">
      <c r="A11" s="86"/>
      <c r="B11" s="2">
        <v>45414</v>
      </c>
      <c r="C11" s="3">
        <v>606227387</v>
      </c>
      <c r="D11" s="3">
        <v>8</v>
      </c>
      <c r="E11" s="4" t="s">
        <v>584</v>
      </c>
      <c r="F11" s="19" t="s">
        <v>585</v>
      </c>
      <c r="G11" s="10" t="s">
        <v>7</v>
      </c>
      <c r="H11" s="11">
        <v>5000</v>
      </c>
    </row>
    <row r="12" spans="1:8" ht="20.100000000000001" customHeight="1" x14ac:dyDescent="0.25">
      <c r="A12" s="86"/>
      <c r="B12" s="2">
        <v>45426</v>
      </c>
      <c r="C12" s="3">
        <v>1007568992</v>
      </c>
      <c r="D12" s="3">
        <v>8</v>
      </c>
      <c r="E12" s="4" t="s">
        <v>586</v>
      </c>
      <c r="F12" s="19" t="s">
        <v>227</v>
      </c>
      <c r="G12" s="10" t="s">
        <v>19</v>
      </c>
      <c r="H12" s="11">
        <v>5000</v>
      </c>
    </row>
    <row r="13" spans="1:8" ht="15.75" x14ac:dyDescent="0.25">
      <c r="A13" s="86"/>
      <c r="B13" s="2">
        <v>45426</v>
      </c>
      <c r="C13" s="3">
        <v>1132217046</v>
      </c>
      <c r="D13" s="3">
        <v>8</v>
      </c>
      <c r="E13" s="4" t="s">
        <v>587</v>
      </c>
      <c r="F13" s="19" t="s">
        <v>588</v>
      </c>
      <c r="G13" s="10" t="s">
        <v>19</v>
      </c>
      <c r="H13" s="11">
        <v>4000</v>
      </c>
    </row>
    <row r="14" spans="1:8" ht="15.75" x14ac:dyDescent="0.25">
      <c r="A14" s="86"/>
      <c r="B14" s="2">
        <v>45429</v>
      </c>
      <c r="C14" s="3">
        <v>3745074608</v>
      </c>
      <c r="D14" s="3">
        <v>8</v>
      </c>
      <c r="E14" s="4" t="s">
        <v>589</v>
      </c>
      <c r="F14" s="19" t="s">
        <v>590</v>
      </c>
      <c r="G14" s="10" t="s">
        <v>19</v>
      </c>
      <c r="H14" s="11">
        <v>5000</v>
      </c>
    </row>
    <row r="15" spans="1:8" ht="20.100000000000001" customHeight="1" x14ac:dyDescent="0.25">
      <c r="A15" s="86"/>
      <c r="B15" s="2">
        <v>45463</v>
      </c>
      <c r="C15" s="3">
        <v>1871267445</v>
      </c>
      <c r="D15" s="3">
        <v>8</v>
      </c>
      <c r="E15" s="4" t="s">
        <v>680</v>
      </c>
      <c r="F15" s="19" t="s">
        <v>227</v>
      </c>
      <c r="G15" s="5" t="s">
        <v>7</v>
      </c>
      <c r="H15" s="6">
        <v>5000</v>
      </c>
    </row>
    <row r="16" spans="1:8" ht="15.75" x14ac:dyDescent="0.25">
      <c r="A16" s="86"/>
      <c r="B16" s="2">
        <v>45467</v>
      </c>
      <c r="C16" s="3">
        <v>187188692</v>
      </c>
      <c r="D16" s="3">
        <v>8</v>
      </c>
      <c r="E16" s="4" t="s">
        <v>681</v>
      </c>
      <c r="F16" s="19" t="s">
        <v>682</v>
      </c>
      <c r="G16" s="5" t="s">
        <v>19</v>
      </c>
      <c r="H16" s="6">
        <v>5000</v>
      </c>
    </row>
    <row r="17" spans="1:8" ht="15.75" x14ac:dyDescent="0.25">
      <c r="A17" s="86"/>
      <c r="B17" s="2">
        <v>45471</v>
      </c>
      <c r="C17" s="3">
        <v>4109845121</v>
      </c>
      <c r="D17" s="3">
        <v>8</v>
      </c>
      <c r="E17" s="4" t="s">
        <v>683</v>
      </c>
      <c r="F17" s="19" t="s">
        <v>684</v>
      </c>
      <c r="G17" s="5" t="s">
        <v>10</v>
      </c>
      <c r="H17" s="6">
        <v>5000</v>
      </c>
    </row>
    <row r="18" spans="1:8" ht="15.75" x14ac:dyDescent="0.25">
      <c r="A18" s="86"/>
      <c r="B18" s="2">
        <v>45477</v>
      </c>
      <c r="C18" s="3">
        <v>2813805019</v>
      </c>
      <c r="D18" s="3">
        <v>8</v>
      </c>
      <c r="E18" s="4" t="s">
        <v>527</v>
      </c>
      <c r="F18" s="19" t="s">
        <v>781</v>
      </c>
      <c r="G18" s="5" t="s">
        <v>7</v>
      </c>
      <c r="H18" s="6">
        <v>5000</v>
      </c>
    </row>
    <row r="19" spans="1:8" ht="20.100000000000001" customHeight="1" x14ac:dyDescent="0.25">
      <c r="A19" s="86"/>
      <c r="B19" s="2">
        <v>45481</v>
      </c>
      <c r="C19" s="3">
        <v>926502773</v>
      </c>
      <c r="D19" s="3">
        <v>8</v>
      </c>
      <c r="E19" s="4" t="s">
        <v>228</v>
      </c>
      <c r="F19" s="19" t="s">
        <v>782</v>
      </c>
      <c r="G19" s="5" t="s">
        <v>7</v>
      </c>
      <c r="H19" s="6">
        <v>5000</v>
      </c>
    </row>
    <row r="20" spans="1:8" ht="30" x14ac:dyDescent="0.25">
      <c r="A20" s="86"/>
      <c r="B20" s="2">
        <v>45481</v>
      </c>
      <c r="C20" s="3">
        <v>2528266708</v>
      </c>
      <c r="D20" s="3">
        <v>8</v>
      </c>
      <c r="E20" s="4" t="s">
        <v>783</v>
      </c>
      <c r="F20" s="19" t="s">
        <v>784</v>
      </c>
      <c r="G20" s="5" t="s">
        <v>13</v>
      </c>
      <c r="H20" s="6">
        <v>5000</v>
      </c>
    </row>
    <row r="21" spans="1:8" ht="30" x14ac:dyDescent="0.25">
      <c r="A21" s="86"/>
      <c r="B21" s="2">
        <v>45485</v>
      </c>
      <c r="C21" s="3">
        <v>637421756</v>
      </c>
      <c r="D21" s="3">
        <v>8</v>
      </c>
      <c r="E21" s="4" t="s">
        <v>580</v>
      </c>
      <c r="F21" s="19" t="s">
        <v>785</v>
      </c>
      <c r="G21" s="5" t="s">
        <v>7</v>
      </c>
      <c r="H21" s="6">
        <v>5000</v>
      </c>
    </row>
    <row r="22" spans="1:8" ht="20.100000000000001" customHeight="1" x14ac:dyDescent="0.25">
      <c r="A22" s="86"/>
      <c r="B22" s="2">
        <v>45506</v>
      </c>
      <c r="C22" s="3">
        <v>162480219</v>
      </c>
      <c r="D22" s="3">
        <v>5</v>
      </c>
      <c r="E22" s="4" t="s">
        <v>883</v>
      </c>
      <c r="F22" s="19" t="s">
        <v>585</v>
      </c>
      <c r="G22" s="5" t="s">
        <v>7</v>
      </c>
      <c r="H22" s="6">
        <v>4165</v>
      </c>
    </row>
    <row r="23" spans="1:8" ht="20.100000000000001" customHeight="1" x14ac:dyDescent="0.25">
      <c r="A23" s="86"/>
      <c r="B23" s="2">
        <v>45506</v>
      </c>
      <c r="C23" s="3">
        <v>162480219</v>
      </c>
      <c r="D23" s="3">
        <v>1</v>
      </c>
      <c r="E23" s="4" t="s">
        <v>883</v>
      </c>
      <c r="F23" s="19" t="s">
        <v>585</v>
      </c>
      <c r="G23" s="5" t="s">
        <v>7</v>
      </c>
      <c r="H23" s="6">
        <v>835</v>
      </c>
    </row>
    <row r="24" spans="1:8" ht="20.100000000000001" customHeight="1" x14ac:dyDescent="0.25">
      <c r="A24" s="86"/>
      <c r="B24" s="2">
        <v>45517</v>
      </c>
      <c r="C24" s="3">
        <v>1248611610</v>
      </c>
      <c r="D24" s="3">
        <v>8</v>
      </c>
      <c r="E24" s="4" t="s">
        <v>910</v>
      </c>
      <c r="F24" s="19" t="s">
        <v>227</v>
      </c>
      <c r="G24" s="5" t="s">
        <v>7</v>
      </c>
      <c r="H24" s="6">
        <v>5950</v>
      </c>
    </row>
    <row r="25" spans="1:8" ht="20.100000000000001" customHeight="1" x14ac:dyDescent="0.25">
      <c r="A25" s="86"/>
      <c r="B25" s="2">
        <v>45546</v>
      </c>
      <c r="C25" s="3">
        <v>2332509001</v>
      </c>
      <c r="D25" s="3">
        <v>8</v>
      </c>
      <c r="E25" s="4" t="s">
        <v>978</v>
      </c>
      <c r="F25" s="19" t="s">
        <v>979</v>
      </c>
      <c r="G25" s="5" t="s">
        <v>7</v>
      </c>
      <c r="H25" s="6">
        <v>5000</v>
      </c>
    </row>
    <row r="26" spans="1:8" ht="20.100000000000001" customHeight="1" x14ac:dyDescent="0.25">
      <c r="A26" s="86"/>
      <c r="B26" s="2">
        <v>45554</v>
      </c>
      <c r="C26" s="3">
        <v>705120495</v>
      </c>
      <c r="D26" s="3">
        <v>5</v>
      </c>
      <c r="E26" s="4" t="s">
        <v>974</v>
      </c>
      <c r="F26" s="19" t="s">
        <v>980</v>
      </c>
      <c r="G26" s="5" t="s">
        <v>11</v>
      </c>
      <c r="H26" s="6">
        <v>2500</v>
      </c>
    </row>
    <row r="27" spans="1:8" ht="20.100000000000001" customHeight="1" x14ac:dyDescent="0.25">
      <c r="A27" s="86"/>
      <c r="B27" s="2">
        <v>45565</v>
      </c>
      <c r="C27" s="3">
        <v>1317684759</v>
      </c>
      <c r="D27" s="3">
        <v>8</v>
      </c>
      <c r="E27" s="4" t="s">
        <v>228</v>
      </c>
      <c r="F27" s="19" t="s">
        <v>15</v>
      </c>
      <c r="G27" s="5" t="s">
        <v>11</v>
      </c>
      <c r="H27" s="6">
        <v>5000</v>
      </c>
    </row>
    <row r="28" spans="1:8" ht="20.100000000000001" customHeight="1" x14ac:dyDescent="0.25">
      <c r="A28" s="86"/>
      <c r="B28" s="2">
        <v>45576</v>
      </c>
      <c r="C28" s="3">
        <v>3519170775</v>
      </c>
      <c r="D28" s="3">
        <v>8</v>
      </c>
      <c r="E28" s="4" t="s">
        <v>1054</v>
      </c>
      <c r="F28" s="19" t="s">
        <v>227</v>
      </c>
      <c r="G28" s="5" t="s">
        <v>10</v>
      </c>
      <c r="H28" s="6">
        <v>5000</v>
      </c>
    </row>
    <row r="29" spans="1:8" ht="20.100000000000001" customHeight="1" x14ac:dyDescent="0.25">
      <c r="A29" s="86"/>
      <c r="B29" s="2">
        <v>45581</v>
      </c>
      <c r="C29" s="3">
        <v>3055767323</v>
      </c>
      <c r="D29" s="3">
        <v>8</v>
      </c>
      <c r="E29" s="4" t="s">
        <v>1055</v>
      </c>
      <c r="F29" s="19" t="s">
        <v>1056</v>
      </c>
      <c r="G29" s="5" t="s">
        <v>19</v>
      </c>
      <c r="H29" s="6">
        <v>5000</v>
      </c>
    </row>
    <row r="30" spans="1:8" ht="20.100000000000001" customHeight="1" x14ac:dyDescent="0.25">
      <c r="A30" s="86"/>
      <c r="B30" s="2">
        <v>45582</v>
      </c>
      <c r="C30" s="3">
        <v>2128104987</v>
      </c>
      <c r="D30" s="3">
        <v>1</v>
      </c>
      <c r="E30" s="4" t="s">
        <v>1057</v>
      </c>
      <c r="F30" s="19" t="s">
        <v>1058</v>
      </c>
      <c r="G30" s="5" t="s">
        <v>11</v>
      </c>
      <c r="H30" s="6">
        <v>2400</v>
      </c>
    </row>
    <row r="31" spans="1:8" ht="20.100000000000001" customHeight="1" x14ac:dyDescent="0.25">
      <c r="A31" s="86"/>
      <c r="B31" s="2">
        <v>45588</v>
      </c>
      <c r="C31" s="3">
        <v>620445921</v>
      </c>
      <c r="D31" s="3">
        <v>1</v>
      </c>
      <c r="E31" s="4" t="s">
        <v>1057</v>
      </c>
      <c r="F31" s="19" t="s">
        <v>1058</v>
      </c>
      <c r="G31" s="5" t="s">
        <v>11</v>
      </c>
      <c r="H31" s="6">
        <v>2400</v>
      </c>
    </row>
    <row r="32" spans="1:8" ht="20.100000000000001" customHeight="1" x14ac:dyDescent="0.25">
      <c r="A32" s="86"/>
      <c r="B32" s="2">
        <v>45595</v>
      </c>
      <c r="C32" s="3">
        <v>2678738359</v>
      </c>
      <c r="D32" s="3">
        <v>8</v>
      </c>
      <c r="E32" s="4" t="s">
        <v>1059</v>
      </c>
      <c r="F32" s="19" t="s">
        <v>15</v>
      </c>
      <c r="G32" s="5" t="s">
        <v>7</v>
      </c>
      <c r="H32" s="6">
        <v>5000</v>
      </c>
    </row>
    <row r="33" spans="1:8" ht="20.100000000000001" customHeight="1" x14ac:dyDescent="0.25">
      <c r="A33" s="86"/>
      <c r="B33" s="2">
        <v>45596</v>
      </c>
      <c r="C33" s="3">
        <v>950159687</v>
      </c>
      <c r="D33" s="3">
        <v>1</v>
      </c>
      <c r="E33" s="4" t="s">
        <v>1057</v>
      </c>
      <c r="F33" s="19" t="s">
        <v>1060</v>
      </c>
      <c r="G33" s="5" t="s">
        <v>11</v>
      </c>
      <c r="H33" s="6">
        <v>200</v>
      </c>
    </row>
    <row r="34" spans="1:8" ht="20.100000000000001" customHeight="1" x14ac:dyDescent="0.25">
      <c r="A34" s="86"/>
      <c r="B34" s="2">
        <v>45604</v>
      </c>
      <c r="C34" s="3">
        <v>1828340598</v>
      </c>
      <c r="D34" s="3">
        <v>8</v>
      </c>
      <c r="E34" s="4" t="s">
        <v>1150</v>
      </c>
      <c r="F34" s="19" t="s">
        <v>1151</v>
      </c>
      <c r="G34" s="5" t="s">
        <v>7</v>
      </c>
      <c r="H34" s="6">
        <v>5000</v>
      </c>
    </row>
    <row r="35" spans="1:8" ht="20.100000000000001" customHeight="1" x14ac:dyDescent="0.25">
      <c r="A35" s="86"/>
      <c r="B35" s="2">
        <v>45614</v>
      </c>
      <c r="C35" s="3">
        <v>3523429021</v>
      </c>
      <c r="D35" s="3">
        <v>8</v>
      </c>
      <c r="E35" s="4" t="s">
        <v>1152</v>
      </c>
      <c r="F35" s="19" t="s">
        <v>227</v>
      </c>
      <c r="G35" s="5" t="s">
        <v>7</v>
      </c>
      <c r="H35" s="6">
        <v>5000</v>
      </c>
    </row>
    <row r="36" spans="1:8" ht="20.100000000000001" customHeight="1" x14ac:dyDescent="0.25">
      <c r="A36" s="86"/>
      <c r="B36" s="2">
        <v>45645</v>
      </c>
      <c r="C36" s="3">
        <v>4111942926</v>
      </c>
      <c r="D36" s="3">
        <v>8</v>
      </c>
      <c r="E36" s="4" t="s">
        <v>1251</v>
      </c>
      <c r="F36" s="19" t="s">
        <v>1252</v>
      </c>
      <c r="G36" s="5" t="s">
        <v>19</v>
      </c>
      <c r="H36" s="6">
        <v>5000</v>
      </c>
    </row>
    <row r="37" spans="1:8" ht="20.100000000000001" customHeight="1" x14ac:dyDescent="0.25">
      <c r="A37" s="86"/>
      <c r="B37" s="2"/>
      <c r="C37" s="3"/>
      <c r="D37" s="3"/>
      <c r="E37" s="4"/>
      <c r="F37" s="19"/>
      <c r="G37" s="10"/>
      <c r="H37" s="11"/>
    </row>
    <row r="38" spans="1:8" ht="20.100000000000001" customHeight="1" x14ac:dyDescent="0.25">
      <c r="A38" s="86"/>
      <c r="B38" s="2"/>
      <c r="C38" s="3"/>
      <c r="D38" s="3"/>
      <c r="E38" s="4"/>
      <c r="F38" s="19"/>
      <c r="G38" s="10"/>
      <c r="H38" s="11"/>
    </row>
    <row r="39" spans="1:8" ht="20.100000000000001" customHeight="1" x14ac:dyDescent="0.25">
      <c r="A39" s="86"/>
      <c r="B39" s="2"/>
      <c r="C39" s="3"/>
      <c r="D39" s="3"/>
      <c r="E39" s="4"/>
      <c r="F39" s="19"/>
      <c r="G39" s="10"/>
      <c r="H39" s="11"/>
    </row>
    <row r="40" spans="1:8" ht="20.100000000000001" customHeight="1" x14ac:dyDescent="0.25">
      <c r="A40" s="86"/>
      <c r="B40" s="2"/>
      <c r="C40" s="3"/>
      <c r="D40" s="3"/>
      <c r="E40" s="4"/>
      <c r="F40" s="19"/>
      <c r="G40" s="10"/>
      <c r="H40" s="11"/>
    </row>
    <row r="41" spans="1:8" ht="20.100000000000001" customHeight="1" x14ac:dyDescent="0.25">
      <c r="A41" s="86"/>
      <c r="B41" s="2"/>
      <c r="C41" s="3"/>
      <c r="D41" s="3"/>
      <c r="E41" s="4"/>
      <c r="F41" s="19"/>
      <c r="G41" s="10"/>
      <c r="H41" s="11"/>
    </row>
    <row r="42" spans="1:8" ht="20.100000000000001" customHeight="1" x14ac:dyDescent="0.25">
      <c r="A42" s="86"/>
      <c r="B42" s="2"/>
      <c r="C42" s="3"/>
      <c r="D42" s="3"/>
      <c r="E42" s="4"/>
      <c r="F42" s="19"/>
      <c r="G42" s="10"/>
      <c r="H42" s="11"/>
    </row>
    <row r="43" spans="1:8" ht="20.100000000000001" customHeight="1" x14ac:dyDescent="0.25">
      <c r="A43" s="86"/>
      <c r="B43" s="2"/>
      <c r="C43" s="3"/>
      <c r="D43" s="3"/>
      <c r="E43" s="4"/>
      <c r="F43" s="19"/>
      <c r="G43" s="10"/>
      <c r="H43" s="11"/>
    </row>
    <row r="44" spans="1:8" ht="20.100000000000001" customHeight="1" x14ac:dyDescent="0.25">
      <c r="A44" s="86"/>
      <c r="B44" s="2"/>
      <c r="C44" s="3"/>
      <c r="D44" s="3"/>
      <c r="E44" s="4"/>
      <c r="F44" s="19"/>
      <c r="G44" s="10"/>
      <c r="H44" s="11"/>
    </row>
    <row r="45" spans="1:8" ht="20.100000000000001" customHeight="1" x14ac:dyDescent="0.25">
      <c r="A45" s="86"/>
      <c r="B45" s="2"/>
      <c r="C45" s="3"/>
      <c r="D45" s="3"/>
      <c r="E45" s="4"/>
      <c r="F45" s="19"/>
      <c r="G45" s="10"/>
      <c r="H45" s="11"/>
    </row>
    <row r="46" spans="1:8" ht="20.100000000000001" customHeight="1" x14ac:dyDescent="0.25">
      <c r="A46" s="86"/>
      <c r="B46" s="2"/>
      <c r="C46" s="3"/>
      <c r="D46" s="3"/>
      <c r="E46" s="4"/>
      <c r="F46" s="19"/>
      <c r="G46" s="10"/>
      <c r="H46" s="11"/>
    </row>
    <row r="47" spans="1:8" ht="20.100000000000001" customHeight="1" x14ac:dyDescent="0.25">
      <c r="A47" s="86"/>
      <c r="B47" s="2"/>
      <c r="C47" s="3"/>
      <c r="D47" s="3"/>
      <c r="E47" s="4"/>
      <c r="F47" s="19"/>
      <c r="G47" s="10"/>
      <c r="H47" s="11"/>
    </row>
    <row r="48" spans="1:8" ht="20.100000000000001" customHeight="1" x14ac:dyDescent="0.25">
      <c r="A48" s="86"/>
      <c r="B48" s="2"/>
      <c r="C48" s="3"/>
      <c r="D48" s="3"/>
      <c r="E48" s="4"/>
      <c r="F48" s="19"/>
      <c r="G48" s="10"/>
      <c r="H48" s="11"/>
    </row>
    <row r="49" spans="1:8" ht="20.100000000000001" customHeight="1" x14ac:dyDescent="0.25">
      <c r="A49" s="86"/>
      <c r="B49" s="2"/>
      <c r="C49" s="3"/>
      <c r="D49" s="3"/>
      <c r="E49" s="4"/>
      <c r="F49" s="19"/>
      <c r="G49" s="10"/>
      <c r="H49" s="11"/>
    </row>
    <row r="50" spans="1:8" ht="20.100000000000001" customHeight="1" x14ac:dyDescent="0.25">
      <c r="A50" s="86"/>
      <c r="B50" s="2"/>
      <c r="C50" s="3"/>
      <c r="D50" s="3"/>
      <c r="E50" s="4"/>
      <c r="F50" s="19"/>
      <c r="G50" s="10"/>
      <c r="H50" s="11"/>
    </row>
    <row r="51" spans="1:8" ht="15.75" x14ac:dyDescent="0.25">
      <c r="A51" s="87"/>
      <c r="B51" s="20"/>
      <c r="C51" s="18"/>
      <c r="D51" s="18"/>
      <c r="E51" s="18" t="s">
        <v>5</v>
      </c>
      <c r="F51" s="24"/>
      <c r="G51" s="21"/>
      <c r="H51" s="22">
        <f>SUM(H3:H50)</f>
        <v>148975</v>
      </c>
    </row>
  </sheetData>
  <mergeCells count="8">
    <mergeCell ref="A1:A51"/>
    <mergeCell ref="F1:F2"/>
    <mergeCell ref="G1:G2"/>
    <mergeCell ref="H1:H2"/>
    <mergeCell ref="B1:B2"/>
    <mergeCell ref="C1:C2"/>
    <mergeCell ref="D1:D2"/>
    <mergeCell ref="E1:E2"/>
  </mergeCells>
  <pageMargins left="0.7" right="0.7" top="0.75" bottom="0.75" header="0.3" footer="0.3"/>
  <pageSetup paperSize="9" orientation="portrait" horizontalDpi="120" verticalDpi="72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79"/>
  <sheetViews>
    <sheetView topLeftCell="A60" workbookViewId="0">
      <selection activeCell="F73" sqref="F73"/>
    </sheetView>
  </sheetViews>
  <sheetFormatPr baseColWidth="10" defaultColWidth="9.140625" defaultRowHeight="15" x14ac:dyDescent="0.25"/>
  <cols>
    <col min="1" max="1" width="17.5703125" customWidth="1"/>
    <col min="2" max="2" width="14" bestFit="1" customWidth="1"/>
    <col min="3" max="3" width="17.42578125" customWidth="1"/>
    <col min="4" max="4" width="11" customWidth="1"/>
    <col min="5" max="5" width="32.42578125" bestFit="1" customWidth="1"/>
    <col min="6" max="6" width="94.42578125" style="1" bestFit="1" customWidth="1"/>
    <col min="7" max="7" width="16.140625" bestFit="1" customWidth="1"/>
    <col min="8" max="8" width="14.28515625" bestFit="1" customWidth="1"/>
  </cols>
  <sheetData>
    <row r="1" spans="1:8" ht="15" customHeight="1" x14ac:dyDescent="0.25">
      <c r="A1" s="83" t="s">
        <v>17</v>
      </c>
      <c r="B1" s="72" t="s">
        <v>0</v>
      </c>
      <c r="C1" s="74" t="s">
        <v>1</v>
      </c>
      <c r="D1" s="74" t="s">
        <v>2</v>
      </c>
      <c r="E1" s="74" t="s">
        <v>3</v>
      </c>
      <c r="F1" s="74" t="s">
        <v>8</v>
      </c>
      <c r="G1" s="68" t="s">
        <v>4</v>
      </c>
      <c r="H1" s="70" t="s">
        <v>5</v>
      </c>
    </row>
    <row r="2" spans="1:8" ht="15" customHeight="1" x14ac:dyDescent="0.25">
      <c r="A2" s="84"/>
      <c r="B2" s="73"/>
      <c r="C2" s="75"/>
      <c r="D2" s="75"/>
      <c r="E2" s="75"/>
      <c r="F2" s="75"/>
      <c r="G2" s="69"/>
      <c r="H2" s="71"/>
    </row>
    <row r="3" spans="1:8" ht="20.100000000000001" customHeight="1" x14ac:dyDescent="0.25">
      <c r="A3" s="84"/>
      <c r="B3" s="2">
        <v>45296</v>
      </c>
      <c r="C3" s="3">
        <v>2127908022</v>
      </c>
      <c r="D3" s="3">
        <v>8</v>
      </c>
      <c r="E3" s="19" t="s">
        <v>103</v>
      </c>
      <c r="F3" s="19" t="s">
        <v>137</v>
      </c>
      <c r="G3" s="10" t="s">
        <v>19</v>
      </c>
      <c r="H3" s="11">
        <v>6500</v>
      </c>
    </row>
    <row r="4" spans="1:8" ht="20.100000000000001" customHeight="1" x14ac:dyDescent="0.25">
      <c r="A4" s="84"/>
      <c r="B4" s="2">
        <v>45299</v>
      </c>
      <c r="C4" s="3">
        <v>1796296041</v>
      </c>
      <c r="D4" s="3">
        <v>8</v>
      </c>
      <c r="E4" s="19" t="s">
        <v>127</v>
      </c>
      <c r="F4" s="19" t="s">
        <v>138</v>
      </c>
      <c r="G4" s="10" t="s">
        <v>19</v>
      </c>
      <c r="H4" s="11">
        <v>6500</v>
      </c>
    </row>
    <row r="5" spans="1:8" ht="20.100000000000001" customHeight="1" x14ac:dyDescent="0.25">
      <c r="A5" s="84"/>
      <c r="B5" s="2">
        <v>45308</v>
      </c>
      <c r="C5" s="3">
        <v>3003859790</v>
      </c>
      <c r="D5" s="3">
        <v>8</v>
      </c>
      <c r="E5" s="19" t="s">
        <v>139</v>
      </c>
      <c r="F5" s="19" t="s">
        <v>140</v>
      </c>
      <c r="G5" s="10" t="s">
        <v>7</v>
      </c>
      <c r="H5" s="11">
        <v>6500</v>
      </c>
    </row>
    <row r="6" spans="1:8" ht="20.100000000000001" customHeight="1" x14ac:dyDescent="0.25">
      <c r="A6" s="84"/>
      <c r="B6" s="2">
        <v>45309</v>
      </c>
      <c r="C6" s="3">
        <v>1410354994</v>
      </c>
      <c r="D6" s="3">
        <v>8</v>
      </c>
      <c r="E6" s="19" t="s">
        <v>141</v>
      </c>
      <c r="F6" s="19" t="s">
        <v>142</v>
      </c>
      <c r="G6" s="10" t="s">
        <v>6</v>
      </c>
      <c r="H6" s="11">
        <v>6500</v>
      </c>
    </row>
    <row r="7" spans="1:8" ht="15.75" x14ac:dyDescent="0.25">
      <c r="A7" s="84"/>
      <c r="B7" s="2">
        <v>45310</v>
      </c>
      <c r="C7" s="3">
        <v>1306282846</v>
      </c>
      <c r="D7" s="3">
        <v>8</v>
      </c>
      <c r="E7" s="19" t="s">
        <v>143</v>
      </c>
      <c r="F7" s="19" t="s">
        <v>144</v>
      </c>
      <c r="G7" s="10" t="s">
        <v>19</v>
      </c>
      <c r="H7" s="11">
        <v>6500</v>
      </c>
    </row>
    <row r="8" spans="1:8" ht="15.75" x14ac:dyDescent="0.25">
      <c r="A8" s="84"/>
      <c r="B8" s="2">
        <v>45314</v>
      </c>
      <c r="C8" s="3">
        <v>3983101787</v>
      </c>
      <c r="D8" s="3">
        <v>8</v>
      </c>
      <c r="E8" s="19" t="s">
        <v>145</v>
      </c>
      <c r="F8" s="19" t="s">
        <v>146</v>
      </c>
      <c r="G8" s="10" t="s">
        <v>7</v>
      </c>
      <c r="H8" s="11">
        <v>6500</v>
      </c>
    </row>
    <row r="9" spans="1:8" ht="20.100000000000001" customHeight="1" x14ac:dyDescent="0.25">
      <c r="A9" s="84"/>
      <c r="B9" s="2">
        <v>45322</v>
      </c>
      <c r="C9" s="3">
        <v>1725254502</v>
      </c>
      <c r="D9" s="3">
        <v>8</v>
      </c>
      <c r="E9" s="19" t="s">
        <v>125</v>
      </c>
      <c r="F9" s="19" t="s">
        <v>147</v>
      </c>
      <c r="G9" s="10" t="s">
        <v>6</v>
      </c>
      <c r="H9" s="11">
        <v>6500</v>
      </c>
    </row>
    <row r="10" spans="1:8" ht="20.100000000000001" customHeight="1" x14ac:dyDescent="0.25">
      <c r="A10" s="84"/>
      <c r="B10" s="2">
        <v>45323</v>
      </c>
      <c r="C10" s="3">
        <v>986597912</v>
      </c>
      <c r="D10" s="3">
        <v>4</v>
      </c>
      <c r="E10" s="4" t="s">
        <v>228</v>
      </c>
      <c r="F10" s="4" t="s">
        <v>144</v>
      </c>
      <c r="G10" s="5" t="s">
        <v>6</v>
      </c>
      <c r="H10" s="6">
        <v>3250</v>
      </c>
    </row>
    <row r="11" spans="1:8" ht="20.100000000000001" customHeight="1" x14ac:dyDescent="0.25">
      <c r="A11" s="84"/>
      <c r="B11" s="2">
        <v>45327</v>
      </c>
      <c r="C11" s="3">
        <v>3952822158</v>
      </c>
      <c r="D11" s="3">
        <v>8</v>
      </c>
      <c r="E11" s="4" t="s">
        <v>179</v>
      </c>
      <c r="F11" s="4" t="s">
        <v>147</v>
      </c>
      <c r="G11" s="5" t="s">
        <v>7</v>
      </c>
      <c r="H11" s="6">
        <v>6500</v>
      </c>
    </row>
    <row r="12" spans="1:8" ht="20.100000000000001" customHeight="1" x14ac:dyDescent="0.25">
      <c r="A12" s="84"/>
      <c r="B12" s="2">
        <v>45328</v>
      </c>
      <c r="C12" s="3">
        <v>1239304704</v>
      </c>
      <c r="D12" s="3">
        <v>8</v>
      </c>
      <c r="E12" s="4" t="s">
        <v>203</v>
      </c>
      <c r="F12" s="4" t="s">
        <v>229</v>
      </c>
      <c r="G12" s="5" t="s">
        <v>6</v>
      </c>
      <c r="H12" s="6">
        <v>6500</v>
      </c>
    </row>
    <row r="13" spans="1:8" ht="20.100000000000001" customHeight="1" x14ac:dyDescent="0.25">
      <c r="A13" s="84"/>
      <c r="B13" s="2">
        <v>45338</v>
      </c>
      <c r="C13" s="3">
        <v>516246032</v>
      </c>
      <c r="D13" s="3">
        <v>7</v>
      </c>
      <c r="E13" s="4" t="s">
        <v>230</v>
      </c>
      <c r="F13" s="4" t="s">
        <v>231</v>
      </c>
      <c r="G13" s="5" t="s">
        <v>232</v>
      </c>
      <c r="H13" s="6">
        <v>3360</v>
      </c>
    </row>
    <row r="14" spans="1:8" ht="20.100000000000001" customHeight="1" x14ac:dyDescent="0.25">
      <c r="A14" s="84"/>
      <c r="B14" s="2">
        <v>45338</v>
      </c>
      <c r="C14" s="3">
        <v>516246032</v>
      </c>
      <c r="D14" s="3">
        <v>1</v>
      </c>
      <c r="E14" s="4" t="s">
        <v>230</v>
      </c>
      <c r="F14" s="4" t="s">
        <v>231</v>
      </c>
      <c r="G14" s="5" t="s">
        <v>232</v>
      </c>
      <c r="H14" s="6">
        <v>480.54</v>
      </c>
    </row>
    <row r="15" spans="1:8" ht="20.100000000000001" customHeight="1" x14ac:dyDescent="0.25">
      <c r="A15" s="84"/>
      <c r="B15" s="2">
        <v>45342</v>
      </c>
      <c r="C15" s="3">
        <v>1557810442</v>
      </c>
      <c r="D15" s="3">
        <v>8</v>
      </c>
      <c r="E15" s="4" t="s">
        <v>233</v>
      </c>
      <c r="F15" s="4" t="s">
        <v>140</v>
      </c>
      <c r="G15" s="5" t="s">
        <v>7</v>
      </c>
      <c r="H15" s="6">
        <v>6500</v>
      </c>
    </row>
    <row r="16" spans="1:8" ht="20.100000000000001" customHeight="1" x14ac:dyDescent="0.25">
      <c r="A16" s="84"/>
      <c r="B16" s="2">
        <v>45344</v>
      </c>
      <c r="C16" s="3">
        <v>502022384</v>
      </c>
      <c r="D16" s="3">
        <v>8</v>
      </c>
      <c r="E16" s="4" t="s">
        <v>226</v>
      </c>
      <c r="F16" s="4" t="s">
        <v>234</v>
      </c>
      <c r="G16" s="5" t="s">
        <v>7</v>
      </c>
      <c r="H16" s="6">
        <v>6500</v>
      </c>
    </row>
    <row r="17" spans="1:8" ht="20.100000000000001" customHeight="1" x14ac:dyDescent="0.25">
      <c r="A17" s="84"/>
      <c r="B17" s="2">
        <v>45345</v>
      </c>
      <c r="C17" s="3">
        <v>2390376620</v>
      </c>
      <c r="D17" s="3">
        <v>8</v>
      </c>
      <c r="E17" s="4" t="s">
        <v>206</v>
      </c>
      <c r="F17" s="4" t="s">
        <v>140</v>
      </c>
      <c r="G17" s="5" t="s">
        <v>7</v>
      </c>
      <c r="H17" s="6">
        <v>6800</v>
      </c>
    </row>
    <row r="18" spans="1:8" ht="15.75" x14ac:dyDescent="0.25">
      <c r="A18" s="84"/>
      <c r="B18" s="2">
        <v>45352</v>
      </c>
      <c r="C18" s="3">
        <v>1371032499</v>
      </c>
      <c r="D18" s="3">
        <v>8</v>
      </c>
      <c r="E18" s="19" t="s">
        <v>321</v>
      </c>
      <c r="F18" s="19" t="s">
        <v>137</v>
      </c>
      <c r="G18" s="10" t="s">
        <v>6</v>
      </c>
      <c r="H18" s="11">
        <v>6500</v>
      </c>
    </row>
    <row r="19" spans="1:8" ht="15.75" x14ac:dyDescent="0.25">
      <c r="A19" s="84"/>
      <c r="B19" s="2">
        <v>45357</v>
      </c>
      <c r="C19" s="3">
        <v>634209830</v>
      </c>
      <c r="D19" s="3">
        <v>4</v>
      </c>
      <c r="E19" s="19" t="s">
        <v>322</v>
      </c>
      <c r="F19" s="19" t="s">
        <v>323</v>
      </c>
      <c r="G19" s="10" t="s">
        <v>7</v>
      </c>
      <c r="H19" s="11">
        <v>3250</v>
      </c>
    </row>
    <row r="20" spans="1:8" ht="20.100000000000001" customHeight="1" x14ac:dyDescent="0.25">
      <c r="A20" s="84"/>
      <c r="B20" s="2">
        <v>45384</v>
      </c>
      <c r="C20" s="3">
        <v>3862580577</v>
      </c>
      <c r="D20" s="3">
        <v>8</v>
      </c>
      <c r="E20" s="19" t="s">
        <v>491</v>
      </c>
      <c r="F20" s="19" t="s">
        <v>492</v>
      </c>
      <c r="G20" s="10" t="s">
        <v>7</v>
      </c>
      <c r="H20" s="11">
        <v>6500</v>
      </c>
    </row>
    <row r="21" spans="1:8" ht="20.100000000000001" customHeight="1" x14ac:dyDescent="0.25">
      <c r="A21" s="84"/>
      <c r="B21" s="2">
        <v>45384</v>
      </c>
      <c r="C21" s="3">
        <v>848252474</v>
      </c>
      <c r="D21" s="3">
        <v>8</v>
      </c>
      <c r="E21" s="19" t="s">
        <v>488</v>
      </c>
      <c r="F21" s="19" t="s">
        <v>144</v>
      </c>
      <c r="G21" s="10" t="s">
        <v>7</v>
      </c>
      <c r="H21" s="11">
        <v>6500</v>
      </c>
    </row>
    <row r="22" spans="1:8" ht="20.100000000000001" customHeight="1" x14ac:dyDescent="0.25">
      <c r="A22" s="84"/>
      <c r="B22" s="2">
        <v>45386</v>
      </c>
      <c r="C22" s="3">
        <v>3479391061</v>
      </c>
      <c r="D22" s="3">
        <v>8</v>
      </c>
      <c r="E22" s="19" t="s">
        <v>484</v>
      </c>
      <c r="F22" s="19" t="s">
        <v>140</v>
      </c>
      <c r="G22" s="10" t="s">
        <v>6</v>
      </c>
      <c r="H22" s="11">
        <v>6500</v>
      </c>
    </row>
    <row r="23" spans="1:8" ht="20.100000000000001" customHeight="1" x14ac:dyDescent="0.25">
      <c r="A23" s="84"/>
      <c r="B23" s="2">
        <v>45387</v>
      </c>
      <c r="C23" s="3">
        <v>3154657306</v>
      </c>
      <c r="D23" s="3">
        <v>8</v>
      </c>
      <c r="E23" s="19" t="s">
        <v>493</v>
      </c>
      <c r="F23" s="19" t="s">
        <v>494</v>
      </c>
      <c r="G23" s="10" t="s">
        <v>7</v>
      </c>
      <c r="H23" s="11">
        <v>6500</v>
      </c>
    </row>
    <row r="24" spans="1:8" ht="20.100000000000001" customHeight="1" x14ac:dyDescent="0.25">
      <c r="A24" s="84"/>
      <c r="B24" s="2">
        <v>45390</v>
      </c>
      <c r="C24" s="3">
        <v>654198680</v>
      </c>
      <c r="D24" s="3">
        <v>8</v>
      </c>
      <c r="E24" s="19" t="s">
        <v>495</v>
      </c>
      <c r="F24" s="19" t="s">
        <v>496</v>
      </c>
      <c r="G24" s="10" t="s">
        <v>6</v>
      </c>
      <c r="H24" s="11">
        <v>6500</v>
      </c>
    </row>
    <row r="25" spans="1:8" ht="15.75" x14ac:dyDescent="0.25">
      <c r="A25" s="84"/>
      <c r="B25" s="2">
        <v>45400</v>
      </c>
      <c r="C25" s="3">
        <v>1913340522</v>
      </c>
      <c r="D25" s="3">
        <v>8</v>
      </c>
      <c r="E25" s="19" t="s">
        <v>497</v>
      </c>
      <c r="F25" s="19" t="s">
        <v>498</v>
      </c>
      <c r="G25" s="10" t="s">
        <v>7</v>
      </c>
      <c r="H25" s="11">
        <v>6500</v>
      </c>
    </row>
    <row r="26" spans="1:8" ht="20.100000000000001" customHeight="1" x14ac:dyDescent="0.25">
      <c r="A26" s="84"/>
      <c r="B26" s="2">
        <v>45405</v>
      </c>
      <c r="C26" s="3">
        <v>1550797207</v>
      </c>
      <c r="D26" s="3">
        <v>8</v>
      </c>
      <c r="E26" s="19" t="s">
        <v>487</v>
      </c>
      <c r="F26" s="19" t="s">
        <v>499</v>
      </c>
      <c r="G26" s="10" t="s">
        <v>7</v>
      </c>
      <c r="H26" s="11">
        <v>6500</v>
      </c>
    </row>
    <row r="27" spans="1:8" ht="20.100000000000001" customHeight="1" x14ac:dyDescent="0.25">
      <c r="A27" s="84"/>
      <c r="B27" s="2">
        <v>45414</v>
      </c>
      <c r="C27" s="3">
        <v>606227387</v>
      </c>
      <c r="D27" s="3">
        <v>8</v>
      </c>
      <c r="E27" s="19" t="s">
        <v>584</v>
      </c>
      <c r="F27" s="19" t="s">
        <v>591</v>
      </c>
      <c r="G27" s="10" t="s">
        <v>7</v>
      </c>
      <c r="H27" s="11">
        <v>6500</v>
      </c>
    </row>
    <row r="28" spans="1:8" ht="20.100000000000001" customHeight="1" x14ac:dyDescent="0.25">
      <c r="A28" s="84"/>
      <c r="B28" s="2">
        <v>45421</v>
      </c>
      <c r="C28" s="3">
        <v>1532317632</v>
      </c>
      <c r="D28" s="3">
        <v>7</v>
      </c>
      <c r="E28" s="19" t="s">
        <v>570</v>
      </c>
      <c r="F28" s="19" t="s">
        <v>140</v>
      </c>
      <c r="G28" s="10" t="s">
        <v>7</v>
      </c>
      <c r="H28" s="11">
        <v>6013</v>
      </c>
    </row>
    <row r="29" spans="1:8" ht="20.100000000000001" customHeight="1" x14ac:dyDescent="0.25">
      <c r="A29" s="84"/>
      <c r="B29" s="2">
        <v>45421</v>
      </c>
      <c r="C29" s="3">
        <v>1532317632</v>
      </c>
      <c r="D29" s="3">
        <v>1</v>
      </c>
      <c r="E29" s="19" t="s">
        <v>570</v>
      </c>
      <c r="F29" s="19" t="s">
        <v>140</v>
      </c>
      <c r="G29" s="10" t="s">
        <v>7</v>
      </c>
      <c r="H29" s="11">
        <v>862</v>
      </c>
    </row>
    <row r="30" spans="1:8" ht="20.100000000000001" customHeight="1" x14ac:dyDescent="0.25">
      <c r="A30" s="84"/>
      <c r="B30" s="2">
        <v>45426</v>
      </c>
      <c r="C30" s="3">
        <v>1007568992</v>
      </c>
      <c r="D30" s="3">
        <v>8</v>
      </c>
      <c r="E30" s="19" t="s">
        <v>586</v>
      </c>
      <c r="F30" s="19" t="s">
        <v>592</v>
      </c>
      <c r="G30" s="10" t="s">
        <v>19</v>
      </c>
      <c r="H30" s="11">
        <v>6500</v>
      </c>
    </row>
    <row r="31" spans="1:8" ht="20.100000000000001" customHeight="1" x14ac:dyDescent="0.25">
      <c r="A31" s="84"/>
      <c r="B31" s="2">
        <v>45426</v>
      </c>
      <c r="C31" s="3">
        <v>1132217046</v>
      </c>
      <c r="D31" s="3">
        <v>8</v>
      </c>
      <c r="E31" s="19" t="s">
        <v>587</v>
      </c>
      <c r="F31" s="19" t="s">
        <v>593</v>
      </c>
      <c r="G31" s="10" t="s">
        <v>19</v>
      </c>
      <c r="H31" s="11">
        <v>6500</v>
      </c>
    </row>
    <row r="32" spans="1:8" ht="20.100000000000001" customHeight="1" x14ac:dyDescent="0.25">
      <c r="A32" s="84"/>
      <c r="B32" s="2">
        <v>45427</v>
      </c>
      <c r="C32" s="3">
        <v>781666716</v>
      </c>
      <c r="D32" s="3">
        <v>8</v>
      </c>
      <c r="E32" s="19" t="s">
        <v>594</v>
      </c>
      <c r="F32" s="19" t="s">
        <v>595</v>
      </c>
      <c r="G32" s="10" t="s">
        <v>19</v>
      </c>
      <c r="H32" s="11">
        <v>6500</v>
      </c>
    </row>
    <row r="33" spans="1:8" ht="20.100000000000001" customHeight="1" x14ac:dyDescent="0.25">
      <c r="A33" s="84"/>
      <c r="B33" s="2">
        <v>45440</v>
      </c>
      <c r="C33" s="3">
        <v>286345551</v>
      </c>
      <c r="D33" s="3">
        <v>8</v>
      </c>
      <c r="E33" s="19" t="s">
        <v>596</v>
      </c>
      <c r="F33" s="19" t="s">
        <v>597</v>
      </c>
      <c r="G33" s="10" t="s">
        <v>7</v>
      </c>
      <c r="H33" s="11">
        <v>6500</v>
      </c>
    </row>
    <row r="34" spans="1:8" ht="20.100000000000001" customHeight="1" x14ac:dyDescent="0.25">
      <c r="A34" s="84"/>
      <c r="B34" s="2">
        <v>45441</v>
      </c>
      <c r="C34" s="3">
        <v>1952337598</v>
      </c>
      <c r="D34" s="3">
        <v>8</v>
      </c>
      <c r="E34" s="19" t="s">
        <v>598</v>
      </c>
      <c r="F34" s="19" t="s">
        <v>599</v>
      </c>
      <c r="G34" s="10" t="s">
        <v>7</v>
      </c>
      <c r="H34" s="11">
        <v>6500</v>
      </c>
    </row>
    <row r="35" spans="1:8" ht="20.100000000000001" customHeight="1" x14ac:dyDescent="0.25">
      <c r="A35" s="84"/>
      <c r="B35" s="2">
        <v>45443</v>
      </c>
      <c r="C35" s="3">
        <v>2195541330</v>
      </c>
      <c r="D35" s="3">
        <v>4</v>
      </c>
      <c r="E35" s="19" t="s">
        <v>600</v>
      </c>
      <c r="F35" s="19" t="s">
        <v>140</v>
      </c>
      <c r="G35" s="10" t="s">
        <v>7</v>
      </c>
      <c r="H35" s="11">
        <v>3250</v>
      </c>
    </row>
    <row r="36" spans="1:8" ht="20.100000000000001" customHeight="1" x14ac:dyDescent="0.25">
      <c r="A36" s="84"/>
      <c r="B36" s="2">
        <v>45443</v>
      </c>
      <c r="C36" s="3">
        <v>2195541330</v>
      </c>
      <c r="D36" s="3">
        <v>4</v>
      </c>
      <c r="E36" s="19" t="s">
        <v>600</v>
      </c>
      <c r="F36" s="19" t="s">
        <v>601</v>
      </c>
      <c r="G36" s="10" t="s">
        <v>7</v>
      </c>
      <c r="H36" s="11">
        <v>3250</v>
      </c>
    </row>
    <row r="37" spans="1:8" ht="20.100000000000001" customHeight="1" x14ac:dyDescent="0.25">
      <c r="A37" s="84"/>
      <c r="B37" s="2">
        <v>45460</v>
      </c>
      <c r="C37" s="3">
        <v>2626440107</v>
      </c>
      <c r="D37" s="3">
        <v>8</v>
      </c>
      <c r="E37" s="19" t="s">
        <v>685</v>
      </c>
      <c r="F37" s="19" t="s">
        <v>234</v>
      </c>
      <c r="G37" s="10" t="s">
        <v>19</v>
      </c>
      <c r="H37" s="11">
        <v>6500</v>
      </c>
    </row>
    <row r="38" spans="1:8" ht="20.100000000000001" customHeight="1" x14ac:dyDescent="0.25">
      <c r="A38" s="84"/>
      <c r="B38" s="2">
        <v>45461</v>
      </c>
      <c r="C38" s="3">
        <v>696404302</v>
      </c>
      <c r="D38" s="3">
        <v>5</v>
      </c>
      <c r="E38" s="19" t="s">
        <v>686</v>
      </c>
      <c r="F38" s="19" t="s">
        <v>231</v>
      </c>
      <c r="G38" s="10" t="s">
        <v>7</v>
      </c>
      <c r="H38" s="11">
        <v>3165</v>
      </c>
    </row>
    <row r="39" spans="1:8" ht="20.100000000000001" customHeight="1" x14ac:dyDescent="0.25">
      <c r="A39" s="84"/>
      <c r="B39" s="2">
        <v>45461</v>
      </c>
      <c r="C39" s="3">
        <v>696404302</v>
      </c>
      <c r="D39" s="3">
        <v>1</v>
      </c>
      <c r="E39" s="19" t="s">
        <v>686</v>
      </c>
      <c r="F39" s="19" t="s">
        <v>231</v>
      </c>
      <c r="G39" s="10" t="s">
        <v>7</v>
      </c>
      <c r="H39" s="11">
        <v>635</v>
      </c>
    </row>
    <row r="40" spans="1:8" ht="20.100000000000001" customHeight="1" x14ac:dyDescent="0.25">
      <c r="A40" s="84"/>
      <c r="B40" s="2">
        <v>45463</v>
      </c>
      <c r="C40" s="3">
        <v>971524928</v>
      </c>
      <c r="D40" s="3">
        <v>8</v>
      </c>
      <c r="E40" s="19" t="s">
        <v>687</v>
      </c>
      <c r="F40" s="19" t="s">
        <v>688</v>
      </c>
      <c r="G40" s="10" t="s">
        <v>7</v>
      </c>
      <c r="H40" s="11">
        <v>6500</v>
      </c>
    </row>
    <row r="41" spans="1:8" ht="20.100000000000001" customHeight="1" x14ac:dyDescent="0.25">
      <c r="A41" s="84"/>
      <c r="B41" s="2">
        <v>45470</v>
      </c>
      <c r="C41" s="3">
        <v>1328628153</v>
      </c>
      <c r="D41" s="3">
        <v>5</v>
      </c>
      <c r="E41" s="19" t="s">
        <v>689</v>
      </c>
      <c r="F41" s="19" t="s">
        <v>231</v>
      </c>
      <c r="G41" s="10" t="s">
        <v>7</v>
      </c>
      <c r="H41" s="11">
        <v>3165</v>
      </c>
    </row>
    <row r="42" spans="1:8" ht="20.100000000000001" customHeight="1" x14ac:dyDescent="0.25">
      <c r="A42" s="84"/>
      <c r="B42" s="2">
        <v>45470</v>
      </c>
      <c r="C42" s="3">
        <v>1328628153</v>
      </c>
      <c r="D42" s="3">
        <v>1</v>
      </c>
      <c r="E42" s="19" t="s">
        <v>689</v>
      </c>
      <c r="F42" s="19" t="s">
        <v>231</v>
      </c>
      <c r="G42" s="10" t="s">
        <v>7</v>
      </c>
      <c r="H42" s="11">
        <v>635</v>
      </c>
    </row>
    <row r="43" spans="1:8" ht="20.100000000000001" customHeight="1" x14ac:dyDescent="0.25">
      <c r="A43" s="84"/>
      <c r="B43" s="2">
        <v>45471</v>
      </c>
      <c r="C43" s="3">
        <v>4118365249</v>
      </c>
      <c r="D43" s="3">
        <v>8</v>
      </c>
      <c r="E43" s="19" t="s">
        <v>690</v>
      </c>
      <c r="F43" s="19" t="s">
        <v>691</v>
      </c>
      <c r="G43" s="10" t="s">
        <v>7</v>
      </c>
      <c r="H43" s="11">
        <v>6500</v>
      </c>
    </row>
    <row r="44" spans="1:8" ht="20.100000000000001" customHeight="1" x14ac:dyDescent="0.25">
      <c r="A44" s="84"/>
      <c r="B44" s="2">
        <v>45471</v>
      </c>
      <c r="C44" s="3">
        <v>4109845121</v>
      </c>
      <c r="D44" s="3">
        <v>8</v>
      </c>
      <c r="E44" s="19" t="s">
        <v>683</v>
      </c>
      <c r="F44" s="19" t="s">
        <v>692</v>
      </c>
      <c r="G44" s="10" t="s">
        <v>10</v>
      </c>
      <c r="H44" s="11">
        <v>6500</v>
      </c>
    </row>
    <row r="45" spans="1:8" ht="20.100000000000001" customHeight="1" x14ac:dyDescent="0.25">
      <c r="A45" s="84"/>
      <c r="B45" s="2">
        <v>45485</v>
      </c>
      <c r="C45" s="3">
        <v>2204516391</v>
      </c>
      <c r="D45" s="3">
        <v>5</v>
      </c>
      <c r="E45" s="4" t="s">
        <v>786</v>
      </c>
      <c r="F45" s="19" t="s">
        <v>787</v>
      </c>
      <c r="G45" s="5" t="s">
        <v>6</v>
      </c>
      <c r="H45" s="6">
        <v>3165</v>
      </c>
    </row>
    <row r="46" spans="1:8" ht="20.100000000000001" customHeight="1" x14ac:dyDescent="0.25">
      <c r="A46" s="84"/>
      <c r="B46" s="2">
        <v>45485</v>
      </c>
      <c r="C46" s="3">
        <v>2204516391</v>
      </c>
      <c r="D46" s="3">
        <v>1</v>
      </c>
      <c r="E46" s="4" t="s">
        <v>786</v>
      </c>
      <c r="F46" s="19" t="s">
        <v>787</v>
      </c>
      <c r="G46" s="5" t="s">
        <v>6</v>
      </c>
      <c r="H46" s="6">
        <v>635</v>
      </c>
    </row>
    <row r="47" spans="1:8" ht="20.100000000000001" customHeight="1" x14ac:dyDescent="0.25">
      <c r="A47" s="84"/>
      <c r="B47" s="2">
        <v>45506</v>
      </c>
      <c r="C47" s="3">
        <v>162480219</v>
      </c>
      <c r="D47" s="3">
        <v>8</v>
      </c>
      <c r="E47" s="4" t="s">
        <v>883</v>
      </c>
      <c r="F47" s="19" t="s">
        <v>911</v>
      </c>
      <c r="G47" s="5" t="s">
        <v>7</v>
      </c>
      <c r="H47" s="6">
        <v>6500</v>
      </c>
    </row>
    <row r="48" spans="1:8" ht="15.75" x14ac:dyDescent="0.25">
      <c r="A48" s="84"/>
      <c r="B48" s="2">
        <v>45511</v>
      </c>
      <c r="C48" s="3">
        <v>1880312377</v>
      </c>
      <c r="D48" s="3">
        <v>2</v>
      </c>
      <c r="E48" s="4" t="s">
        <v>912</v>
      </c>
      <c r="F48" s="19" t="s">
        <v>913</v>
      </c>
      <c r="G48" s="5" t="s">
        <v>13</v>
      </c>
      <c r="H48" s="6">
        <v>1624</v>
      </c>
    </row>
    <row r="49" spans="1:8" ht="20.100000000000001" customHeight="1" x14ac:dyDescent="0.25">
      <c r="A49" s="84"/>
      <c r="B49" s="2">
        <v>45511</v>
      </c>
      <c r="C49" s="3">
        <v>1880312377</v>
      </c>
      <c r="D49" s="3">
        <v>1</v>
      </c>
      <c r="E49" s="4" t="s">
        <v>912</v>
      </c>
      <c r="F49" s="19" t="s">
        <v>913</v>
      </c>
      <c r="G49" s="5" t="s">
        <v>13</v>
      </c>
      <c r="H49" s="6">
        <v>813</v>
      </c>
    </row>
    <row r="50" spans="1:8" ht="20.100000000000001" customHeight="1" x14ac:dyDescent="0.25">
      <c r="A50" s="84"/>
      <c r="B50" s="2">
        <v>45556</v>
      </c>
      <c r="C50" s="3">
        <v>157538858</v>
      </c>
      <c r="D50" s="3">
        <v>5</v>
      </c>
      <c r="E50" s="4" t="s">
        <v>914</v>
      </c>
      <c r="F50" s="19" t="s">
        <v>231</v>
      </c>
      <c r="G50" s="5" t="s">
        <v>19</v>
      </c>
      <c r="H50" s="6">
        <v>3165</v>
      </c>
    </row>
    <row r="51" spans="1:8" ht="20.100000000000001" customHeight="1" x14ac:dyDescent="0.25">
      <c r="A51" s="84"/>
      <c r="B51" s="2">
        <v>45556</v>
      </c>
      <c r="C51" s="3">
        <v>157538858</v>
      </c>
      <c r="D51" s="3">
        <v>1</v>
      </c>
      <c r="E51" s="4" t="s">
        <v>914</v>
      </c>
      <c r="F51" s="19" t="s">
        <v>231</v>
      </c>
      <c r="G51" s="5" t="s">
        <v>19</v>
      </c>
      <c r="H51" s="6">
        <v>635</v>
      </c>
    </row>
    <row r="52" spans="1:8" ht="20.100000000000001" customHeight="1" x14ac:dyDescent="0.25">
      <c r="A52" s="84"/>
      <c r="B52" s="2" t="s">
        <v>898</v>
      </c>
      <c r="C52" s="3">
        <v>2854306162</v>
      </c>
      <c r="D52" s="3">
        <v>8</v>
      </c>
      <c r="E52" s="4" t="s">
        <v>915</v>
      </c>
      <c r="F52" s="19" t="s">
        <v>140</v>
      </c>
      <c r="G52" s="5" t="s">
        <v>7</v>
      </c>
      <c r="H52" s="6">
        <v>6500</v>
      </c>
    </row>
    <row r="53" spans="1:8" ht="20.100000000000001" customHeight="1" x14ac:dyDescent="0.25">
      <c r="A53" s="84"/>
      <c r="B53" s="2">
        <v>45544</v>
      </c>
      <c r="C53" s="3">
        <v>1271613573</v>
      </c>
      <c r="D53" s="3">
        <v>8</v>
      </c>
      <c r="E53" s="4" t="s">
        <v>972</v>
      </c>
      <c r="F53" s="19" t="s">
        <v>981</v>
      </c>
      <c r="G53" s="5" t="s">
        <v>7</v>
      </c>
      <c r="H53" s="6">
        <v>6500</v>
      </c>
    </row>
    <row r="54" spans="1:8" ht="20.100000000000001" customHeight="1" x14ac:dyDescent="0.25">
      <c r="A54" s="84"/>
      <c r="B54" s="2">
        <v>45546</v>
      </c>
      <c r="C54" s="3">
        <v>335039904</v>
      </c>
      <c r="D54" s="3">
        <v>5</v>
      </c>
      <c r="E54" s="4" t="s">
        <v>982</v>
      </c>
      <c r="F54" s="19" t="s">
        <v>231</v>
      </c>
      <c r="G54" s="5" t="s">
        <v>7</v>
      </c>
      <c r="H54" s="6">
        <v>3165</v>
      </c>
    </row>
    <row r="55" spans="1:8" ht="20.100000000000001" customHeight="1" x14ac:dyDescent="0.25">
      <c r="A55" s="84"/>
      <c r="B55" s="2">
        <v>45546</v>
      </c>
      <c r="C55" s="3">
        <v>335039904</v>
      </c>
      <c r="D55" s="3">
        <v>1</v>
      </c>
      <c r="E55" s="4" t="s">
        <v>982</v>
      </c>
      <c r="F55" s="19" t="s">
        <v>231</v>
      </c>
      <c r="G55" s="5" t="s">
        <v>7</v>
      </c>
      <c r="H55" s="6">
        <v>635</v>
      </c>
    </row>
    <row r="56" spans="1:8" ht="20.100000000000001" customHeight="1" x14ac:dyDescent="0.25">
      <c r="A56" s="84"/>
      <c r="B56" s="2">
        <v>45555</v>
      </c>
      <c r="C56" s="3">
        <v>81545079</v>
      </c>
      <c r="D56" s="3">
        <v>8</v>
      </c>
      <c r="E56" s="4" t="s">
        <v>983</v>
      </c>
      <c r="F56" s="19" t="s">
        <v>984</v>
      </c>
      <c r="G56" s="5" t="s">
        <v>7</v>
      </c>
      <c r="H56" s="6">
        <v>6500</v>
      </c>
    </row>
    <row r="57" spans="1:8" ht="20.100000000000001" customHeight="1" x14ac:dyDescent="0.25">
      <c r="A57" s="84"/>
      <c r="B57" s="2">
        <v>45560</v>
      </c>
      <c r="C57" s="3">
        <v>3055439433</v>
      </c>
      <c r="D57" s="3">
        <v>8</v>
      </c>
      <c r="E57" s="4" t="s">
        <v>985</v>
      </c>
      <c r="F57" s="19" t="s">
        <v>986</v>
      </c>
      <c r="G57" s="5" t="s">
        <v>7</v>
      </c>
      <c r="H57" s="6">
        <v>6500</v>
      </c>
    </row>
    <row r="58" spans="1:8" ht="20.100000000000001" customHeight="1" x14ac:dyDescent="0.25">
      <c r="A58" s="84"/>
      <c r="B58" s="2">
        <v>45576</v>
      </c>
      <c r="C58" s="3">
        <v>3519170775</v>
      </c>
      <c r="D58" s="3">
        <v>8</v>
      </c>
      <c r="E58" s="4" t="s">
        <v>1054</v>
      </c>
      <c r="F58" s="19" t="s">
        <v>146</v>
      </c>
      <c r="G58" s="5" t="s">
        <v>10</v>
      </c>
      <c r="H58" s="6">
        <v>6500</v>
      </c>
    </row>
    <row r="59" spans="1:8" ht="20.100000000000001" customHeight="1" x14ac:dyDescent="0.25">
      <c r="A59" s="84"/>
      <c r="B59" s="2">
        <v>45576</v>
      </c>
      <c r="C59" s="3">
        <v>3519170775</v>
      </c>
      <c r="D59" s="3">
        <v>1</v>
      </c>
      <c r="E59" s="4" t="s">
        <v>1054</v>
      </c>
      <c r="F59" s="19" t="s">
        <v>1061</v>
      </c>
      <c r="G59" s="5" t="s">
        <v>10</v>
      </c>
      <c r="H59" s="6">
        <v>100</v>
      </c>
    </row>
    <row r="60" spans="1:8" ht="20.100000000000001" customHeight="1" x14ac:dyDescent="0.25">
      <c r="A60" s="84"/>
      <c r="B60" s="2">
        <v>45582</v>
      </c>
      <c r="C60" s="3">
        <v>3135849503</v>
      </c>
      <c r="D60" s="3">
        <v>6</v>
      </c>
      <c r="E60" s="4" t="s">
        <v>1062</v>
      </c>
      <c r="F60" s="19" t="s">
        <v>231</v>
      </c>
      <c r="G60" s="5" t="s">
        <v>7</v>
      </c>
      <c r="H60" s="6">
        <v>3900</v>
      </c>
    </row>
    <row r="61" spans="1:8" ht="20.100000000000001" customHeight="1" x14ac:dyDescent="0.25">
      <c r="A61" s="84"/>
      <c r="B61" s="2">
        <v>45588</v>
      </c>
      <c r="C61" s="3">
        <v>2549305079</v>
      </c>
      <c r="D61" s="3">
        <v>8</v>
      </c>
      <c r="E61" s="4" t="s">
        <v>265</v>
      </c>
      <c r="F61" s="19" t="s">
        <v>1063</v>
      </c>
      <c r="G61" s="5" t="s">
        <v>7</v>
      </c>
      <c r="H61" s="6">
        <v>6500</v>
      </c>
    </row>
    <row r="62" spans="1:8" ht="20.100000000000001" customHeight="1" x14ac:dyDescent="0.25">
      <c r="A62" s="84"/>
      <c r="B62" s="2">
        <v>45590</v>
      </c>
      <c r="C62" s="3">
        <v>3811854562</v>
      </c>
      <c r="D62" s="3">
        <v>8</v>
      </c>
      <c r="E62" s="4" t="s">
        <v>789</v>
      </c>
      <c r="F62" s="19" t="s">
        <v>140</v>
      </c>
      <c r="G62" s="5" t="s">
        <v>7</v>
      </c>
      <c r="H62" s="6">
        <v>6500</v>
      </c>
    </row>
    <row r="63" spans="1:8" ht="20.100000000000001" customHeight="1" x14ac:dyDescent="0.25">
      <c r="A63" s="84"/>
      <c r="B63" s="2">
        <v>45614</v>
      </c>
      <c r="C63" s="3">
        <v>3523429021</v>
      </c>
      <c r="D63" s="3">
        <v>8</v>
      </c>
      <c r="E63" s="4" t="s">
        <v>1152</v>
      </c>
      <c r="F63" s="19" t="s">
        <v>146</v>
      </c>
      <c r="G63" s="5" t="s">
        <v>7</v>
      </c>
      <c r="H63" s="6">
        <v>6500</v>
      </c>
    </row>
    <row r="64" spans="1:8" ht="20.100000000000001" customHeight="1" x14ac:dyDescent="0.25">
      <c r="A64" s="84"/>
      <c r="B64" s="2">
        <v>45624</v>
      </c>
      <c r="C64" s="3">
        <v>2682211199</v>
      </c>
      <c r="D64" s="3">
        <v>2</v>
      </c>
      <c r="E64" s="4" t="s">
        <v>1153</v>
      </c>
      <c r="F64" s="19" t="s">
        <v>1154</v>
      </c>
      <c r="G64" s="5" t="s">
        <v>11</v>
      </c>
      <c r="H64" s="6">
        <v>1625</v>
      </c>
    </row>
    <row r="65" spans="1:8" ht="20.100000000000001" customHeight="1" x14ac:dyDescent="0.25">
      <c r="A65" s="84"/>
      <c r="B65" s="2">
        <v>45624</v>
      </c>
      <c r="C65" s="3">
        <v>3836428379</v>
      </c>
      <c r="D65" s="3">
        <v>3</v>
      </c>
      <c r="E65" s="4" t="s">
        <v>1153</v>
      </c>
      <c r="F65" s="19" t="s">
        <v>1154</v>
      </c>
      <c r="G65" s="5" t="s">
        <v>11</v>
      </c>
      <c r="H65" s="6">
        <v>2437.5</v>
      </c>
    </row>
    <row r="66" spans="1:8" ht="20.100000000000001" customHeight="1" x14ac:dyDescent="0.25">
      <c r="A66" s="84"/>
      <c r="B66" s="2">
        <v>45624</v>
      </c>
      <c r="C66" s="3">
        <v>3050719855</v>
      </c>
      <c r="D66" s="3">
        <v>3</v>
      </c>
      <c r="E66" s="4" t="s">
        <v>1153</v>
      </c>
      <c r="F66" s="19" t="s">
        <v>1154</v>
      </c>
      <c r="G66" s="5" t="s">
        <v>11</v>
      </c>
      <c r="H66" s="6">
        <v>2437.5</v>
      </c>
    </row>
    <row r="67" spans="1:8" ht="20.100000000000001" customHeight="1" x14ac:dyDescent="0.25">
      <c r="A67" s="84"/>
      <c r="B67" s="2">
        <v>45625</v>
      </c>
      <c r="C67" s="3">
        <v>931810472</v>
      </c>
      <c r="D67" s="3">
        <v>8</v>
      </c>
      <c r="E67" s="4" t="s">
        <v>1155</v>
      </c>
      <c r="F67" s="19" t="s">
        <v>1156</v>
      </c>
      <c r="G67" s="5" t="s">
        <v>6</v>
      </c>
      <c r="H67" s="6">
        <v>6500</v>
      </c>
    </row>
    <row r="68" spans="1:8" ht="20.100000000000001" customHeight="1" x14ac:dyDescent="0.25">
      <c r="A68" s="84"/>
      <c r="B68" s="2">
        <v>45629</v>
      </c>
      <c r="C68" s="3">
        <v>2951040209</v>
      </c>
      <c r="D68" s="3">
        <v>8</v>
      </c>
      <c r="E68" s="4" t="s">
        <v>1253</v>
      </c>
      <c r="F68" s="19" t="s">
        <v>144</v>
      </c>
      <c r="G68" s="5" t="s">
        <v>7</v>
      </c>
      <c r="H68" s="6">
        <v>6500</v>
      </c>
    </row>
    <row r="69" spans="1:8" ht="20.100000000000001" customHeight="1" x14ac:dyDescent="0.25">
      <c r="A69" s="84"/>
      <c r="B69" s="2">
        <v>45639</v>
      </c>
      <c r="C69" s="3">
        <v>390939710</v>
      </c>
      <c r="D69" s="3">
        <v>8</v>
      </c>
      <c r="E69" s="4" t="s">
        <v>493</v>
      </c>
      <c r="F69" s="19" t="s">
        <v>1254</v>
      </c>
      <c r="G69" s="5" t="s">
        <v>7</v>
      </c>
      <c r="H69" s="6">
        <v>6500</v>
      </c>
    </row>
    <row r="70" spans="1:8" ht="20.100000000000001" customHeight="1" x14ac:dyDescent="0.25">
      <c r="A70" s="84"/>
      <c r="B70" s="2">
        <v>45639</v>
      </c>
      <c r="C70" s="3">
        <v>390939710</v>
      </c>
      <c r="D70" s="3">
        <v>4</v>
      </c>
      <c r="E70" s="4" t="s">
        <v>493</v>
      </c>
      <c r="F70" s="19" t="s">
        <v>601</v>
      </c>
      <c r="G70" s="5" t="s">
        <v>7</v>
      </c>
      <c r="H70" s="6">
        <v>3250</v>
      </c>
    </row>
    <row r="71" spans="1:8" ht="20.100000000000001" customHeight="1" x14ac:dyDescent="0.25">
      <c r="A71" s="84"/>
      <c r="B71" s="2"/>
      <c r="C71" s="3"/>
      <c r="D71" s="3"/>
      <c r="E71" s="19"/>
      <c r="F71" s="19"/>
      <c r="G71" s="10"/>
      <c r="H71" s="11"/>
    </row>
    <row r="72" spans="1:8" ht="20.100000000000001" customHeight="1" x14ac:dyDescent="0.25">
      <c r="A72" s="84"/>
      <c r="B72" s="2"/>
      <c r="C72" s="3"/>
      <c r="D72" s="3"/>
      <c r="E72" s="19"/>
      <c r="F72" s="19"/>
      <c r="G72" s="10"/>
      <c r="H72" s="11"/>
    </row>
    <row r="73" spans="1:8" ht="20.100000000000001" customHeight="1" x14ac:dyDescent="0.25">
      <c r="A73" s="84"/>
      <c r="B73" s="2"/>
      <c r="C73" s="3"/>
      <c r="D73" s="3"/>
      <c r="E73" s="19"/>
      <c r="F73" s="19"/>
      <c r="G73" s="10"/>
      <c r="H73" s="11"/>
    </row>
    <row r="74" spans="1:8" ht="20.100000000000001" customHeight="1" x14ac:dyDescent="0.25">
      <c r="A74" s="84"/>
      <c r="B74" s="2"/>
      <c r="C74" s="3"/>
      <c r="D74" s="3"/>
      <c r="E74" s="19"/>
      <c r="F74" s="19"/>
      <c r="G74" s="10"/>
      <c r="H74" s="11"/>
    </row>
    <row r="75" spans="1:8" ht="20.100000000000001" customHeight="1" x14ac:dyDescent="0.25">
      <c r="A75" s="84"/>
      <c r="B75" s="2"/>
      <c r="C75" s="3"/>
      <c r="D75" s="3"/>
      <c r="E75" s="19"/>
      <c r="F75" s="54"/>
      <c r="G75" s="10"/>
      <c r="H75" s="11"/>
    </row>
    <row r="76" spans="1:8" ht="20.100000000000001" customHeight="1" x14ac:dyDescent="0.25">
      <c r="A76" s="84"/>
      <c r="B76" s="2"/>
      <c r="C76" s="3"/>
      <c r="D76" s="3"/>
      <c r="E76" s="19"/>
      <c r="F76" s="19"/>
      <c r="G76" s="10"/>
      <c r="H76" s="11"/>
    </row>
    <row r="77" spans="1:8" ht="20.100000000000001" customHeight="1" x14ac:dyDescent="0.25">
      <c r="A77" s="84"/>
      <c r="B77" s="2"/>
      <c r="C77" s="3"/>
      <c r="D77" s="3"/>
      <c r="E77" s="19"/>
      <c r="F77" s="19"/>
      <c r="G77" s="10"/>
      <c r="H77" s="11"/>
    </row>
    <row r="78" spans="1:8" ht="20.100000000000001" customHeight="1" x14ac:dyDescent="0.25">
      <c r="A78" s="84"/>
      <c r="B78" s="2"/>
      <c r="C78" s="3"/>
      <c r="D78" s="3"/>
      <c r="E78" s="19"/>
      <c r="F78" s="19"/>
      <c r="G78" s="10"/>
      <c r="H78" s="11"/>
    </row>
    <row r="79" spans="1:8" ht="15.75" x14ac:dyDescent="0.25">
      <c r="A79" s="85"/>
      <c r="B79" s="13"/>
      <c r="C79" s="14"/>
      <c r="D79" s="14"/>
      <c r="E79" s="14" t="s">
        <v>5</v>
      </c>
      <c r="F79" s="15"/>
      <c r="G79" s="16"/>
      <c r="H79" s="23">
        <f>SUM(H3:H78)</f>
        <v>332202.53999999998</v>
      </c>
    </row>
  </sheetData>
  <autoFilter ref="B1:H79" xr:uid="{00000000-0009-0000-0000-000006000000}"/>
  <mergeCells count="8">
    <mergeCell ref="A1:A79"/>
    <mergeCell ref="H1:H2"/>
    <mergeCell ref="B1:B2"/>
    <mergeCell ref="C1:C2"/>
    <mergeCell ref="D1:D2"/>
    <mergeCell ref="E1:E2"/>
    <mergeCell ref="F1:F2"/>
    <mergeCell ref="G1:G2"/>
  </mergeCells>
  <pageMargins left="0.7" right="0.7" top="0.75" bottom="0.75" header="0.3" footer="0.3"/>
  <pageSetup paperSize="9" orientation="portrait" horizontalDpi="120" verticalDpi="72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4"/>
  <sheetViews>
    <sheetView workbookViewId="0">
      <selection activeCell="F17" sqref="F17"/>
    </sheetView>
  </sheetViews>
  <sheetFormatPr baseColWidth="10" defaultColWidth="9.140625" defaultRowHeight="15" x14ac:dyDescent="0.25"/>
  <cols>
    <col min="1" max="1" width="16" customWidth="1"/>
    <col min="2" max="2" width="12.7109375" bestFit="1" customWidth="1"/>
    <col min="3" max="3" width="17.42578125" customWidth="1"/>
    <col min="4" max="4" width="11" customWidth="1"/>
    <col min="5" max="5" width="32.42578125" bestFit="1" customWidth="1"/>
    <col min="6" max="6" width="33" style="1" customWidth="1"/>
    <col min="7" max="7" width="16.140625" customWidth="1"/>
    <col min="8" max="8" width="14.28515625" bestFit="1" customWidth="1"/>
  </cols>
  <sheetData>
    <row r="1" spans="1:8" ht="15" customHeight="1" x14ac:dyDescent="0.25">
      <c r="A1" s="83" t="s">
        <v>16</v>
      </c>
      <c r="B1" s="81" t="s">
        <v>0</v>
      </c>
      <c r="C1" s="82" t="s">
        <v>1</v>
      </c>
      <c r="D1" s="82" t="s">
        <v>2</v>
      </c>
      <c r="E1" s="82" t="s">
        <v>3</v>
      </c>
      <c r="F1" s="82" t="s">
        <v>8</v>
      </c>
      <c r="G1" s="79" t="s">
        <v>4</v>
      </c>
      <c r="H1" s="80" t="s">
        <v>5</v>
      </c>
    </row>
    <row r="2" spans="1:8" ht="15" customHeight="1" x14ac:dyDescent="0.25">
      <c r="A2" s="84"/>
      <c r="B2" s="72"/>
      <c r="C2" s="74"/>
      <c r="D2" s="74"/>
      <c r="E2" s="74"/>
      <c r="F2" s="74"/>
      <c r="G2" s="68"/>
      <c r="H2" s="70"/>
    </row>
    <row r="3" spans="1:8" ht="15" customHeight="1" x14ac:dyDescent="0.25">
      <c r="A3" s="84"/>
      <c r="B3" s="53" t="s">
        <v>113</v>
      </c>
      <c r="C3" s="53" t="s">
        <v>113</v>
      </c>
      <c r="D3" s="53" t="s">
        <v>113</v>
      </c>
      <c r="E3" s="53" t="s">
        <v>113</v>
      </c>
      <c r="F3" s="53" t="s">
        <v>113</v>
      </c>
      <c r="G3" s="53" t="s">
        <v>113</v>
      </c>
      <c r="H3" s="11">
        <v>0</v>
      </c>
    </row>
    <row r="4" spans="1:8" ht="15.75" x14ac:dyDescent="0.25">
      <c r="A4" s="85"/>
      <c r="B4" s="13"/>
      <c r="C4" s="14"/>
      <c r="D4" s="14"/>
      <c r="E4" s="14" t="s">
        <v>5</v>
      </c>
      <c r="F4" s="15"/>
      <c r="G4" s="16"/>
      <c r="H4" s="23">
        <f>SUM(H3:H3)</f>
        <v>0</v>
      </c>
    </row>
  </sheetData>
  <mergeCells count="8">
    <mergeCell ref="A1:A4"/>
    <mergeCell ref="G1:G2"/>
    <mergeCell ref="H1:H2"/>
    <mergeCell ref="B1:B2"/>
    <mergeCell ref="C1:C2"/>
    <mergeCell ref="D1:D2"/>
    <mergeCell ref="E1:E2"/>
    <mergeCell ref="F1:F2"/>
  </mergeCells>
  <pageMargins left="0.7" right="0.7" top="0.75" bottom="0.75" header="0.3" footer="0.3"/>
  <pageSetup paperSize="9" orientation="portrait" horizontalDpi="120" verticalDpi="72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78"/>
  <sheetViews>
    <sheetView topLeftCell="A42" workbookViewId="0">
      <selection activeCell="F55" sqref="F55"/>
    </sheetView>
  </sheetViews>
  <sheetFormatPr baseColWidth="10" defaultColWidth="9.140625" defaultRowHeight="15" x14ac:dyDescent="0.25"/>
  <cols>
    <col min="1" max="1" width="20" bestFit="1" customWidth="1"/>
    <col min="2" max="2" width="12.7109375" bestFit="1" customWidth="1"/>
    <col min="3" max="3" width="17.42578125" customWidth="1"/>
    <col min="4" max="4" width="11" customWidth="1"/>
    <col min="5" max="5" width="32.42578125" bestFit="1" customWidth="1"/>
    <col min="6" max="6" width="32.85546875" style="1" bestFit="1" customWidth="1"/>
    <col min="7" max="7" width="16.140625" customWidth="1"/>
    <col min="8" max="8" width="14.28515625" bestFit="1" customWidth="1"/>
  </cols>
  <sheetData>
    <row r="1" spans="1:8" ht="15" customHeight="1" x14ac:dyDescent="0.25">
      <c r="A1" s="83" t="s">
        <v>18</v>
      </c>
      <c r="B1" s="81" t="s">
        <v>0</v>
      </c>
      <c r="C1" s="82" t="s">
        <v>1</v>
      </c>
      <c r="D1" s="82" t="s">
        <v>2</v>
      </c>
      <c r="E1" s="82" t="s">
        <v>3</v>
      </c>
      <c r="F1" s="82" t="s">
        <v>8</v>
      </c>
      <c r="G1" s="79" t="s">
        <v>4</v>
      </c>
      <c r="H1" s="80" t="s">
        <v>5</v>
      </c>
    </row>
    <row r="2" spans="1:8" ht="15" customHeight="1" x14ac:dyDescent="0.25">
      <c r="A2" s="84"/>
      <c r="B2" s="72"/>
      <c r="C2" s="74"/>
      <c r="D2" s="74"/>
      <c r="E2" s="74"/>
      <c r="F2" s="74"/>
      <c r="G2" s="68"/>
      <c r="H2" s="70"/>
    </row>
    <row r="3" spans="1:8" ht="20.100000000000001" customHeight="1" x14ac:dyDescent="0.25">
      <c r="A3" s="84"/>
      <c r="B3" s="2">
        <v>45296</v>
      </c>
      <c r="C3" s="3">
        <v>3954655538</v>
      </c>
      <c r="D3" s="3">
        <v>1</v>
      </c>
      <c r="E3" s="4" t="s">
        <v>95</v>
      </c>
      <c r="F3" s="19" t="s">
        <v>18</v>
      </c>
      <c r="G3" s="10" t="s">
        <v>19</v>
      </c>
      <c r="H3" s="11">
        <v>575</v>
      </c>
    </row>
    <row r="4" spans="1:8" ht="20.100000000000001" customHeight="1" x14ac:dyDescent="0.25">
      <c r="A4" s="84"/>
      <c r="B4" s="2">
        <v>45309</v>
      </c>
      <c r="C4" s="3">
        <v>2339393005</v>
      </c>
      <c r="D4" s="3">
        <v>5</v>
      </c>
      <c r="E4" s="4" t="s">
        <v>148</v>
      </c>
      <c r="F4" s="19" t="s">
        <v>18</v>
      </c>
      <c r="G4" s="10" t="s">
        <v>19</v>
      </c>
      <c r="H4" s="11">
        <v>2080</v>
      </c>
    </row>
    <row r="5" spans="1:8" ht="20.100000000000001" customHeight="1" x14ac:dyDescent="0.25">
      <c r="A5" s="84"/>
      <c r="B5" s="2">
        <v>45309</v>
      </c>
      <c r="C5" s="3">
        <v>2339393005</v>
      </c>
      <c r="D5" s="3">
        <v>1</v>
      </c>
      <c r="E5" s="4" t="s">
        <v>148</v>
      </c>
      <c r="F5" s="19" t="s">
        <v>18</v>
      </c>
      <c r="G5" s="10" t="s">
        <v>19</v>
      </c>
      <c r="H5" s="11">
        <v>420</v>
      </c>
    </row>
    <row r="6" spans="1:8" ht="20.100000000000001" customHeight="1" x14ac:dyDescent="0.25">
      <c r="A6" s="84"/>
      <c r="B6" s="2">
        <v>45330</v>
      </c>
      <c r="C6" s="3">
        <v>4281091856</v>
      </c>
      <c r="D6" s="3">
        <v>1</v>
      </c>
      <c r="E6" s="4" t="s">
        <v>235</v>
      </c>
      <c r="F6" s="4" t="s">
        <v>18</v>
      </c>
      <c r="G6" s="5" t="s">
        <v>6</v>
      </c>
      <c r="H6" s="6">
        <v>575</v>
      </c>
    </row>
    <row r="7" spans="1:8" ht="20.100000000000001" customHeight="1" x14ac:dyDescent="0.25">
      <c r="A7" s="84"/>
      <c r="B7" s="2">
        <v>45331</v>
      </c>
      <c r="C7" s="3">
        <v>3728426352</v>
      </c>
      <c r="D7" s="3">
        <v>1</v>
      </c>
      <c r="E7" s="4" t="s">
        <v>236</v>
      </c>
      <c r="F7" s="4" t="s">
        <v>18</v>
      </c>
      <c r="G7" s="5" t="s">
        <v>6</v>
      </c>
      <c r="H7" s="6">
        <v>575</v>
      </c>
    </row>
    <row r="8" spans="1:8" ht="20.100000000000001" customHeight="1" x14ac:dyDescent="0.25">
      <c r="A8" s="84"/>
      <c r="B8" s="2">
        <v>45331</v>
      </c>
      <c r="C8" s="3">
        <v>2962640147</v>
      </c>
      <c r="D8" s="3">
        <v>1</v>
      </c>
      <c r="E8" s="4" t="s">
        <v>237</v>
      </c>
      <c r="F8" s="4" t="s">
        <v>18</v>
      </c>
      <c r="G8" s="5" t="s">
        <v>6</v>
      </c>
      <c r="H8" s="6">
        <v>575</v>
      </c>
    </row>
    <row r="9" spans="1:8" ht="20.100000000000001" customHeight="1" x14ac:dyDescent="0.25">
      <c r="A9" s="84"/>
      <c r="B9" s="2">
        <v>45335</v>
      </c>
      <c r="C9" s="3">
        <v>3499772398</v>
      </c>
      <c r="D9" s="3">
        <v>1</v>
      </c>
      <c r="E9" s="4" t="s">
        <v>238</v>
      </c>
      <c r="F9" s="4" t="s">
        <v>18</v>
      </c>
      <c r="G9" s="5" t="s">
        <v>6</v>
      </c>
      <c r="H9" s="6">
        <v>450</v>
      </c>
    </row>
    <row r="10" spans="1:8" ht="20.100000000000001" customHeight="1" x14ac:dyDescent="0.25">
      <c r="A10" s="84"/>
      <c r="B10" s="2">
        <v>45357</v>
      </c>
      <c r="C10" s="3">
        <v>1423591430</v>
      </c>
      <c r="D10" s="3">
        <v>1</v>
      </c>
      <c r="E10" s="19" t="s">
        <v>324</v>
      </c>
      <c r="F10" s="19" t="s">
        <v>18</v>
      </c>
      <c r="G10" s="10" t="s">
        <v>7</v>
      </c>
      <c r="H10" s="11">
        <v>575</v>
      </c>
    </row>
    <row r="11" spans="1:8" ht="20.100000000000001" customHeight="1" x14ac:dyDescent="0.25">
      <c r="A11" s="84"/>
      <c r="B11" s="2">
        <v>45357</v>
      </c>
      <c r="C11" s="3">
        <v>2212382807</v>
      </c>
      <c r="D11" s="3">
        <v>1</v>
      </c>
      <c r="E11" s="19" t="s">
        <v>325</v>
      </c>
      <c r="F11" s="19" t="s">
        <v>18</v>
      </c>
      <c r="G11" s="10" t="s">
        <v>6</v>
      </c>
      <c r="H11" s="11">
        <v>575</v>
      </c>
    </row>
    <row r="12" spans="1:8" ht="30" x14ac:dyDescent="0.25">
      <c r="A12" s="84"/>
      <c r="B12" s="2">
        <v>45369</v>
      </c>
      <c r="C12" s="3">
        <v>3319939919</v>
      </c>
      <c r="D12" s="3">
        <v>1</v>
      </c>
      <c r="E12" s="19" t="s">
        <v>326</v>
      </c>
      <c r="F12" s="19" t="s">
        <v>327</v>
      </c>
      <c r="G12" s="10" t="s">
        <v>10</v>
      </c>
      <c r="H12" s="11">
        <v>600</v>
      </c>
    </row>
    <row r="13" spans="1:8" ht="20.100000000000001" customHeight="1" x14ac:dyDescent="0.25">
      <c r="A13" s="84"/>
      <c r="B13" s="2">
        <v>45385</v>
      </c>
      <c r="C13" s="3">
        <v>958548986</v>
      </c>
      <c r="D13" s="3">
        <v>1</v>
      </c>
      <c r="E13" s="19" t="s">
        <v>238</v>
      </c>
      <c r="F13" s="19" t="s">
        <v>18</v>
      </c>
      <c r="G13" s="10" t="s">
        <v>6</v>
      </c>
      <c r="H13" s="11">
        <v>450</v>
      </c>
    </row>
    <row r="14" spans="1:8" ht="20.100000000000001" customHeight="1" x14ac:dyDescent="0.25">
      <c r="A14" s="84"/>
      <c r="B14" s="2">
        <v>45390</v>
      </c>
      <c r="C14" s="3">
        <v>174279488</v>
      </c>
      <c r="D14" s="3">
        <v>1</v>
      </c>
      <c r="E14" s="19" t="s">
        <v>500</v>
      </c>
      <c r="F14" s="19" t="s">
        <v>18</v>
      </c>
      <c r="G14" s="10" t="s">
        <v>19</v>
      </c>
      <c r="H14" s="11">
        <v>287.5</v>
      </c>
    </row>
    <row r="15" spans="1:8" ht="20.100000000000001" customHeight="1" x14ac:dyDescent="0.25">
      <c r="A15" s="84"/>
      <c r="B15" s="2">
        <v>45390</v>
      </c>
      <c r="C15" s="3">
        <v>174279488</v>
      </c>
      <c r="D15" s="3">
        <v>1</v>
      </c>
      <c r="E15" s="19" t="s">
        <v>500</v>
      </c>
      <c r="F15" s="19" t="s">
        <v>18</v>
      </c>
      <c r="G15" s="10" t="s">
        <v>19</v>
      </c>
      <c r="H15" s="11">
        <v>287.5</v>
      </c>
    </row>
    <row r="16" spans="1:8" ht="20.100000000000001" customHeight="1" x14ac:dyDescent="0.25">
      <c r="A16" s="84"/>
      <c r="B16" s="2">
        <v>45411</v>
      </c>
      <c r="C16" s="3">
        <v>4058990965</v>
      </c>
      <c r="D16" s="3">
        <v>1</v>
      </c>
      <c r="E16" s="19" t="s">
        <v>501</v>
      </c>
      <c r="F16" s="19" t="s">
        <v>18</v>
      </c>
      <c r="G16" s="10" t="s">
        <v>6</v>
      </c>
      <c r="H16" s="11">
        <v>575</v>
      </c>
    </row>
    <row r="17" spans="1:8" ht="20.100000000000001" customHeight="1" x14ac:dyDescent="0.25">
      <c r="A17" s="84"/>
      <c r="B17" s="2">
        <v>45429</v>
      </c>
      <c r="C17" s="3">
        <v>2074690772</v>
      </c>
      <c r="D17" s="3">
        <v>1</v>
      </c>
      <c r="E17" s="19" t="s">
        <v>602</v>
      </c>
      <c r="F17" s="19" t="s">
        <v>18</v>
      </c>
      <c r="G17" s="10" t="s">
        <v>6</v>
      </c>
      <c r="H17" s="11">
        <v>575</v>
      </c>
    </row>
    <row r="18" spans="1:8" ht="20.100000000000001" customHeight="1" x14ac:dyDescent="0.25">
      <c r="A18" s="84"/>
      <c r="B18" s="2">
        <v>45433</v>
      </c>
      <c r="C18" s="3">
        <v>693977987</v>
      </c>
      <c r="D18" s="3">
        <v>2</v>
      </c>
      <c r="E18" s="19" t="s">
        <v>95</v>
      </c>
      <c r="F18" s="19" t="s">
        <v>18</v>
      </c>
      <c r="G18" s="10" t="s">
        <v>19</v>
      </c>
      <c r="H18" s="11">
        <v>1150</v>
      </c>
    </row>
    <row r="19" spans="1:8" ht="20.100000000000001" customHeight="1" x14ac:dyDescent="0.25">
      <c r="A19" s="84"/>
      <c r="B19" s="2">
        <v>45441</v>
      </c>
      <c r="C19" s="3">
        <v>121195756</v>
      </c>
      <c r="D19" s="3">
        <v>1</v>
      </c>
      <c r="E19" s="19" t="s">
        <v>603</v>
      </c>
      <c r="F19" s="19" t="s">
        <v>18</v>
      </c>
      <c r="G19" s="10" t="s">
        <v>7</v>
      </c>
      <c r="H19" s="11">
        <v>575</v>
      </c>
    </row>
    <row r="20" spans="1:8" ht="20.100000000000001" customHeight="1" x14ac:dyDescent="0.25">
      <c r="A20" s="84"/>
      <c r="B20" s="2">
        <v>45441</v>
      </c>
      <c r="C20" s="3">
        <v>558383555</v>
      </c>
      <c r="D20" s="3">
        <v>1</v>
      </c>
      <c r="E20" s="19" t="s">
        <v>580</v>
      </c>
      <c r="F20" s="19" t="s">
        <v>18</v>
      </c>
      <c r="G20" s="10" t="s">
        <v>11</v>
      </c>
      <c r="H20" s="11">
        <v>575</v>
      </c>
    </row>
    <row r="21" spans="1:8" ht="20.100000000000001" customHeight="1" x14ac:dyDescent="0.25">
      <c r="A21" s="84"/>
      <c r="B21" s="2">
        <v>45447</v>
      </c>
      <c r="C21" s="3">
        <v>911296555</v>
      </c>
      <c r="D21" s="3">
        <v>1</v>
      </c>
      <c r="E21" s="19" t="s">
        <v>693</v>
      </c>
      <c r="F21" s="19" t="s">
        <v>18</v>
      </c>
      <c r="G21" s="10" t="s">
        <v>6</v>
      </c>
      <c r="H21" s="11">
        <v>575</v>
      </c>
    </row>
    <row r="22" spans="1:8" ht="20.100000000000001" customHeight="1" x14ac:dyDescent="0.25">
      <c r="A22" s="84"/>
      <c r="B22" s="2">
        <v>45448</v>
      </c>
      <c r="C22" s="3">
        <v>2321041818</v>
      </c>
      <c r="D22" s="3">
        <v>1</v>
      </c>
      <c r="E22" s="19" t="s">
        <v>671</v>
      </c>
      <c r="F22" s="19" t="s">
        <v>18</v>
      </c>
      <c r="G22" s="10" t="s">
        <v>6</v>
      </c>
      <c r="H22" s="11">
        <v>575</v>
      </c>
    </row>
    <row r="23" spans="1:8" ht="20.100000000000001" customHeight="1" x14ac:dyDescent="0.25">
      <c r="A23" s="84"/>
      <c r="B23" s="2">
        <v>45449</v>
      </c>
      <c r="C23" s="3">
        <v>3676718059</v>
      </c>
      <c r="D23" s="3">
        <v>1</v>
      </c>
      <c r="E23" s="19" t="s">
        <v>694</v>
      </c>
      <c r="F23" s="19" t="s">
        <v>18</v>
      </c>
      <c r="G23" s="10" t="s">
        <v>6</v>
      </c>
      <c r="H23" s="11">
        <v>575</v>
      </c>
    </row>
    <row r="24" spans="1:8" ht="20.100000000000001" customHeight="1" x14ac:dyDescent="0.25">
      <c r="A24" s="84"/>
      <c r="B24" s="2">
        <v>45455</v>
      </c>
      <c r="C24" s="3">
        <v>2023637104</v>
      </c>
      <c r="D24" s="3">
        <v>1</v>
      </c>
      <c r="E24" s="19" t="s">
        <v>695</v>
      </c>
      <c r="F24" s="19" t="s">
        <v>696</v>
      </c>
      <c r="G24" s="10" t="s">
        <v>19</v>
      </c>
      <c r="H24" s="11">
        <v>600</v>
      </c>
    </row>
    <row r="25" spans="1:8" ht="20.100000000000001" customHeight="1" x14ac:dyDescent="0.25">
      <c r="A25" s="84"/>
      <c r="B25" s="2">
        <v>45456</v>
      </c>
      <c r="C25" s="3">
        <v>1997492190</v>
      </c>
      <c r="D25" s="3">
        <v>3</v>
      </c>
      <c r="E25" s="19" t="s">
        <v>697</v>
      </c>
      <c r="F25" s="19" t="s">
        <v>18</v>
      </c>
      <c r="G25" s="10" t="s">
        <v>19</v>
      </c>
      <c r="H25" s="11">
        <v>1725</v>
      </c>
    </row>
    <row r="26" spans="1:8" ht="20.100000000000001" customHeight="1" x14ac:dyDescent="0.25">
      <c r="A26" s="84"/>
      <c r="B26" s="2">
        <v>45461</v>
      </c>
      <c r="C26" s="3">
        <v>2853915295</v>
      </c>
      <c r="D26" s="3">
        <v>3</v>
      </c>
      <c r="E26" s="19" t="s">
        <v>698</v>
      </c>
      <c r="F26" s="19" t="s">
        <v>18</v>
      </c>
      <c r="G26" s="10" t="s">
        <v>6</v>
      </c>
      <c r="H26" s="11">
        <v>1725</v>
      </c>
    </row>
    <row r="27" spans="1:8" ht="20.100000000000001" customHeight="1" x14ac:dyDescent="0.25">
      <c r="A27" s="84"/>
      <c r="B27" s="2">
        <v>45462</v>
      </c>
      <c r="C27" s="3">
        <v>237061341</v>
      </c>
      <c r="D27" s="3">
        <v>1</v>
      </c>
      <c r="E27" s="19" t="s">
        <v>664</v>
      </c>
      <c r="F27" s="19" t="s">
        <v>18</v>
      </c>
      <c r="G27" s="10" t="s">
        <v>6</v>
      </c>
      <c r="H27" s="11">
        <v>575</v>
      </c>
    </row>
    <row r="28" spans="1:8" ht="20.100000000000001" customHeight="1" x14ac:dyDescent="0.25">
      <c r="A28" s="84"/>
      <c r="B28" s="2">
        <v>45469</v>
      </c>
      <c r="C28" s="3">
        <v>2413514520</v>
      </c>
      <c r="D28" s="3">
        <v>1</v>
      </c>
      <c r="E28" s="19" t="s">
        <v>699</v>
      </c>
      <c r="F28" s="19" t="s">
        <v>18</v>
      </c>
      <c r="G28" s="10" t="s">
        <v>6</v>
      </c>
      <c r="H28" s="11">
        <v>400</v>
      </c>
    </row>
    <row r="29" spans="1:8" ht="20.100000000000001" customHeight="1" x14ac:dyDescent="0.25">
      <c r="A29" s="84"/>
      <c r="B29" s="2">
        <v>45471</v>
      </c>
      <c r="C29" s="3">
        <v>135217879</v>
      </c>
      <c r="D29" s="3">
        <v>6</v>
      </c>
      <c r="E29" s="19" t="s">
        <v>700</v>
      </c>
      <c r="F29" s="19" t="s">
        <v>18</v>
      </c>
      <c r="G29" s="10" t="s">
        <v>6</v>
      </c>
      <c r="H29" s="11">
        <v>2415</v>
      </c>
    </row>
    <row r="30" spans="1:8" ht="20.100000000000001" customHeight="1" x14ac:dyDescent="0.25">
      <c r="A30" s="84"/>
      <c r="B30" s="2">
        <v>45498</v>
      </c>
      <c r="C30" s="3">
        <v>1479688387</v>
      </c>
      <c r="D30" s="3">
        <v>1</v>
      </c>
      <c r="E30" s="4" t="s">
        <v>759</v>
      </c>
      <c r="F30" s="19" t="s">
        <v>788</v>
      </c>
      <c r="G30" s="5" t="s">
        <v>11</v>
      </c>
      <c r="H30" s="6">
        <v>575</v>
      </c>
    </row>
    <row r="31" spans="1:8" ht="15.75" x14ac:dyDescent="0.25">
      <c r="A31" s="84"/>
      <c r="B31" s="2">
        <v>45506</v>
      </c>
      <c r="C31" s="3">
        <v>2116632593</v>
      </c>
      <c r="D31" s="3">
        <v>1</v>
      </c>
      <c r="E31" s="4" t="s">
        <v>916</v>
      </c>
      <c r="F31" s="19" t="s">
        <v>18</v>
      </c>
      <c r="G31" s="5" t="s">
        <v>6</v>
      </c>
      <c r="H31" s="6">
        <v>575</v>
      </c>
    </row>
    <row r="32" spans="1:8" ht="20.100000000000001" customHeight="1" x14ac:dyDescent="0.25">
      <c r="A32" s="84"/>
      <c r="B32" s="2">
        <v>45509</v>
      </c>
      <c r="C32" s="3">
        <v>1601982353</v>
      </c>
      <c r="D32" s="3">
        <v>1</v>
      </c>
      <c r="E32" s="4" t="s">
        <v>917</v>
      </c>
      <c r="F32" s="19" t="s">
        <v>18</v>
      </c>
      <c r="G32" s="5" t="s">
        <v>6</v>
      </c>
      <c r="H32" s="6">
        <v>575</v>
      </c>
    </row>
    <row r="33" spans="1:8" ht="20.100000000000001" customHeight="1" x14ac:dyDescent="0.25">
      <c r="A33" s="84"/>
      <c r="B33" s="2">
        <v>45511</v>
      </c>
      <c r="C33" s="3">
        <v>3485092455</v>
      </c>
      <c r="D33" s="3">
        <v>1</v>
      </c>
      <c r="E33" s="4" t="s">
        <v>918</v>
      </c>
      <c r="F33" s="19" t="s">
        <v>18</v>
      </c>
      <c r="G33" s="5" t="s">
        <v>11</v>
      </c>
      <c r="H33" s="6">
        <v>575</v>
      </c>
    </row>
    <row r="34" spans="1:8" ht="20.100000000000001" customHeight="1" x14ac:dyDescent="0.25">
      <c r="A34" s="84"/>
      <c r="B34" s="2">
        <v>45513</v>
      </c>
      <c r="C34" s="3">
        <v>2503688519</v>
      </c>
      <c r="D34" s="3">
        <v>1</v>
      </c>
      <c r="E34" s="4" t="s">
        <v>919</v>
      </c>
      <c r="F34" s="19" t="s">
        <v>18</v>
      </c>
      <c r="G34" s="5" t="s">
        <v>6</v>
      </c>
      <c r="H34" s="6">
        <v>575</v>
      </c>
    </row>
    <row r="35" spans="1:8" ht="20.100000000000001" customHeight="1" x14ac:dyDescent="0.25">
      <c r="A35" s="84"/>
      <c r="B35" s="2">
        <v>45532</v>
      </c>
      <c r="C35" s="3">
        <v>2569158667</v>
      </c>
      <c r="D35" s="3">
        <v>1</v>
      </c>
      <c r="E35" s="4" t="s">
        <v>920</v>
      </c>
      <c r="F35" s="19" t="s">
        <v>18</v>
      </c>
      <c r="G35" s="5" t="s">
        <v>7</v>
      </c>
      <c r="H35" s="6">
        <v>575</v>
      </c>
    </row>
    <row r="36" spans="1:8" ht="20.100000000000001" customHeight="1" x14ac:dyDescent="0.25">
      <c r="A36" s="84"/>
      <c r="B36" s="2">
        <v>45559</v>
      </c>
      <c r="C36" s="3">
        <v>1011828213</v>
      </c>
      <c r="D36" s="3">
        <v>1</v>
      </c>
      <c r="E36" s="4" t="s">
        <v>987</v>
      </c>
      <c r="F36" s="19" t="s">
        <v>18</v>
      </c>
      <c r="G36" s="5" t="s">
        <v>7</v>
      </c>
      <c r="H36" s="6">
        <v>575</v>
      </c>
    </row>
    <row r="37" spans="1:8" ht="20.100000000000001" customHeight="1" x14ac:dyDescent="0.25">
      <c r="A37" s="84"/>
      <c r="B37" s="2">
        <v>45567</v>
      </c>
      <c r="C37" s="3">
        <v>1902003616</v>
      </c>
      <c r="D37" s="3">
        <v>1</v>
      </c>
      <c r="E37" s="4" t="s">
        <v>1110</v>
      </c>
      <c r="F37" s="19" t="s">
        <v>1111</v>
      </c>
      <c r="G37" s="5" t="s">
        <v>10</v>
      </c>
      <c r="H37" s="6">
        <v>550</v>
      </c>
    </row>
    <row r="38" spans="1:8" ht="20.100000000000001" customHeight="1" x14ac:dyDescent="0.25">
      <c r="A38" s="84"/>
      <c r="B38" s="2">
        <v>45573</v>
      </c>
      <c r="C38" s="3">
        <v>2840479510</v>
      </c>
      <c r="D38" s="3">
        <v>1</v>
      </c>
      <c r="E38" s="4" t="s">
        <v>1064</v>
      </c>
      <c r="F38" s="19" t="s">
        <v>18</v>
      </c>
      <c r="G38" s="5" t="s">
        <v>11</v>
      </c>
      <c r="H38" s="6">
        <v>575</v>
      </c>
    </row>
    <row r="39" spans="1:8" ht="20.100000000000001" customHeight="1" x14ac:dyDescent="0.25">
      <c r="A39" s="84"/>
      <c r="B39" s="2">
        <v>45575</v>
      </c>
      <c r="C39" s="3">
        <v>2503886941</v>
      </c>
      <c r="D39" s="3">
        <v>1</v>
      </c>
      <c r="E39" s="4" t="s">
        <v>241</v>
      </c>
      <c r="F39" s="19" t="s">
        <v>18</v>
      </c>
      <c r="G39" s="5" t="s">
        <v>6</v>
      </c>
      <c r="H39" s="6">
        <v>575</v>
      </c>
    </row>
    <row r="40" spans="1:8" ht="20.100000000000001" customHeight="1" x14ac:dyDescent="0.25">
      <c r="A40" s="84"/>
      <c r="B40" s="2">
        <v>45582</v>
      </c>
      <c r="C40" s="3">
        <v>3312472016</v>
      </c>
      <c r="D40" s="3">
        <v>1</v>
      </c>
      <c r="E40" s="4" t="s">
        <v>1065</v>
      </c>
      <c r="F40" s="19" t="s">
        <v>18</v>
      </c>
      <c r="G40" s="5" t="s">
        <v>7</v>
      </c>
      <c r="H40" s="6">
        <v>575</v>
      </c>
    </row>
    <row r="41" spans="1:8" ht="20.100000000000001" customHeight="1" x14ac:dyDescent="0.25">
      <c r="A41" s="84"/>
      <c r="B41" s="2">
        <v>45590</v>
      </c>
      <c r="C41" s="3">
        <v>2175946285</v>
      </c>
      <c r="D41" s="3">
        <v>1</v>
      </c>
      <c r="E41" s="4" t="s">
        <v>1066</v>
      </c>
      <c r="F41" s="19" t="s">
        <v>18</v>
      </c>
      <c r="G41" s="5" t="s">
        <v>19</v>
      </c>
      <c r="H41" s="6">
        <v>575</v>
      </c>
    </row>
    <row r="42" spans="1:8" ht="20.100000000000001" customHeight="1" x14ac:dyDescent="0.25">
      <c r="A42" s="84"/>
      <c r="B42" s="2">
        <v>45590</v>
      </c>
      <c r="C42" s="3">
        <v>2479835149</v>
      </c>
      <c r="D42" s="3">
        <v>1</v>
      </c>
      <c r="E42" s="4" t="s">
        <v>1067</v>
      </c>
      <c r="F42" s="19" t="s">
        <v>18</v>
      </c>
      <c r="G42" s="5" t="s">
        <v>6</v>
      </c>
      <c r="H42" s="6">
        <v>575</v>
      </c>
    </row>
    <row r="43" spans="1:8" ht="20.100000000000001" customHeight="1" x14ac:dyDescent="0.25">
      <c r="A43" s="84"/>
      <c r="B43" s="2">
        <v>45593</v>
      </c>
      <c r="C43" s="3">
        <v>3731902170</v>
      </c>
      <c r="D43" s="3">
        <v>1</v>
      </c>
      <c r="E43" s="4" t="s">
        <v>1068</v>
      </c>
      <c r="F43" s="19" t="s">
        <v>18</v>
      </c>
      <c r="G43" s="5" t="s">
        <v>6</v>
      </c>
      <c r="H43" s="6">
        <v>575</v>
      </c>
    </row>
    <row r="44" spans="1:8" ht="15.75" x14ac:dyDescent="0.25">
      <c r="A44" s="84"/>
      <c r="B44" s="2">
        <v>45603</v>
      </c>
      <c r="C44" s="3">
        <v>628115067</v>
      </c>
      <c r="D44" s="3">
        <v>1</v>
      </c>
      <c r="E44" s="4" t="s">
        <v>350</v>
      </c>
      <c r="F44" s="19" t="s">
        <v>18</v>
      </c>
      <c r="G44" s="5" t="s">
        <v>6</v>
      </c>
      <c r="H44" s="6">
        <v>575</v>
      </c>
    </row>
    <row r="45" spans="1:8" ht="20.100000000000001" customHeight="1" x14ac:dyDescent="0.25">
      <c r="A45" s="84"/>
      <c r="B45" s="2">
        <v>45614</v>
      </c>
      <c r="C45" s="3">
        <v>448151977</v>
      </c>
      <c r="D45" s="3">
        <v>1</v>
      </c>
      <c r="E45" s="4" t="s">
        <v>969</v>
      </c>
      <c r="F45" s="19" t="s">
        <v>18</v>
      </c>
      <c r="G45" s="5" t="s">
        <v>7</v>
      </c>
      <c r="H45" s="6">
        <v>402.5</v>
      </c>
    </row>
    <row r="46" spans="1:8" ht="20.100000000000001" customHeight="1" x14ac:dyDescent="0.25">
      <c r="A46" s="84"/>
      <c r="B46" s="2">
        <v>45614</v>
      </c>
      <c r="C46" s="3">
        <v>2305901693</v>
      </c>
      <c r="D46" s="3">
        <v>1</v>
      </c>
      <c r="E46" s="4" t="s">
        <v>1157</v>
      </c>
      <c r="F46" s="19" t="s">
        <v>18</v>
      </c>
      <c r="G46" s="5" t="s">
        <v>6</v>
      </c>
      <c r="H46" s="6">
        <v>402.5</v>
      </c>
    </row>
    <row r="47" spans="1:8" ht="20.100000000000001" customHeight="1" x14ac:dyDescent="0.25">
      <c r="A47" s="84"/>
      <c r="B47" s="2">
        <v>45615</v>
      </c>
      <c r="C47" s="3">
        <v>2397129215</v>
      </c>
      <c r="D47" s="3">
        <v>1</v>
      </c>
      <c r="E47" s="4" t="s">
        <v>196</v>
      </c>
      <c r="F47" s="19" t="s">
        <v>18</v>
      </c>
      <c r="G47" s="5" t="s">
        <v>7</v>
      </c>
      <c r="H47" s="6">
        <v>402.5</v>
      </c>
    </row>
    <row r="48" spans="1:8" ht="20.100000000000001" customHeight="1" x14ac:dyDescent="0.25">
      <c r="A48" s="84"/>
      <c r="B48" s="2">
        <v>45632</v>
      </c>
      <c r="C48" s="3">
        <v>3519301957</v>
      </c>
      <c r="D48" s="3">
        <v>1</v>
      </c>
      <c r="E48" s="4" t="s">
        <v>1255</v>
      </c>
      <c r="F48" s="19" t="s">
        <v>18</v>
      </c>
      <c r="G48" s="5" t="s">
        <v>6</v>
      </c>
      <c r="H48" s="6">
        <v>575</v>
      </c>
    </row>
    <row r="49" spans="1:8" ht="20.100000000000001" customHeight="1" x14ac:dyDescent="0.25">
      <c r="A49" s="84"/>
      <c r="B49" s="2">
        <v>45636</v>
      </c>
      <c r="C49" s="3">
        <v>2467056602</v>
      </c>
      <c r="D49" s="3">
        <v>2</v>
      </c>
      <c r="E49" s="4" t="s">
        <v>1256</v>
      </c>
      <c r="F49" s="19" t="s">
        <v>18</v>
      </c>
      <c r="G49" s="5" t="s">
        <v>6</v>
      </c>
      <c r="H49" s="6">
        <v>1150</v>
      </c>
    </row>
    <row r="50" spans="1:8" ht="20.100000000000001" customHeight="1" x14ac:dyDescent="0.25">
      <c r="A50" s="84"/>
      <c r="B50" s="2">
        <v>45642</v>
      </c>
      <c r="C50" s="3">
        <v>692866808</v>
      </c>
      <c r="D50" s="3">
        <v>1</v>
      </c>
      <c r="E50" s="4" t="s">
        <v>1257</v>
      </c>
      <c r="F50" s="19" t="s">
        <v>18</v>
      </c>
      <c r="G50" s="5" t="s">
        <v>19</v>
      </c>
      <c r="H50" s="6">
        <v>450</v>
      </c>
    </row>
    <row r="51" spans="1:8" ht="20.100000000000001" customHeight="1" x14ac:dyDescent="0.25">
      <c r="A51" s="84"/>
      <c r="B51" s="2">
        <v>45646</v>
      </c>
      <c r="C51" s="3">
        <v>1869103399</v>
      </c>
      <c r="D51" s="3">
        <v>1</v>
      </c>
      <c r="E51" s="4" t="s">
        <v>1258</v>
      </c>
      <c r="F51" s="19" t="s">
        <v>18</v>
      </c>
      <c r="G51" s="5" t="s">
        <v>11</v>
      </c>
      <c r="H51" s="6">
        <v>575</v>
      </c>
    </row>
    <row r="52" spans="1:8" ht="20.100000000000001" customHeight="1" x14ac:dyDescent="0.25">
      <c r="A52" s="84"/>
      <c r="B52" s="2"/>
      <c r="C52" s="3"/>
      <c r="D52" s="3"/>
      <c r="E52" s="4"/>
      <c r="F52" s="19"/>
      <c r="G52" s="10"/>
      <c r="H52" s="11"/>
    </row>
    <row r="53" spans="1:8" ht="20.100000000000001" customHeight="1" x14ac:dyDescent="0.25">
      <c r="A53" s="84"/>
      <c r="B53" s="2"/>
      <c r="C53" s="3"/>
      <c r="D53" s="3"/>
      <c r="E53" s="4"/>
      <c r="F53" s="19"/>
      <c r="G53" s="10"/>
      <c r="H53" s="11"/>
    </row>
    <row r="54" spans="1:8" ht="20.100000000000001" customHeight="1" x14ac:dyDescent="0.25">
      <c r="A54" s="84"/>
      <c r="B54" s="2"/>
      <c r="C54" s="3"/>
      <c r="D54" s="3"/>
      <c r="E54" s="4"/>
      <c r="F54" s="19"/>
      <c r="G54" s="10"/>
      <c r="H54" s="11"/>
    </row>
    <row r="55" spans="1:8" ht="20.100000000000001" customHeight="1" x14ac:dyDescent="0.25">
      <c r="A55" s="84"/>
      <c r="B55" s="2"/>
      <c r="C55" s="3"/>
      <c r="D55" s="3"/>
      <c r="E55" s="4"/>
      <c r="F55" s="19"/>
      <c r="G55" s="10"/>
      <c r="H55" s="11"/>
    </row>
    <row r="56" spans="1:8" ht="20.100000000000001" customHeight="1" x14ac:dyDescent="0.25">
      <c r="A56" s="84"/>
      <c r="B56" s="2"/>
      <c r="C56" s="3"/>
      <c r="D56" s="3"/>
      <c r="E56" s="4"/>
      <c r="F56" s="19"/>
      <c r="G56" s="10"/>
      <c r="H56" s="11"/>
    </row>
    <row r="57" spans="1:8" ht="20.100000000000001" customHeight="1" x14ac:dyDescent="0.25">
      <c r="A57" s="84"/>
      <c r="B57" s="2"/>
      <c r="C57" s="3"/>
      <c r="D57" s="3"/>
      <c r="E57" s="4"/>
      <c r="F57" s="19"/>
      <c r="G57" s="10"/>
      <c r="H57" s="11"/>
    </row>
    <row r="58" spans="1:8" ht="20.100000000000001" customHeight="1" x14ac:dyDescent="0.25">
      <c r="A58" s="84"/>
      <c r="B58" s="2"/>
      <c r="C58" s="3"/>
      <c r="D58" s="3"/>
      <c r="E58" s="4"/>
      <c r="F58" s="19"/>
      <c r="G58" s="10"/>
      <c r="H58" s="11"/>
    </row>
    <row r="59" spans="1:8" ht="20.100000000000001" customHeight="1" x14ac:dyDescent="0.25">
      <c r="A59" s="84"/>
      <c r="B59" s="2"/>
      <c r="C59" s="3"/>
      <c r="D59" s="3"/>
      <c r="E59" s="4"/>
      <c r="F59" s="19"/>
      <c r="G59" s="10"/>
      <c r="H59" s="11"/>
    </row>
    <row r="60" spans="1:8" ht="20.100000000000001" customHeight="1" x14ac:dyDescent="0.25">
      <c r="A60" s="84"/>
      <c r="B60" s="2"/>
      <c r="C60" s="3"/>
      <c r="D60" s="3"/>
      <c r="E60" s="4"/>
      <c r="F60" s="19"/>
      <c r="G60" s="10"/>
      <c r="H60" s="11"/>
    </row>
    <row r="61" spans="1:8" ht="20.100000000000001" customHeight="1" x14ac:dyDescent="0.25">
      <c r="A61" s="84"/>
      <c r="B61" s="2"/>
      <c r="C61" s="3"/>
      <c r="D61" s="3"/>
      <c r="E61" s="4"/>
      <c r="F61" s="19"/>
      <c r="G61" s="10"/>
      <c r="H61" s="11"/>
    </row>
    <row r="62" spans="1:8" ht="20.100000000000001" customHeight="1" x14ac:dyDescent="0.25">
      <c r="A62" s="84"/>
      <c r="B62" s="2"/>
      <c r="C62" s="3"/>
      <c r="D62" s="3"/>
      <c r="E62" s="4"/>
      <c r="F62" s="19"/>
      <c r="G62" s="10"/>
      <c r="H62" s="11"/>
    </row>
    <row r="63" spans="1:8" ht="20.100000000000001" customHeight="1" x14ac:dyDescent="0.25">
      <c r="A63" s="84"/>
      <c r="B63" s="2"/>
      <c r="C63" s="3"/>
      <c r="D63" s="3"/>
      <c r="E63" s="4"/>
      <c r="F63" s="19"/>
      <c r="G63" s="10"/>
      <c r="H63" s="11"/>
    </row>
    <row r="64" spans="1:8" ht="20.100000000000001" customHeight="1" x14ac:dyDescent="0.25">
      <c r="A64" s="84"/>
      <c r="B64" s="2"/>
      <c r="C64" s="3"/>
      <c r="D64" s="3"/>
      <c r="E64" s="4"/>
      <c r="F64" s="19"/>
      <c r="G64" s="10"/>
      <c r="H64" s="11"/>
    </row>
    <row r="65" spans="1:8" ht="20.100000000000001" customHeight="1" x14ac:dyDescent="0.25">
      <c r="A65" s="84"/>
      <c r="B65" s="2"/>
      <c r="C65" s="3"/>
      <c r="D65" s="3"/>
      <c r="E65" s="4"/>
      <c r="F65" s="19"/>
      <c r="G65" s="10"/>
      <c r="H65" s="11"/>
    </row>
    <row r="66" spans="1:8" ht="20.100000000000001" customHeight="1" x14ac:dyDescent="0.25">
      <c r="A66" s="84"/>
      <c r="B66" s="2"/>
      <c r="C66" s="3"/>
      <c r="D66" s="3"/>
      <c r="E66" s="4"/>
      <c r="F66" s="19"/>
      <c r="G66" s="10"/>
      <c r="H66" s="11"/>
    </row>
    <row r="67" spans="1:8" ht="20.100000000000001" customHeight="1" x14ac:dyDescent="0.25">
      <c r="A67" s="84"/>
      <c r="B67" s="2"/>
      <c r="C67" s="3"/>
      <c r="D67" s="3"/>
      <c r="E67" s="4"/>
      <c r="F67" s="19"/>
      <c r="G67" s="10"/>
      <c r="H67" s="11"/>
    </row>
    <row r="68" spans="1:8" ht="20.100000000000001" customHeight="1" x14ac:dyDescent="0.25">
      <c r="A68" s="84"/>
      <c r="B68" s="2"/>
      <c r="C68" s="3"/>
      <c r="D68" s="3"/>
      <c r="E68" s="4"/>
      <c r="F68" s="19"/>
      <c r="G68" s="10"/>
      <c r="H68" s="11"/>
    </row>
    <row r="69" spans="1:8" ht="20.100000000000001" customHeight="1" x14ac:dyDescent="0.25">
      <c r="A69" s="84"/>
      <c r="B69" s="2"/>
      <c r="C69" s="3"/>
      <c r="D69" s="3"/>
      <c r="E69" s="4"/>
      <c r="F69" s="19"/>
      <c r="G69" s="10"/>
      <c r="H69" s="11"/>
    </row>
    <row r="70" spans="1:8" ht="20.100000000000001" customHeight="1" x14ac:dyDescent="0.25">
      <c r="A70" s="84"/>
      <c r="B70" s="2"/>
      <c r="C70" s="3"/>
      <c r="D70" s="3"/>
      <c r="E70" s="4"/>
      <c r="F70" s="19"/>
      <c r="G70" s="10"/>
      <c r="H70" s="11"/>
    </row>
    <row r="71" spans="1:8" ht="20.100000000000001" customHeight="1" x14ac:dyDescent="0.25">
      <c r="A71" s="84"/>
      <c r="B71" s="2"/>
      <c r="C71" s="3"/>
      <c r="D71" s="3"/>
      <c r="E71" s="4"/>
      <c r="F71" s="19"/>
      <c r="G71" s="10"/>
      <c r="H71" s="11"/>
    </row>
    <row r="72" spans="1:8" ht="20.100000000000001" customHeight="1" x14ac:dyDescent="0.25">
      <c r="A72" s="84"/>
      <c r="B72" s="2"/>
      <c r="C72" s="3"/>
      <c r="D72" s="3"/>
      <c r="E72" s="4"/>
      <c r="F72" s="19"/>
      <c r="G72" s="10"/>
      <c r="H72" s="11"/>
    </row>
    <row r="73" spans="1:8" ht="20.100000000000001" customHeight="1" x14ac:dyDescent="0.25">
      <c r="A73" s="84"/>
      <c r="B73" s="2"/>
      <c r="C73" s="3"/>
      <c r="D73" s="3"/>
      <c r="E73" s="4"/>
      <c r="F73" s="19"/>
      <c r="G73" s="10"/>
      <c r="H73" s="11"/>
    </row>
    <row r="74" spans="1:8" ht="20.100000000000001" customHeight="1" x14ac:dyDescent="0.25">
      <c r="A74" s="84"/>
      <c r="B74" s="2"/>
      <c r="C74" s="3"/>
      <c r="D74" s="3"/>
      <c r="E74" s="4"/>
      <c r="F74" s="19"/>
      <c r="G74" s="10"/>
      <c r="H74" s="11"/>
    </row>
    <row r="75" spans="1:8" ht="20.100000000000001" customHeight="1" x14ac:dyDescent="0.25">
      <c r="A75" s="84"/>
      <c r="B75" s="2"/>
      <c r="C75" s="3"/>
      <c r="D75" s="3"/>
      <c r="E75" s="4"/>
      <c r="F75" s="19"/>
      <c r="G75" s="10"/>
      <c r="H75" s="11"/>
    </row>
    <row r="76" spans="1:8" ht="20.100000000000001" customHeight="1" x14ac:dyDescent="0.25">
      <c r="A76" s="84"/>
      <c r="B76" s="2"/>
      <c r="C76" s="3"/>
      <c r="D76" s="3"/>
      <c r="E76" s="4"/>
      <c r="F76" s="19"/>
      <c r="G76" s="10"/>
      <c r="H76" s="11"/>
    </row>
    <row r="77" spans="1:8" ht="20.100000000000001" customHeight="1" x14ac:dyDescent="0.25">
      <c r="A77" s="84"/>
      <c r="B77" s="2"/>
      <c r="C77" s="3"/>
      <c r="D77" s="3"/>
      <c r="E77" s="4"/>
      <c r="F77" s="19"/>
      <c r="G77" s="10"/>
      <c r="H77" s="11"/>
    </row>
    <row r="78" spans="1:8" ht="15.75" x14ac:dyDescent="0.25">
      <c r="A78" s="85"/>
      <c r="B78" s="13"/>
      <c r="C78" s="14"/>
      <c r="D78" s="14"/>
      <c r="E78" s="14" t="s">
        <v>5</v>
      </c>
      <c r="F78" s="15"/>
      <c r="G78" s="16"/>
      <c r="H78" s="23">
        <f>SUM(H3:H77)</f>
        <v>33197.5</v>
      </c>
    </row>
  </sheetData>
  <autoFilter ref="A1:H78" xr:uid="{00000000-0009-0000-0000-000008000000}"/>
  <mergeCells count="8">
    <mergeCell ref="F1:F2"/>
    <mergeCell ref="G1:G2"/>
    <mergeCell ref="H1:H2"/>
    <mergeCell ref="A1:A78"/>
    <mergeCell ref="B1:B2"/>
    <mergeCell ref="C1:C2"/>
    <mergeCell ref="D1:D2"/>
    <mergeCell ref="E1:E2"/>
  </mergeCells>
  <pageMargins left="0.7" right="0.7" top="0.75" bottom="0.75" header="0.3" footer="0.3"/>
  <pageSetup paperSize="9" orientation="portrait" horizontalDpi="120" verticalDpi="72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6"/>
  <sheetViews>
    <sheetView workbookViewId="0">
      <selection activeCell="F21" sqref="F21"/>
    </sheetView>
  </sheetViews>
  <sheetFormatPr baseColWidth="10" defaultColWidth="9.140625" defaultRowHeight="15" x14ac:dyDescent="0.25"/>
  <cols>
    <col min="1" max="1" width="12" customWidth="1"/>
    <col min="2" max="2" width="12.7109375" bestFit="1" customWidth="1"/>
    <col min="3" max="3" width="17.42578125" customWidth="1"/>
    <col min="4" max="4" width="11" customWidth="1"/>
    <col min="5" max="5" width="32.42578125" bestFit="1" customWidth="1"/>
    <col min="6" max="6" width="54.85546875" style="1" customWidth="1"/>
    <col min="7" max="7" width="16.140625" customWidth="1"/>
    <col min="8" max="8" width="14.28515625" bestFit="1" customWidth="1"/>
  </cols>
  <sheetData>
    <row r="1" spans="1:8" ht="15" customHeight="1" x14ac:dyDescent="0.25">
      <c r="A1" s="83" t="s">
        <v>20</v>
      </c>
      <c r="B1" s="81" t="s">
        <v>0</v>
      </c>
      <c r="C1" s="82" t="s">
        <v>1</v>
      </c>
      <c r="D1" s="82" t="s">
        <v>2</v>
      </c>
      <c r="E1" s="82" t="s">
        <v>3</v>
      </c>
      <c r="F1" s="82" t="s">
        <v>8</v>
      </c>
      <c r="G1" s="79" t="s">
        <v>4</v>
      </c>
      <c r="H1" s="80" t="s">
        <v>5</v>
      </c>
    </row>
    <row r="2" spans="1:8" ht="15" customHeight="1" x14ac:dyDescent="0.25">
      <c r="A2" s="84"/>
      <c r="B2" s="72"/>
      <c r="C2" s="74"/>
      <c r="D2" s="74"/>
      <c r="E2" s="74"/>
      <c r="F2" s="74"/>
      <c r="G2" s="68"/>
      <c r="H2" s="70"/>
    </row>
    <row r="3" spans="1:8" ht="20.100000000000001" customHeight="1" x14ac:dyDescent="0.25">
      <c r="A3" s="84"/>
      <c r="B3" s="2">
        <v>45321</v>
      </c>
      <c r="C3" s="3">
        <v>1585401474</v>
      </c>
      <c r="D3" s="3">
        <v>1</v>
      </c>
      <c r="E3" s="4" t="s">
        <v>149</v>
      </c>
      <c r="F3" s="19" t="s">
        <v>150</v>
      </c>
      <c r="G3" s="10" t="s">
        <v>7</v>
      </c>
      <c r="H3" s="11">
        <v>3000</v>
      </c>
    </row>
    <row r="4" spans="1:8" ht="20.100000000000001" customHeight="1" x14ac:dyDescent="0.25">
      <c r="A4" s="84"/>
      <c r="B4" s="2">
        <v>45335</v>
      </c>
      <c r="C4" s="3">
        <v>446313629</v>
      </c>
      <c r="D4" s="3">
        <v>1</v>
      </c>
      <c r="E4" s="4" t="s">
        <v>238</v>
      </c>
      <c r="F4" s="4" t="s">
        <v>239</v>
      </c>
      <c r="G4" s="5" t="s">
        <v>6</v>
      </c>
      <c r="H4" s="6">
        <v>3000</v>
      </c>
    </row>
    <row r="5" spans="1:8" ht="20.100000000000001" customHeight="1" x14ac:dyDescent="0.25">
      <c r="A5" s="84"/>
      <c r="B5" s="2">
        <v>45390</v>
      </c>
      <c r="C5" s="3">
        <v>3432858299</v>
      </c>
      <c r="D5" s="3">
        <v>1</v>
      </c>
      <c r="E5" s="4" t="s">
        <v>478</v>
      </c>
      <c r="F5" s="4" t="s">
        <v>239</v>
      </c>
      <c r="G5" s="5" t="s">
        <v>7</v>
      </c>
      <c r="H5" s="6">
        <v>3000</v>
      </c>
    </row>
    <row r="6" spans="1:8" ht="20.100000000000001" customHeight="1" x14ac:dyDescent="0.25">
      <c r="A6" s="84"/>
      <c r="B6" s="2">
        <v>45436</v>
      </c>
      <c r="C6" s="3">
        <v>606490181</v>
      </c>
      <c r="D6" s="3">
        <v>1</v>
      </c>
      <c r="E6" s="19" t="s">
        <v>605</v>
      </c>
      <c r="F6" s="19" t="s">
        <v>239</v>
      </c>
      <c r="G6" s="10" t="s">
        <v>11</v>
      </c>
      <c r="H6" s="11">
        <v>3000</v>
      </c>
    </row>
    <row r="7" spans="1:8" ht="20.100000000000001" customHeight="1" x14ac:dyDescent="0.25">
      <c r="A7" s="84"/>
      <c r="B7" s="2">
        <v>45454</v>
      </c>
      <c r="C7" s="3">
        <v>984301768</v>
      </c>
      <c r="D7" s="3">
        <v>1</v>
      </c>
      <c r="E7" s="19" t="s">
        <v>701</v>
      </c>
      <c r="F7" s="19" t="s">
        <v>702</v>
      </c>
      <c r="G7" s="10" t="s">
        <v>7</v>
      </c>
      <c r="H7" s="11">
        <v>3000</v>
      </c>
    </row>
    <row r="8" spans="1:8" ht="31.5" x14ac:dyDescent="0.25">
      <c r="A8" s="84"/>
      <c r="B8" s="2">
        <v>45485</v>
      </c>
      <c r="C8" s="3">
        <v>2204516391</v>
      </c>
      <c r="D8" s="3">
        <v>1</v>
      </c>
      <c r="E8" s="4" t="s">
        <v>786</v>
      </c>
      <c r="F8" s="19" t="s">
        <v>871</v>
      </c>
      <c r="G8" s="5" t="s">
        <v>7</v>
      </c>
      <c r="H8" s="6">
        <v>728.57</v>
      </c>
    </row>
    <row r="9" spans="1:8" ht="30" x14ac:dyDescent="0.25">
      <c r="A9" s="84"/>
      <c r="B9" s="2">
        <v>45485</v>
      </c>
      <c r="C9" s="3">
        <v>2204516391</v>
      </c>
      <c r="D9" s="3">
        <v>1</v>
      </c>
      <c r="E9" s="4" t="s">
        <v>786</v>
      </c>
      <c r="F9" s="19" t="s">
        <v>872</v>
      </c>
      <c r="G9" s="5" t="s">
        <v>6</v>
      </c>
      <c r="H9" s="6">
        <v>2271.4299999999998</v>
      </c>
    </row>
    <row r="10" spans="1:8" ht="15.75" x14ac:dyDescent="0.25">
      <c r="A10" s="84"/>
      <c r="B10" s="2">
        <v>45488</v>
      </c>
      <c r="C10" s="3">
        <v>1160597328</v>
      </c>
      <c r="D10" s="3">
        <v>1</v>
      </c>
      <c r="E10" s="4" t="s">
        <v>789</v>
      </c>
      <c r="F10" s="19" t="s">
        <v>790</v>
      </c>
      <c r="G10" s="5" t="s">
        <v>6</v>
      </c>
      <c r="H10" s="6">
        <v>3000</v>
      </c>
    </row>
    <row r="11" spans="1:8" ht="20.100000000000001" customHeight="1" x14ac:dyDescent="0.25">
      <c r="A11" s="84"/>
      <c r="B11" s="2">
        <v>45516</v>
      </c>
      <c r="C11" s="3">
        <v>3732227095</v>
      </c>
      <c r="D11" s="3">
        <v>1</v>
      </c>
      <c r="E11" s="4" t="s">
        <v>921</v>
      </c>
      <c r="F11" s="19" t="s">
        <v>924</v>
      </c>
      <c r="G11" s="5" t="s">
        <v>925</v>
      </c>
      <c r="H11" s="6">
        <v>3000</v>
      </c>
    </row>
    <row r="12" spans="1:8" ht="20.100000000000001" customHeight="1" x14ac:dyDescent="0.25">
      <c r="A12" s="84"/>
      <c r="B12" s="2">
        <v>45516</v>
      </c>
      <c r="C12" s="3">
        <v>3732227095</v>
      </c>
      <c r="D12" s="3">
        <v>1</v>
      </c>
      <c r="E12" s="4" t="s">
        <v>922</v>
      </c>
      <c r="F12" s="19" t="s">
        <v>924</v>
      </c>
      <c r="G12" s="5" t="s">
        <v>925</v>
      </c>
      <c r="H12" s="6">
        <v>3000</v>
      </c>
    </row>
    <row r="13" spans="1:8" ht="20.100000000000001" customHeight="1" x14ac:dyDescent="0.25">
      <c r="A13" s="84"/>
      <c r="B13" s="2">
        <v>45516</v>
      </c>
      <c r="C13" s="3">
        <v>3732227095</v>
      </c>
      <c r="D13" s="3">
        <v>1</v>
      </c>
      <c r="E13" s="4" t="s">
        <v>923</v>
      </c>
      <c r="F13" s="19" t="s">
        <v>924</v>
      </c>
      <c r="G13" s="5" t="s">
        <v>925</v>
      </c>
      <c r="H13" s="6">
        <v>3000</v>
      </c>
    </row>
    <row r="14" spans="1:8" ht="20.100000000000001" customHeight="1" x14ac:dyDescent="0.25">
      <c r="A14" s="84"/>
      <c r="B14" s="2">
        <v>45520</v>
      </c>
      <c r="C14" s="3">
        <v>3183494623</v>
      </c>
      <c r="D14" s="3">
        <v>1</v>
      </c>
      <c r="E14" s="4" t="s">
        <v>926</v>
      </c>
      <c r="F14" s="19" t="s">
        <v>790</v>
      </c>
      <c r="G14" s="5" t="s">
        <v>10</v>
      </c>
      <c r="H14" s="6">
        <v>3000</v>
      </c>
    </row>
    <row r="15" spans="1:8" ht="20.100000000000001" customHeight="1" x14ac:dyDescent="0.25">
      <c r="A15" s="84"/>
      <c r="B15" s="2"/>
      <c r="C15" s="3"/>
      <c r="D15" s="3"/>
      <c r="E15" s="4"/>
      <c r="F15" s="19"/>
      <c r="G15" s="10"/>
      <c r="H15" s="11"/>
    </row>
    <row r="16" spans="1:8" ht="15.75" x14ac:dyDescent="0.25">
      <c r="A16" s="85"/>
      <c r="B16" s="13"/>
      <c r="C16" s="14"/>
      <c r="D16" s="14"/>
      <c r="E16" s="14" t="s">
        <v>5</v>
      </c>
      <c r="F16" s="15"/>
      <c r="G16" s="16"/>
      <c r="H16" s="23">
        <f>SUM(H3:H15)</f>
        <v>33000</v>
      </c>
    </row>
  </sheetData>
  <mergeCells count="8">
    <mergeCell ref="A1:A16"/>
    <mergeCell ref="F1:F2"/>
    <mergeCell ref="G1:G2"/>
    <mergeCell ref="H1:H2"/>
    <mergeCell ref="B1:B2"/>
    <mergeCell ref="C1:C2"/>
    <mergeCell ref="D1:D2"/>
    <mergeCell ref="E1:E2"/>
  </mergeCells>
  <pageMargins left="0.7" right="0.7" top="0.75" bottom="0.75" header="0.3" footer="0.3"/>
  <pageSetup paperSize="9" orientation="portrait" horizontalDpi="120" verticalDpi="72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53"/>
  <sheetViews>
    <sheetView topLeftCell="A30" workbookViewId="0">
      <selection activeCell="M42" sqref="M42"/>
    </sheetView>
  </sheetViews>
  <sheetFormatPr baseColWidth="10" defaultColWidth="9.140625" defaultRowHeight="15" x14ac:dyDescent="0.25"/>
  <cols>
    <col min="1" max="1" width="18.5703125" customWidth="1"/>
    <col min="2" max="2" width="12.7109375" bestFit="1" customWidth="1"/>
    <col min="3" max="3" width="17.42578125" customWidth="1"/>
    <col min="4" max="4" width="11" customWidth="1"/>
    <col min="5" max="5" width="32.42578125" bestFit="1" customWidth="1"/>
    <col min="6" max="6" width="38.28515625" style="1" customWidth="1"/>
    <col min="7" max="7" width="16.140625" customWidth="1"/>
    <col min="8" max="8" width="14.28515625" bestFit="1" customWidth="1"/>
  </cols>
  <sheetData>
    <row r="1" spans="1:8" ht="15" customHeight="1" x14ac:dyDescent="0.25">
      <c r="A1" s="83" t="s">
        <v>21</v>
      </c>
      <c r="B1" s="81" t="s">
        <v>0</v>
      </c>
      <c r="C1" s="82" t="s">
        <v>1</v>
      </c>
      <c r="D1" s="82" t="s">
        <v>2</v>
      </c>
      <c r="E1" s="82" t="s">
        <v>3</v>
      </c>
      <c r="F1" s="82" t="s">
        <v>8</v>
      </c>
      <c r="G1" s="79" t="s">
        <v>4</v>
      </c>
      <c r="H1" s="80" t="s">
        <v>5</v>
      </c>
    </row>
    <row r="2" spans="1:8" ht="15" customHeight="1" x14ac:dyDescent="0.25">
      <c r="A2" s="84"/>
      <c r="B2" s="72"/>
      <c r="C2" s="74"/>
      <c r="D2" s="74"/>
      <c r="E2" s="74"/>
      <c r="F2" s="74"/>
      <c r="G2" s="68"/>
      <c r="H2" s="70"/>
    </row>
    <row r="3" spans="1:8" ht="20.100000000000001" customHeight="1" x14ac:dyDescent="0.25">
      <c r="A3" s="84"/>
      <c r="B3" s="2">
        <v>45300</v>
      </c>
      <c r="C3" s="3">
        <v>679428893</v>
      </c>
      <c r="D3" s="3">
        <v>6</v>
      </c>
      <c r="E3" s="4" t="s">
        <v>151</v>
      </c>
      <c r="F3" s="19" t="s">
        <v>21</v>
      </c>
      <c r="G3" s="10" t="s">
        <v>7</v>
      </c>
      <c r="H3" s="11">
        <v>3000</v>
      </c>
    </row>
    <row r="4" spans="1:8" ht="20.100000000000001" customHeight="1" x14ac:dyDescent="0.25">
      <c r="A4" s="84"/>
      <c r="B4" s="2">
        <v>45303</v>
      </c>
      <c r="C4" s="3">
        <v>549211363</v>
      </c>
      <c r="D4" s="3">
        <v>6</v>
      </c>
      <c r="E4" s="4" t="s">
        <v>78</v>
      </c>
      <c r="F4" s="19" t="s">
        <v>21</v>
      </c>
      <c r="G4" s="10" t="s">
        <v>6</v>
      </c>
      <c r="H4" s="11">
        <v>3000</v>
      </c>
    </row>
    <row r="5" spans="1:8" ht="20.100000000000001" customHeight="1" x14ac:dyDescent="0.25">
      <c r="A5" s="84"/>
      <c r="B5" s="2">
        <v>45322</v>
      </c>
      <c r="C5" s="3">
        <v>4013507674</v>
      </c>
      <c r="D5" s="3">
        <v>1</v>
      </c>
      <c r="E5" s="4" t="s">
        <v>152</v>
      </c>
      <c r="F5" s="19" t="s">
        <v>21</v>
      </c>
      <c r="G5" s="10" t="s">
        <v>6</v>
      </c>
      <c r="H5" s="11">
        <v>583.79999999999995</v>
      </c>
    </row>
    <row r="6" spans="1:8" ht="20.100000000000001" customHeight="1" x14ac:dyDescent="0.25">
      <c r="A6" s="84"/>
      <c r="B6" s="2">
        <v>45322</v>
      </c>
      <c r="C6" s="3">
        <v>4013507674</v>
      </c>
      <c r="D6" s="3">
        <v>1</v>
      </c>
      <c r="E6" s="4" t="s">
        <v>153</v>
      </c>
      <c r="F6" s="19" t="s">
        <v>21</v>
      </c>
      <c r="G6" s="10" t="s">
        <v>6</v>
      </c>
      <c r="H6" s="11">
        <v>583.79999999999995</v>
      </c>
    </row>
    <row r="7" spans="1:8" ht="20.100000000000001" customHeight="1" x14ac:dyDescent="0.25">
      <c r="A7" s="84"/>
      <c r="B7" s="2">
        <v>45329</v>
      </c>
      <c r="C7" s="3">
        <v>195643368</v>
      </c>
      <c r="D7" s="3">
        <v>1</v>
      </c>
      <c r="E7" s="4" t="s">
        <v>240</v>
      </c>
      <c r="F7" s="4" t="s">
        <v>21</v>
      </c>
      <c r="G7" s="5" t="s">
        <v>7</v>
      </c>
      <c r="H7" s="6">
        <v>834</v>
      </c>
    </row>
    <row r="8" spans="1:8" ht="20.100000000000001" customHeight="1" x14ac:dyDescent="0.25">
      <c r="A8" s="84"/>
      <c r="B8" s="2">
        <v>45356</v>
      </c>
      <c r="C8" s="3">
        <v>2355252326</v>
      </c>
      <c r="D8" s="3">
        <v>3</v>
      </c>
      <c r="E8" s="19" t="s">
        <v>223</v>
      </c>
      <c r="F8" s="19" t="s">
        <v>21</v>
      </c>
      <c r="G8" s="10" t="s">
        <v>7</v>
      </c>
      <c r="H8" s="11">
        <v>2502</v>
      </c>
    </row>
    <row r="9" spans="1:8" ht="20.100000000000001" customHeight="1" x14ac:dyDescent="0.25">
      <c r="A9" s="84"/>
      <c r="B9" s="2">
        <v>45373</v>
      </c>
      <c r="C9" s="3">
        <v>1469989733</v>
      </c>
      <c r="D9" s="3">
        <v>2</v>
      </c>
      <c r="E9" s="19" t="s">
        <v>328</v>
      </c>
      <c r="F9" s="19" t="s">
        <v>21</v>
      </c>
      <c r="G9" s="10" t="s">
        <v>7</v>
      </c>
      <c r="H9" s="11">
        <v>1332</v>
      </c>
    </row>
    <row r="10" spans="1:8" ht="20.100000000000001" customHeight="1" x14ac:dyDescent="0.25">
      <c r="A10" s="84"/>
      <c r="B10" s="2">
        <v>45373</v>
      </c>
      <c r="C10" s="3">
        <v>1469989733</v>
      </c>
      <c r="D10" s="3">
        <v>1</v>
      </c>
      <c r="E10" s="19" t="s">
        <v>328</v>
      </c>
      <c r="F10" s="19" t="s">
        <v>21</v>
      </c>
      <c r="G10" s="10" t="s">
        <v>7</v>
      </c>
      <c r="H10" s="11">
        <v>668</v>
      </c>
    </row>
    <row r="11" spans="1:8" ht="20.100000000000001" customHeight="1" x14ac:dyDescent="0.25">
      <c r="A11" s="84"/>
      <c r="B11" s="2">
        <v>45387</v>
      </c>
      <c r="C11" s="3">
        <v>1098599118</v>
      </c>
      <c r="D11" s="3">
        <v>1</v>
      </c>
      <c r="E11" s="19" t="s">
        <v>502</v>
      </c>
      <c r="F11" s="19" t="s">
        <v>21</v>
      </c>
      <c r="G11" s="10" t="s">
        <v>6</v>
      </c>
      <c r="H11" s="11">
        <v>834</v>
      </c>
    </row>
    <row r="12" spans="1:8" ht="20.100000000000001" customHeight="1" x14ac:dyDescent="0.25">
      <c r="A12" s="84"/>
      <c r="B12" s="2">
        <v>45418</v>
      </c>
      <c r="C12" s="3">
        <v>1144539295</v>
      </c>
      <c r="D12" s="3">
        <v>1</v>
      </c>
      <c r="E12" s="19" t="s">
        <v>606</v>
      </c>
      <c r="F12" s="19" t="s">
        <v>607</v>
      </c>
      <c r="G12" s="10" t="s">
        <v>6</v>
      </c>
      <c r="H12" s="11">
        <v>834</v>
      </c>
    </row>
    <row r="13" spans="1:8" ht="20.100000000000001" customHeight="1" x14ac:dyDescent="0.25">
      <c r="A13" s="84"/>
      <c r="B13" s="2">
        <v>45420</v>
      </c>
      <c r="C13" s="3">
        <v>356076022</v>
      </c>
      <c r="D13" s="3">
        <v>1</v>
      </c>
      <c r="E13" s="19" t="s">
        <v>238</v>
      </c>
      <c r="F13" s="19" t="s">
        <v>607</v>
      </c>
      <c r="G13" s="10" t="s">
        <v>19</v>
      </c>
      <c r="H13" s="11">
        <v>834</v>
      </c>
    </row>
    <row r="14" spans="1:8" ht="20.100000000000001" customHeight="1" x14ac:dyDescent="0.25">
      <c r="A14" s="84"/>
      <c r="B14" s="2">
        <v>45421</v>
      </c>
      <c r="C14" s="3">
        <v>4156441337</v>
      </c>
      <c r="D14" s="3">
        <v>1</v>
      </c>
      <c r="E14" s="19" t="s">
        <v>608</v>
      </c>
      <c r="F14" s="19" t="s">
        <v>21</v>
      </c>
      <c r="G14" s="10" t="s">
        <v>6</v>
      </c>
      <c r="H14" s="11">
        <v>834</v>
      </c>
    </row>
    <row r="15" spans="1:8" ht="20.100000000000001" customHeight="1" x14ac:dyDescent="0.25">
      <c r="A15" s="84"/>
      <c r="B15" s="2">
        <v>45433</v>
      </c>
      <c r="C15" s="3">
        <v>620842447</v>
      </c>
      <c r="D15" s="3">
        <v>1</v>
      </c>
      <c r="E15" s="19" t="s">
        <v>609</v>
      </c>
      <c r="F15" s="19" t="s">
        <v>21</v>
      </c>
      <c r="G15" s="10" t="s">
        <v>11</v>
      </c>
      <c r="H15" s="11">
        <v>834</v>
      </c>
    </row>
    <row r="16" spans="1:8" ht="20.100000000000001" customHeight="1" x14ac:dyDescent="0.25">
      <c r="A16" s="84"/>
      <c r="B16" s="2">
        <v>45441</v>
      </c>
      <c r="C16" s="3">
        <v>121195756</v>
      </c>
      <c r="D16" s="3">
        <v>2</v>
      </c>
      <c r="E16" s="19" t="s">
        <v>603</v>
      </c>
      <c r="F16" s="19" t="s">
        <v>21</v>
      </c>
      <c r="G16" s="10" t="s">
        <v>7</v>
      </c>
      <c r="H16" s="11">
        <v>1167.5999999999999</v>
      </c>
    </row>
    <row r="17" spans="1:8" ht="20.100000000000001" customHeight="1" x14ac:dyDescent="0.25">
      <c r="A17" s="84"/>
      <c r="B17" s="2">
        <v>45442</v>
      </c>
      <c r="C17" s="3">
        <v>279531200</v>
      </c>
      <c r="D17" s="3">
        <v>1</v>
      </c>
      <c r="E17" s="19" t="s">
        <v>610</v>
      </c>
      <c r="F17" s="19" t="s">
        <v>21</v>
      </c>
      <c r="G17" s="10" t="s">
        <v>19</v>
      </c>
      <c r="H17" s="11">
        <v>580</v>
      </c>
    </row>
    <row r="18" spans="1:8" ht="20.100000000000001" customHeight="1" x14ac:dyDescent="0.25">
      <c r="A18" s="84"/>
      <c r="B18" s="2">
        <v>45442</v>
      </c>
      <c r="C18" s="3">
        <v>279531200</v>
      </c>
      <c r="D18" s="3">
        <v>2</v>
      </c>
      <c r="E18" s="19" t="s">
        <v>611</v>
      </c>
      <c r="F18" s="19" t="s">
        <v>21</v>
      </c>
      <c r="G18" s="10" t="s">
        <v>19</v>
      </c>
      <c r="H18" s="11">
        <v>1160</v>
      </c>
    </row>
    <row r="19" spans="1:8" ht="20.100000000000001" customHeight="1" x14ac:dyDescent="0.25">
      <c r="A19" s="84"/>
      <c r="B19" s="2">
        <v>45442</v>
      </c>
      <c r="C19" s="3">
        <v>2429373620</v>
      </c>
      <c r="D19" s="3">
        <v>1</v>
      </c>
      <c r="E19" s="19" t="s">
        <v>612</v>
      </c>
      <c r="F19" s="19" t="s">
        <v>21</v>
      </c>
      <c r="G19" s="10" t="s">
        <v>6</v>
      </c>
      <c r="H19" s="11">
        <v>834</v>
      </c>
    </row>
    <row r="20" spans="1:8" ht="20.100000000000001" customHeight="1" x14ac:dyDescent="0.25">
      <c r="A20" s="84"/>
      <c r="B20" s="2">
        <v>45448</v>
      </c>
      <c r="C20" s="3">
        <v>4090120337</v>
      </c>
      <c r="D20" s="3">
        <v>2</v>
      </c>
      <c r="E20" s="19" t="s">
        <v>704</v>
      </c>
      <c r="F20" s="19" t="s">
        <v>21</v>
      </c>
      <c r="G20" s="10" t="s">
        <v>7</v>
      </c>
      <c r="H20" s="11">
        <v>1668</v>
      </c>
    </row>
    <row r="21" spans="1:8" ht="20.100000000000001" customHeight="1" x14ac:dyDescent="0.25">
      <c r="A21" s="84"/>
      <c r="B21" s="2">
        <v>45492</v>
      </c>
      <c r="C21" s="3">
        <v>1751073860</v>
      </c>
      <c r="D21" s="3">
        <v>1</v>
      </c>
      <c r="E21" s="4" t="s">
        <v>791</v>
      </c>
      <c r="F21" s="19" t="s">
        <v>21</v>
      </c>
      <c r="G21" s="5" t="s">
        <v>6</v>
      </c>
      <c r="H21" s="6">
        <v>834</v>
      </c>
    </row>
    <row r="22" spans="1:8" ht="20.100000000000001" customHeight="1" x14ac:dyDescent="0.25">
      <c r="A22" s="84"/>
      <c r="B22" s="2">
        <v>45503</v>
      </c>
      <c r="C22" s="3">
        <v>3704311757</v>
      </c>
      <c r="D22" s="3">
        <v>2</v>
      </c>
      <c r="E22" s="4" t="s">
        <v>169</v>
      </c>
      <c r="F22" s="19" t="s">
        <v>21</v>
      </c>
      <c r="G22" s="5" t="s">
        <v>19</v>
      </c>
      <c r="H22" s="6">
        <v>960</v>
      </c>
    </row>
    <row r="23" spans="1:8" ht="20.100000000000001" customHeight="1" x14ac:dyDescent="0.25">
      <c r="A23" s="84"/>
      <c r="B23" s="2">
        <v>45506</v>
      </c>
      <c r="C23" s="3">
        <v>29431729671</v>
      </c>
      <c r="D23" s="3">
        <v>1</v>
      </c>
      <c r="E23" s="4" t="s">
        <v>502</v>
      </c>
      <c r="F23" s="19" t="s">
        <v>21</v>
      </c>
      <c r="G23" s="5" t="s">
        <v>6</v>
      </c>
      <c r="H23" s="6">
        <v>834</v>
      </c>
    </row>
    <row r="24" spans="1:8" ht="20.100000000000001" customHeight="1" x14ac:dyDescent="0.25">
      <c r="A24" s="84"/>
      <c r="B24" s="2">
        <v>45517</v>
      </c>
      <c r="C24" s="3">
        <v>4260381533</v>
      </c>
      <c r="D24" s="3">
        <v>5</v>
      </c>
      <c r="E24" s="4" t="s">
        <v>927</v>
      </c>
      <c r="F24" s="19" t="s">
        <v>21</v>
      </c>
      <c r="G24" s="5" t="s">
        <v>6</v>
      </c>
      <c r="H24" s="6">
        <v>2915</v>
      </c>
    </row>
    <row r="25" spans="1:8" ht="20.100000000000001" customHeight="1" x14ac:dyDescent="0.25">
      <c r="A25" s="84"/>
      <c r="B25" s="2">
        <v>45517</v>
      </c>
      <c r="C25" s="3">
        <v>4260381533</v>
      </c>
      <c r="D25" s="3">
        <v>1</v>
      </c>
      <c r="E25" s="4" t="s">
        <v>927</v>
      </c>
      <c r="F25" s="19" t="s">
        <v>21</v>
      </c>
      <c r="G25" s="5" t="s">
        <v>6</v>
      </c>
      <c r="H25" s="6">
        <v>585</v>
      </c>
    </row>
    <row r="26" spans="1:8" ht="20.100000000000001" customHeight="1" x14ac:dyDescent="0.25">
      <c r="A26" s="84"/>
      <c r="B26" s="2">
        <v>45520</v>
      </c>
      <c r="C26" s="3">
        <v>2385397103</v>
      </c>
      <c r="D26" s="3">
        <v>1</v>
      </c>
      <c r="E26" s="4" t="s">
        <v>890</v>
      </c>
      <c r="F26" s="19" t="s">
        <v>21</v>
      </c>
      <c r="G26" s="5" t="s">
        <v>7</v>
      </c>
      <c r="H26" s="6">
        <v>734</v>
      </c>
    </row>
    <row r="27" spans="1:8" ht="20.100000000000001" customHeight="1" x14ac:dyDescent="0.25">
      <c r="A27" s="84"/>
      <c r="B27" s="2">
        <v>45532</v>
      </c>
      <c r="C27" s="3">
        <v>2569158667</v>
      </c>
      <c r="D27" s="3">
        <v>1</v>
      </c>
      <c r="E27" s="4" t="s">
        <v>920</v>
      </c>
      <c r="F27" s="19" t="s">
        <v>21</v>
      </c>
      <c r="G27" s="5" t="s">
        <v>7</v>
      </c>
      <c r="H27" s="6">
        <v>834</v>
      </c>
    </row>
    <row r="28" spans="1:8" ht="20.100000000000001" customHeight="1" x14ac:dyDescent="0.25">
      <c r="A28" s="84"/>
      <c r="B28" s="2">
        <v>45541</v>
      </c>
      <c r="C28" s="3">
        <v>1353272801</v>
      </c>
      <c r="D28" s="3">
        <v>2</v>
      </c>
      <c r="E28" s="4" t="s">
        <v>238</v>
      </c>
      <c r="F28" s="19" t="s">
        <v>21</v>
      </c>
      <c r="G28" s="5" t="s">
        <v>10</v>
      </c>
      <c r="H28" s="6">
        <v>1668</v>
      </c>
    </row>
    <row r="29" spans="1:8" ht="20.100000000000001" customHeight="1" x14ac:dyDescent="0.25">
      <c r="A29" s="84"/>
      <c r="B29" s="2">
        <v>45544</v>
      </c>
      <c r="C29" s="3">
        <v>489900255</v>
      </c>
      <c r="D29" s="3">
        <v>1</v>
      </c>
      <c r="E29" s="4" t="s">
        <v>966</v>
      </c>
      <c r="F29" s="19" t="s">
        <v>21</v>
      </c>
      <c r="G29" s="5" t="s">
        <v>6</v>
      </c>
      <c r="H29" s="6">
        <v>750</v>
      </c>
    </row>
    <row r="30" spans="1:8" ht="20.100000000000001" customHeight="1" x14ac:dyDescent="0.25">
      <c r="A30" s="84"/>
      <c r="B30" s="2">
        <v>45544</v>
      </c>
      <c r="C30" s="3">
        <v>488654829</v>
      </c>
      <c r="D30" s="3">
        <v>1</v>
      </c>
      <c r="E30" s="4" t="s">
        <v>988</v>
      </c>
      <c r="F30" s="19" t="s">
        <v>21</v>
      </c>
      <c r="G30" s="5" t="s">
        <v>6</v>
      </c>
      <c r="H30" s="6">
        <v>834</v>
      </c>
    </row>
    <row r="31" spans="1:8" ht="20.100000000000001" customHeight="1" x14ac:dyDescent="0.25">
      <c r="A31" s="84"/>
      <c r="B31" s="2">
        <v>45580</v>
      </c>
      <c r="C31" s="3">
        <v>1334068628</v>
      </c>
      <c r="D31" s="3">
        <v>1</v>
      </c>
      <c r="E31" s="4" t="s">
        <v>1069</v>
      </c>
      <c r="F31" s="19" t="s">
        <v>21</v>
      </c>
      <c r="G31" s="5" t="s">
        <v>19</v>
      </c>
      <c r="H31" s="6">
        <v>834</v>
      </c>
    </row>
    <row r="32" spans="1:8" ht="20.100000000000001" customHeight="1" x14ac:dyDescent="0.25">
      <c r="A32" s="84"/>
      <c r="B32" s="2">
        <v>45580</v>
      </c>
      <c r="C32" s="3">
        <v>327172717</v>
      </c>
      <c r="D32" s="3">
        <v>1</v>
      </c>
      <c r="E32" s="4" t="s">
        <v>1039</v>
      </c>
      <c r="F32" s="19" t="s">
        <v>21</v>
      </c>
      <c r="G32" s="5" t="s">
        <v>7</v>
      </c>
      <c r="H32" s="6">
        <v>834</v>
      </c>
    </row>
    <row r="33" spans="1:8" ht="20.100000000000001" customHeight="1" x14ac:dyDescent="0.25">
      <c r="A33" s="84"/>
      <c r="B33" s="2">
        <v>45586</v>
      </c>
      <c r="C33" s="3">
        <v>1421952829</v>
      </c>
      <c r="D33" s="3">
        <v>1</v>
      </c>
      <c r="E33" s="4" t="s">
        <v>616</v>
      </c>
      <c r="F33" s="19" t="s">
        <v>21</v>
      </c>
      <c r="G33" s="5" t="s">
        <v>6</v>
      </c>
      <c r="H33" s="6">
        <v>834</v>
      </c>
    </row>
    <row r="34" spans="1:8" ht="20.100000000000001" customHeight="1" x14ac:dyDescent="0.25">
      <c r="A34" s="84"/>
      <c r="B34" s="2">
        <v>45600</v>
      </c>
      <c r="C34" s="3">
        <v>982467255</v>
      </c>
      <c r="D34" s="3">
        <v>1</v>
      </c>
      <c r="E34" s="4" t="s">
        <v>1158</v>
      </c>
      <c r="F34" s="19" t="s">
        <v>21</v>
      </c>
      <c r="G34" s="5" t="s">
        <v>19</v>
      </c>
      <c r="H34" s="6">
        <v>834</v>
      </c>
    </row>
    <row r="35" spans="1:8" ht="20.100000000000001" customHeight="1" x14ac:dyDescent="0.25">
      <c r="A35" s="84"/>
      <c r="B35" s="2">
        <v>45616</v>
      </c>
      <c r="C35" s="3">
        <v>2935898323</v>
      </c>
      <c r="D35" s="3">
        <v>1</v>
      </c>
      <c r="E35" s="4" t="s">
        <v>1159</v>
      </c>
      <c r="F35" s="19" t="s">
        <v>21</v>
      </c>
      <c r="G35" s="5" t="s">
        <v>19</v>
      </c>
      <c r="H35" s="6">
        <v>583.79999999999995</v>
      </c>
    </row>
    <row r="36" spans="1:8" ht="20.100000000000001" customHeight="1" x14ac:dyDescent="0.25">
      <c r="A36" s="84"/>
      <c r="B36" s="2">
        <v>45622</v>
      </c>
      <c r="C36" s="3">
        <v>468206205</v>
      </c>
      <c r="D36" s="3">
        <v>5</v>
      </c>
      <c r="E36" s="4" t="s">
        <v>1160</v>
      </c>
      <c r="F36" s="19" t="s">
        <v>21</v>
      </c>
      <c r="G36" s="5" t="s">
        <v>19</v>
      </c>
      <c r="H36" s="6">
        <v>2415</v>
      </c>
    </row>
    <row r="37" spans="1:8" ht="20.100000000000001" customHeight="1" x14ac:dyDescent="0.25">
      <c r="A37" s="84"/>
      <c r="B37" s="2">
        <v>45622</v>
      </c>
      <c r="C37" s="3">
        <v>468206205</v>
      </c>
      <c r="D37" s="3">
        <v>1</v>
      </c>
      <c r="E37" s="4" t="s">
        <v>1160</v>
      </c>
      <c r="F37" s="19" t="s">
        <v>21</v>
      </c>
      <c r="G37" s="5" t="s">
        <v>19</v>
      </c>
      <c r="H37" s="6">
        <v>485</v>
      </c>
    </row>
    <row r="38" spans="1:8" ht="20.100000000000001" customHeight="1" x14ac:dyDescent="0.25">
      <c r="A38" s="84"/>
      <c r="B38" s="2">
        <v>45632</v>
      </c>
      <c r="C38" s="3">
        <v>3519301957</v>
      </c>
      <c r="D38" s="3">
        <v>1</v>
      </c>
      <c r="E38" s="4" t="s">
        <v>1255</v>
      </c>
      <c r="F38" s="19" t="s">
        <v>21</v>
      </c>
      <c r="G38" s="5" t="s">
        <v>6</v>
      </c>
      <c r="H38" s="6">
        <v>834</v>
      </c>
    </row>
    <row r="39" spans="1:8" ht="20.100000000000001" customHeight="1" x14ac:dyDescent="0.25">
      <c r="A39" s="84"/>
      <c r="B39" s="2">
        <v>45636</v>
      </c>
      <c r="C39" s="3">
        <v>32194845</v>
      </c>
      <c r="D39" s="3">
        <v>1</v>
      </c>
      <c r="E39" s="4" t="s">
        <v>238</v>
      </c>
      <c r="F39" s="19" t="s">
        <v>21</v>
      </c>
      <c r="G39" s="5" t="s">
        <v>7</v>
      </c>
      <c r="H39" s="6">
        <v>834</v>
      </c>
    </row>
    <row r="40" spans="1:8" ht="20.100000000000001" customHeight="1" x14ac:dyDescent="0.25">
      <c r="A40" s="84"/>
      <c r="B40" s="2">
        <v>45637</v>
      </c>
      <c r="C40" s="3">
        <v>746406569</v>
      </c>
      <c r="D40" s="3">
        <v>5</v>
      </c>
      <c r="E40" s="4" t="s">
        <v>1259</v>
      </c>
      <c r="F40" s="19" t="s">
        <v>21</v>
      </c>
      <c r="G40" s="5" t="s">
        <v>7</v>
      </c>
      <c r="H40" s="6">
        <v>2415</v>
      </c>
    </row>
    <row r="41" spans="1:8" ht="20.100000000000001" customHeight="1" x14ac:dyDescent="0.25">
      <c r="A41" s="84"/>
      <c r="B41" s="2">
        <v>45637</v>
      </c>
      <c r="C41" s="3">
        <v>746406569</v>
      </c>
      <c r="D41" s="3">
        <v>1</v>
      </c>
      <c r="E41" s="4" t="s">
        <v>1259</v>
      </c>
      <c r="F41" s="19" t="s">
        <v>21</v>
      </c>
      <c r="G41" s="5" t="s">
        <v>7</v>
      </c>
      <c r="H41" s="6">
        <v>485</v>
      </c>
    </row>
    <row r="42" spans="1:8" ht="20.100000000000001" customHeight="1" x14ac:dyDescent="0.25">
      <c r="A42" s="84"/>
      <c r="B42" s="2">
        <v>45638</v>
      </c>
      <c r="C42" s="3">
        <v>3641001320</v>
      </c>
      <c r="D42" s="3">
        <v>1</v>
      </c>
      <c r="E42" s="4" t="s">
        <v>202</v>
      </c>
      <c r="F42" s="19" t="s">
        <v>21</v>
      </c>
      <c r="G42" s="5" t="s">
        <v>6</v>
      </c>
      <c r="H42" s="6">
        <v>834</v>
      </c>
    </row>
    <row r="43" spans="1:8" ht="20.100000000000001" customHeight="1" x14ac:dyDescent="0.25">
      <c r="A43" s="84"/>
      <c r="B43" s="2"/>
      <c r="C43" s="3"/>
      <c r="D43" s="3"/>
      <c r="E43" s="4"/>
      <c r="F43" s="19"/>
      <c r="G43" s="5"/>
      <c r="H43" s="6"/>
    </row>
    <row r="44" spans="1:8" ht="20.100000000000001" customHeight="1" x14ac:dyDescent="0.25">
      <c r="A44" s="84"/>
      <c r="B44" s="2"/>
      <c r="C44" s="3"/>
      <c r="D44" s="3"/>
      <c r="E44" s="4"/>
      <c r="F44" s="19"/>
      <c r="G44" s="5"/>
      <c r="H44" s="6"/>
    </row>
    <row r="45" spans="1:8" ht="20.100000000000001" customHeight="1" x14ac:dyDescent="0.25">
      <c r="A45" s="84"/>
      <c r="B45" s="2"/>
      <c r="C45" s="3"/>
      <c r="D45" s="3"/>
      <c r="E45" s="4"/>
      <c r="F45" s="19"/>
      <c r="G45" s="5"/>
      <c r="H45" s="6"/>
    </row>
    <row r="46" spans="1:8" ht="20.100000000000001" customHeight="1" x14ac:dyDescent="0.25">
      <c r="A46" s="84"/>
      <c r="B46" s="2"/>
      <c r="C46" s="3"/>
      <c r="D46" s="3"/>
      <c r="E46" s="4"/>
      <c r="F46" s="19"/>
      <c r="G46" s="5"/>
      <c r="H46" s="6"/>
    </row>
    <row r="47" spans="1:8" ht="20.100000000000001" customHeight="1" x14ac:dyDescent="0.25">
      <c r="A47" s="84"/>
      <c r="B47" s="2"/>
      <c r="C47" s="3"/>
      <c r="D47" s="3"/>
      <c r="E47" s="4"/>
      <c r="F47" s="19"/>
      <c r="G47" s="5"/>
      <c r="H47" s="6"/>
    </row>
    <row r="48" spans="1:8" ht="20.100000000000001" customHeight="1" x14ac:dyDescent="0.25">
      <c r="A48" s="84"/>
      <c r="B48" s="2"/>
      <c r="C48" s="3"/>
      <c r="D48" s="3"/>
      <c r="E48" s="4"/>
      <c r="F48" s="19"/>
      <c r="G48" s="5"/>
      <c r="H48" s="6"/>
    </row>
    <row r="49" spans="1:8" ht="20.100000000000001" customHeight="1" x14ac:dyDescent="0.25">
      <c r="A49" s="84"/>
      <c r="B49" s="2"/>
      <c r="C49" s="3"/>
      <c r="D49" s="3"/>
      <c r="E49" s="4"/>
      <c r="F49" s="19"/>
      <c r="G49" s="5"/>
      <c r="H49" s="6"/>
    </row>
    <row r="50" spans="1:8" ht="20.100000000000001" customHeight="1" x14ac:dyDescent="0.25">
      <c r="A50" s="84"/>
      <c r="B50" s="2"/>
      <c r="C50" s="3"/>
      <c r="D50" s="3"/>
      <c r="E50" s="4"/>
      <c r="F50" s="19"/>
      <c r="G50" s="5"/>
      <c r="H50" s="6"/>
    </row>
    <row r="51" spans="1:8" ht="20.100000000000001" customHeight="1" x14ac:dyDescent="0.25">
      <c r="A51" s="84"/>
      <c r="B51" s="2"/>
      <c r="C51" s="3"/>
      <c r="D51" s="3"/>
      <c r="E51" s="4"/>
      <c r="F51" s="19"/>
      <c r="G51" s="10"/>
      <c r="H51" s="11"/>
    </row>
    <row r="52" spans="1:8" ht="20.100000000000001" customHeight="1" x14ac:dyDescent="0.25">
      <c r="A52" s="84"/>
      <c r="B52" s="2"/>
      <c r="C52" s="3"/>
      <c r="D52" s="3"/>
      <c r="E52" s="4"/>
      <c r="F52" s="19"/>
      <c r="G52" s="10"/>
      <c r="H52" s="11"/>
    </row>
    <row r="53" spans="1:8" ht="15.75" x14ac:dyDescent="0.25">
      <c r="A53" s="85"/>
      <c r="B53" s="13"/>
      <c r="C53" s="14"/>
      <c r="D53" s="14"/>
      <c r="E53" s="14" t="s">
        <v>5</v>
      </c>
      <c r="F53" s="15"/>
      <c r="G53" s="16"/>
      <c r="H53" s="23">
        <f>SUM(H3:H52)</f>
        <v>45253</v>
      </c>
    </row>
  </sheetData>
  <mergeCells count="8">
    <mergeCell ref="A1:A53"/>
    <mergeCell ref="G1:G2"/>
    <mergeCell ref="H1:H2"/>
    <mergeCell ref="B1:B2"/>
    <mergeCell ref="C1:C2"/>
    <mergeCell ref="D1:D2"/>
    <mergeCell ref="E1:E2"/>
    <mergeCell ref="F1:F2"/>
  </mergeCells>
  <pageMargins left="0.7" right="0.7" top="0.75" bottom="0.75" header="0.3" footer="0.3"/>
  <pageSetup paperSize="9" orientation="portrait" horizontalDpi="120" verticalDpi="72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8"/>
  <sheetViews>
    <sheetView workbookViewId="0">
      <selection activeCell="F11" sqref="F11"/>
    </sheetView>
  </sheetViews>
  <sheetFormatPr baseColWidth="10" defaultColWidth="9.140625" defaultRowHeight="15" x14ac:dyDescent="0.25"/>
  <cols>
    <col min="1" max="1" width="18.85546875" customWidth="1"/>
    <col min="2" max="2" width="12.7109375" bestFit="1" customWidth="1"/>
    <col min="3" max="3" width="17.42578125" customWidth="1"/>
    <col min="4" max="4" width="11" customWidth="1"/>
    <col min="5" max="5" width="32.42578125" bestFit="1" customWidth="1"/>
    <col min="6" max="6" width="25.7109375" style="1" bestFit="1" customWidth="1"/>
    <col min="7" max="7" width="16.140625" customWidth="1"/>
    <col min="8" max="8" width="14.28515625" bestFit="1" customWidth="1"/>
  </cols>
  <sheetData>
    <row r="1" spans="1:8" ht="15" customHeight="1" x14ac:dyDescent="0.25">
      <c r="A1" s="83" t="s">
        <v>22</v>
      </c>
      <c r="B1" s="81" t="s">
        <v>0</v>
      </c>
      <c r="C1" s="82" t="s">
        <v>1</v>
      </c>
      <c r="D1" s="82" t="s">
        <v>2</v>
      </c>
      <c r="E1" s="82" t="s">
        <v>3</v>
      </c>
      <c r="F1" s="82" t="s">
        <v>8</v>
      </c>
      <c r="G1" s="79" t="s">
        <v>4</v>
      </c>
      <c r="H1" s="80" t="s">
        <v>5</v>
      </c>
    </row>
    <row r="2" spans="1:8" ht="15" customHeight="1" x14ac:dyDescent="0.25">
      <c r="A2" s="84"/>
      <c r="B2" s="72"/>
      <c r="C2" s="74"/>
      <c r="D2" s="74"/>
      <c r="E2" s="74"/>
      <c r="F2" s="74"/>
      <c r="G2" s="68"/>
      <c r="H2" s="70"/>
    </row>
    <row r="3" spans="1:8" ht="20.100000000000001" customHeight="1" x14ac:dyDescent="0.25">
      <c r="A3" s="84"/>
      <c r="B3" s="2">
        <v>45315</v>
      </c>
      <c r="C3" s="3">
        <v>3749136595</v>
      </c>
      <c r="D3" s="3">
        <v>1</v>
      </c>
      <c r="E3" s="4" t="s">
        <v>154</v>
      </c>
      <c r="F3" s="19" t="s">
        <v>22</v>
      </c>
      <c r="G3" s="10" t="s">
        <v>7</v>
      </c>
      <c r="H3" s="11">
        <v>750</v>
      </c>
    </row>
    <row r="4" spans="1:8" ht="20.100000000000001" customHeight="1" x14ac:dyDescent="0.25">
      <c r="A4" s="84"/>
      <c r="B4" s="2">
        <v>45446</v>
      </c>
      <c r="C4" s="3">
        <v>3639757710</v>
      </c>
      <c r="D4" s="3">
        <v>1</v>
      </c>
      <c r="E4" s="19" t="s">
        <v>705</v>
      </c>
      <c r="F4" s="19" t="s">
        <v>706</v>
      </c>
      <c r="G4" s="10" t="s">
        <v>6</v>
      </c>
      <c r="H4" s="11">
        <v>1200</v>
      </c>
    </row>
    <row r="5" spans="1:8" ht="20.100000000000001" customHeight="1" x14ac:dyDescent="0.25">
      <c r="A5" s="84"/>
      <c r="B5" s="2">
        <v>45505</v>
      </c>
      <c r="C5" s="3">
        <v>22168784</v>
      </c>
      <c r="D5" s="3">
        <v>1</v>
      </c>
      <c r="E5" s="4" t="s">
        <v>928</v>
      </c>
      <c r="F5" s="19" t="s">
        <v>706</v>
      </c>
      <c r="G5" s="5" t="s">
        <v>10</v>
      </c>
      <c r="H5" s="6">
        <v>1200</v>
      </c>
    </row>
    <row r="6" spans="1:8" ht="20.100000000000001" customHeight="1" x14ac:dyDescent="0.25">
      <c r="A6" s="84"/>
      <c r="B6" s="2">
        <v>45565</v>
      </c>
      <c r="C6" s="3">
        <v>2551662146</v>
      </c>
      <c r="D6" s="3">
        <v>1</v>
      </c>
      <c r="E6" s="4" t="s">
        <v>989</v>
      </c>
      <c r="F6" s="19" t="s">
        <v>706</v>
      </c>
      <c r="G6" s="5" t="s">
        <v>13</v>
      </c>
      <c r="H6" s="6">
        <v>1200</v>
      </c>
    </row>
    <row r="7" spans="1:8" ht="20.100000000000001" customHeight="1" x14ac:dyDescent="0.25">
      <c r="A7" s="84"/>
      <c r="B7" s="2">
        <v>45572</v>
      </c>
      <c r="C7" s="3">
        <v>3409134142</v>
      </c>
      <c r="D7" s="3">
        <v>1</v>
      </c>
      <c r="E7" s="4" t="s">
        <v>1070</v>
      </c>
      <c r="F7" s="19" t="s">
        <v>1071</v>
      </c>
      <c r="G7" s="5" t="s">
        <v>13</v>
      </c>
      <c r="H7" s="6">
        <v>1200</v>
      </c>
    </row>
    <row r="8" spans="1:8" ht="20.100000000000001" customHeight="1" x14ac:dyDescent="0.25">
      <c r="A8" s="84"/>
      <c r="B8" s="2"/>
      <c r="C8" s="3"/>
      <c r="D8" s="3"/>
      <c r="E8" s="4"/>
      <c r="F8" s="19"/>
      <c r="G8" s="5"/>
      <c r="H8" s="6"/>
    </row>
    <row r="9" spans="1:8" ht="20.100000000000001" customHeight="1" x14ac:dyDescent="0.25">
      <c r="A9" s="84"/>
      <c r="B9" s="2"/>
      <c r="C9" s="3"/>
      <c r="D9" s="3"/>
      <c r="E9" s="4"/>
      <c r="F9" s="19"/>
      <c r="G9" s="5"/>
      <c r="H9" s="6"/>
    </row>
    <row r="10" spans="1:8" ht="20.100000000000001" customHeight="1" x14ac:dyDescent="0.25">
      <c r="A10" s="84"/>
      <c r="B10" s="2"/>
      <c r="C10" s="3"/>
      <c r="D10" s="3"/>
      <c r="E10" s="4"/>
      <c r="F10" s="19"/>
      <c r="G10" s="10"/>
      <c r="H10" s="11"/>
    </row>
    <row r="11" spans="1:8" ht="19.5" customHeight="1" x14ac:dyDescent="0.25">
      <c r="A11" s="84"/>
      <c r="B11" s="2"/>
      <c r="C11" s="3"/>
      <c r="D11" s="3"/>
      <c r="E11" s="4"/>
      <c r="F11" s="19"/>
      <c r="G11" s="10"/>
      <c r="H11" s="11"/>
    </row>
    <row r="12" spans="1:8" ht="20.100000000000001" customHeight="1" x14ac:dyDescent="0.25">
      <c r="A12" s="84"/>
      <c r="B12" s="2"/>
      <c r="C12" s="3"/>
      <c r="D12" s="3"/>
      <c r="E12" s="4"/>
      <c r="F12" s="19"/>
      <c r="G12" s="10"/>
      <c r="H12" s="11"/>
    </row>
    <row r="13" spans="1:8" ht="15.75" x14ac:dyDescent="0.25">
      <c r="A13" s="84"/>
      <c r="B13" s="2"/>
      <c r="C13" s="3"/>
      <c r="D13" s="3"/>
      <c r="E13" s="4"/>
      <c r="F13" s="19"/>
      <c r="G13" s="10"/>
      <c r="H13" s="11"/>
    </row>
    <row r="14" spans="1:8" ht="15.75" x14ac:dyDescent="0.25">
      <c r="A14" s="84"/>
      <c r="B14" s="2"/>
      <c r="C14" s="3"/>
      <c r="D14" s="3"/>
      <c r="E14" s="4"/>
      <c r="F14" s="19"/>
      <c r="G14" s="10"/>
      <c r="H14" s="11"/>
    </row>
    <row r="15" spans="1:8" ht="15.75" x14ac:dyDescent="0.25">
      <c r="A15" s="84"/>
      <c r="B15" s="2"/>
      <c r="C15" s="3"/>
      <c r="D15" s="3"/>
      <c r="E15" s="4"/>
      <c r="F15" s="19"/>
      <c r="G15" s="10"/>
      <c r="H15" s="11"/>
    </row>
    <row r="16" spans="1:8" ht="15.75" x14ac:dyDescent="0.25">
      <c r="A16" s="84"/>
      <c r="B16" s="2"/>
      <c r="C16" s="3"/>
      <c r="D16" s="3"/>
      <c r="E16" s="4"/>
      <c r="F16" s="19"/>
      <c r="G16" s="10"/>
      <c r="H16" s="11"/>
    </row>
    <row r="17" spans="1:8" ht="15.75" x14ac:dyDescent="0.25">
      <c r="A17" s="84"/>
      <c r="B17" s="2"/>
      <c r="C17" s="3"/>
      <c r="D17" s="3"/>
      <c r="E17" s="4"/>
      <c r="F17" s="19"/>
      <c r="G17" s="10"/>
      <c r="H17" s="11"/>
    </row>
    <row r="18" spans="1:8" ht="15.75" x14ac:dyDescent="0.25">
      <c r="A18" s="85"/>
      <c r="B18" s="13"/>
      <c r="C18" s="14"/>
      <c r="D18" s="14"/>
      <c r="E18" s="14" t="s">
        <v>5</v>
      </c>
      <c r="F18" s="15"/>
      <c r="G18" s="16"/>
      <c r="H18" s="23">
        <f>SUM(H3:H17)</f>
        <v>5550</v>
      </c>
    </row>
  </sheetData>
  <mergeCells count="8">
    <mergeCell ref="A1:A18"/>
    <mergeCell ref="H1:H2"/>
    <mergeCell ref="B1:B2"/>
    <mergeCell ref="C1:C2"/>
    <mergeCell ref="D1:D2"/>
    <mergeCell ref="E1:E2"/>
    <mergeCell ref="F1:F2"/>
    <mergeCell ref="G1:G2"/>
  </mergeCells>
  <pageMargins left="0.7" right="0.7" top="0.75" bottom="0.75" header="0.3" footer="0.3"/>
  <pageSetup paperSize="9" orientation="portrait" horizontalDpi="120" verticalDpi="72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58"/>
  <sheetViews>
    <sheetView topLeftCell="A26" workbookViewId="0">
      <selection activeCell="E45" sqref="E45"/>
    </sheetView>
  </sheetViews>
  <sheetFormatPr baseColWidth="10" defaultColWidth="9.140625" defaultRowHeight="15" x14ac:dyDescent="0.25"/>
  <cols>
    <col min="1" max="1" width="18.140625" bestFit="1" customWidth="1"/>
    <col min="2" max="2" width="12.7109375" bestFit="1" customWidth="1"/>
    <col min="3" max="3" width="17.42578125" customWidth="1"/>
    <col min="4" max="4" width="11" customWidth="1"/>
    <col min="5" max="5" width="32.42578125" bestFit="1" customWidth="1"/>
    <col min="6" max="6" width="40.42578125" style="25" bestFit="1" customWidth="1"/>
    <col min="7" max="7" width="16.140625" customWidth="1"/>
    <col min="8" max="8" width="14.28515625" bestFit="1" customWidth="1"/>
  </cols>
  <sheetData>
    <row r="1" spans="1:8" ht="15" customHeight="1" x14ac:dyDescent="0.25">
      <c r="A1" s="83" t="s">
        <v>23</v>
      </c>
      <c r="B1" s="81" t="s">
        <v>0</v>
      </c>
      <c r="C1" s="82" t="s">
        <v>1</v>
      </c>
      <c r="D1" s="82" t="s">
        <v>2</v>
      </c>
      <c r="E1" s="82" t="s">
        <v>3</v>
      </c>
      <c r="F1" s="82" t="s">
        <v>8</v>
      </c>
      <c r="G1" s="79" t="s">
        <v>4</v>
      </c>
      <c r="H1" s="80" t="s">
        <v>5</v>
      </c>
    </row>
    <row r="2" spans="1:8" ht="15" customHeight="1" x14ac:dyDescent="0.25">
      <c r="A2" s="84"/>
      <c r="B2" s="72"/>
      <c r="C2" s="74"/>
      <c r="D2" s="74"/>
      <c r="E2" s="74"/>
      <c r="F2" s="74"/>
      <c r="G2" s="68"/>
      <c r="H2" s="70"/>
    </row>
    <row r="3" spans="1:8" ht="20.100000000000001" customHeight="1" x14ac:dyDescent="0.25">
      <c r="A3" s="84"/>
      <c r="B3" s="2">
        <v>45301</v>
      </c>
      <c r="C3" s="3">
        <v>3831055404</v>
      </c>
      <c r="D3" s="3">
        <v>8</v>
      </c>
      <c r="E3" s="4" t="s">
        <v>100</v>
      </c>
      <c r="F3" s="19" t="s">
        <v>23</v>
      </c>
      <c r="G3" s="10" t="s">
        <v>7</v>
      </c>
      <c r="H3" s="11">
        <v>1600</v>
      </c>
    </row>
    <row r="4" spans="1:8" ht="20.100000000000001" customHeight="1" x14ac:dyDescent="0.25">
      <c r="A4" s="84"/>
      <c r="B4" s="2">
        <v>45313</v>
      </c>
      <c r="C4" s="3">
        <v>2833729445</v>
      </c>
      <c r="D4" s="3">
        <v>5</v>
      </c>
      <c r="E4" s="4" t="s">
        <v>155</v>
      </c>
      <c r="F4" s="19" t="s">
        <v>23</v>
      </c>
      <c r="G4" s="10" t="s">
        <v>19</v>
      </c>
      <c r="H4" s="11">
        <v>1000</v>
      </c>
    </row>
    <row r="5" spans="1:8" ht="20.100000000000001" customHeight="1" x14ac:dyDescent="0.25">
      <c r="A5" s="84"/>
      <c r="B5" s="2">
        <v>45320</v>
      </c>
      <c r="C5" s="3">
        <v>69486400</v>
      </c>
      <c r="D5" s="3">
        <v>8</v>
      </c>
      <c r="E5" s="4" t="s">
        <v>156</v>
      </c>
      <c r="F5" s="19" t="s">
        <v>23</v>
      </c>
      <c r="G5" s="10" t="s">
        <v>7</v>
      </c>
      <c r="H5" s="11">
        <v>1600</v>
      </c>
    </row>
    <row r="6" spans="1:8" ht="20.100000000000001" customHeight="1" x14ac:dyDescent="0.25">
      <c r="A6" s="84"/>
      <c r="B6" s="2">
        <v>45330</v>
      </c>
      <c r="C6" s="3">
        <v>1156400484</v>
      </c>
      <c r="D6" s="3">
        <v>17</v>
      </c>
      <c r="E6" s="4" t="s">
        <v>241</v>
      </c>
      <c r="F6" s="4" t="s">
        <v>23</v>
      </c>
      <c r="G6" s="5" t="s">
        <v>7</v>
      </c>
      <c r="H6" s="6">
        <v>3499.9999499999999</v>
      </c>
    </row>
    <row r="7" spans="1:8" ht="20.100000000000001" customHeight="1" x14ac:dyDescent="0.25">
      <c r="A7" s="84"/>
      <c r="B7" s="2">
        <v>45331</v>
      </c>
      <c r="C7" s="3">
        <v>2547664007</v>
      </c>
      <c r="D7" s="3">
        <v>10</v>
      </c>
      <c r="E7" s="4" t="s">
        <v>242</v>
      </c>
      <c r="F7" s="4" t="s">
        <v>23</v>
      </c>
      <c r="G7" s="5" t="s">
        <v>7</v>
      </c>
      <c r="H7" s="6">
        <v>2000</v>
      </c>
    </row>
    <row r="8" spans="1:8" ht="20.100000000000001" customHeight="1" x14ac:dyDescent="0.25">
      <c r="A8" s="84"/>
      <c r="B8" s="2">
        <v>45334</v>
      </c>
      <c r="C8" s="3">
        <v>4251338516</v>
      </c>
      <c r="D8" s="3">
        <v>10</v>
      </c>
      <c r="E8" s="4" t="s">
        <v>243</v>
      </c>
      <c r="F8" s="4" t="s">
        <v>23</v>
      </c>
      <c r="G8" s="5" t="s">
        <v>10</v>
      </c>
      <c r="H8" s="6">
        <v>2000</v>
      </c>
    </row>
    <row r="9" spans="1:8" ht="20.100000000000001" customHeight="1" x14ac:dyDescent="0.25">
      <c r="A9" s="84"/>
      <c r="B9" s="2">
        <v>45335</v>
      </c>
      <c r="C9" s="3">
        <v>3762898987</v>
      </c>
      <c r="D9" s="3">
        <v>6</v>
      </c>
      <c r="E9" s="4" t="s">
        <v>244</v>
      </c>
      <c r="F9" s="4" t="s">
        <v>23</v>
      </c>
      <c r="G9" s="5" t="s">
        <v>7</v>
      </c>
      <c r="H9" s="6">
        <v>1200</v>
      </c>
    </row>
    <row r="10" spans="1:8" ht="20.100000000000001" customHeight="1" x14ac:dyDescent="0.25">
      <c r="A10" s="84"/>
      <c r="B10" s="2">
        <v>45351</v>
      </c>
      <c r="C10" s="3">
        <v>1234848576</v>
      </c>
      <c r="D10" s="3">
        <v>1</v>
      </c>
      <c r="E10" s="4" t="s">
        <v>219</v>
      </c>
      <c r="F10" s="4" t="s">
        <v>23</v>
      </c>
      <c r="G10" s="5" t="s">
        <v>11</v>
      </c>
      <c r="H10" s="6">
        <v>200</v>
      </c>
    </row>
    <row r="11" spans="1:8" ht="20.100000000000001" customHeight="1" x14ac:dyDescent="0.25">
      <c r="A11" s="84"/>
      <c r="B11" s="2">
        <v>45362</v>
      </c>
      <c r="C11" s="3">
        <v>1071205147</v>
      </c>
      <c r="D11" s="3">
        <v>1</v>
      </c>
      <c r="E11" s="19" t="s">
        <v>329</v>
      </c>
      <c r="F11" s="19" t="s">
        <v>23</v>
      </c>
      <c r="G11" s="10" t="s">
        <v>6</v>
      </c>
      <c r="H11" s="11">
        <v>200</v>
      </c>
    </row>
    <row r="12" spans="1:8" ht="20.100000000000001" customHeight="1" x14ac:dyDescent="0.25">
      <c r="A12" s="84"/>
      <c r="B12" s="2">
        <v>45385</v>
      </c>
      <c r="C12" s="3">
        <v>3741336401</v>
      </c>
      <c r="D12" s="3">
        <v>1</v>
      </c>
      <c r="E12" s="19" t="s">
        <v>503</v>
      </c>
      <c r="F12" s="19" t="s">
        <v>23</v>
      </c>
      <c r="G12" s="10" t="s">
        <v>6</v>
      </c>
      <c r="H12" s="11">
        <v>200</v>
      </c>
    </row>
    <row r="13" spans="1:8" ht="20.100000000000001" customHeight="1" x14ac:dyDescent="0.25">
      <c r="A13" s="84"/>
      <c r="B13" s="2">
        <v>45387</v>
      </c>
      <c r="C13" s="3">
        <v>439108700</v>
      </c>
      <c r="D13" s="3">
        <v>5</v>
      </c>
      <c r="E13" s="19" t="s">
        <v>504</v>
      </c>
      <c r="F13" s="19" t="s">
        <v>23</v>
      </c>
      <c r="G13" s="10" t="s">
        <v>19</v>
      </c>
      <c r="H13" s="11">
        <v>1250</v>
      </c>
    </row>
    <row r="14" spans="1:8" ht="20.100000000000001" customHeight="1" x14ac:dyDescent="0.25">
      <c r="A14" s="84"/>
      <c r="B14" s="2">
        <v>45387</v>
      </c>
      <c r="C14" s="3">
        <v>3172812392</v>
      </c>
      <c r="D14" s="3">
        <v>2</v>
      </c>
      <c r="E14" s="19" t="s">
        <v>478</v>
      </c>
      <c r="F14" s="19" t="s">
        <v>505</v>
      </c>
      <c r="G14" s="10" t="s">
        <v>11</v>
      </c>
      <c r="H14" s="11">
        <v>376</v>
      </c>
    </row>
    <row r="15" spans="1:8" ht="20.100000000000001" customHeight="1" x14ac:dyDescent="0.25">
      <c r="A15" s="84"/>
      <c r="B15" s="2">
        <v>45387</v>
      </c>
      <c r="C15" s="3">
        <v>3172812392</v>
      </c>
      <c r="D15" s="3">
        <v>1</v>
      </c>
      <c r="E15" s="19" t="s">
        <v>478</v>
      </c>
      <c r="F15" s="19" t="s">
        <v>505</v>
      </c>
      <c r="G15" s="10" t="s">
        <v>11</v>
      </c>
      <c r="H15" s="11">
        <v>174</v>
      </c>
    </row>
    <row r="16" spans="1:8" ht="20.100000000000001" customHeight="1" x14ac:dyDescent="0.25">
      <c r="A16" s="84"/>
      <c r="B16" s="2">
        <v>45392</v>
      </c>
      <c r="C16" s="3">
        <v>497304134</v>
      </c>
      <c r="D16" s="3">
        <v>1</v>
      </c>
      <c r="E16" s="19" t="s">
        <v>506</v>
      </c>
      <c r="F16" s="19" t="s">
        <v>23</v>
      </c>
      <c r="G16" s="10" t="s">
        <v>19</v>
      </c>
      <c r="H16" s="11">
        <v>200</v>
      </c>
    </row>
    <row r="17" spans="1:8" ht="20.100000000000001" customHeight="1" x14ac:dyDescent="0.25">
      <c r="A17" s="84"/>
      <c r="B17" s="2">
        <v>45397</v>
      </c>
      <c r="C17" s="3">
        <v>415907993</v>
      </c>
      <c r="D17" s="3">
        <v>5</v>
      </c>
      <c r="E17" s="19" t="s">
        <v>507</v>
      </c>
      <c r="F17" s="19" t="s">
        <v>23</v>
      </c>
      <c r="G17" s="10" t="s">
        <v>6</v>
      </c>
      <c r="H17" s="11">
        <v>1000</v>
      </c>
    </row>
    <row r="18" spans="1:8" ht="20.100000000000001" customHeight="1" x14ac:dyDescent="0.25">
      <c r="A18" s="84"/>
      <c r="B18" s="2">
        <v>45401</v>
      </c>
      <c r="C18" s="3">
        <v>3086568019</v>
      </c>
      <c r="D18" s="3">
        <v>8</v>
      </c>
      <c r="E18" s="19" t="s">
        <v>473</v>
      </c>
      <c r="F18" s="19" t="s">
        <v>23</v>
      </c>
      <c r="G18" s="10" t="s">
        <v>7</v>
      </c>
      <c r="H18" s="11">
        <v>1600</v>
      </c>
    </row>
    <row r="19" spans="1:8" ht="20.100000000000001" customHeight="1" x14ac:dyDescent="0.25">
      <c r="A19" s="84"/>
      <c r="B19" s="2">
        <v>45418</v>
      </c>
      <c r="C19" s="3">
        <v>3108717436</v>
      </c>
      <c r="D19" s="3">
        <v>10</v>
      </c>
      <c r="E19" s="19" t="s">
        <v>613</v>
      </c>
      <c r="F19" s="19" t="s">
        <v>23</v>
      </c>
      <c r="G19" s="10" t="s">
        <v>19</v>
      </c>
      <c r="H19" s="11">
        <v>2000</v>
      </c>
    </row>
    <row r="20" spans="1:8" ht="30" x14ac:dyDescent="0.25">
      <c r="A20" s="84"/>
      <c r="B20" s="2">
        <v>45420</v>
      </c>
      <c r="C20" s="3">
        <v>1550336626</v>
      </c>
      <c r="D20" s="3">
        <v>10</v>
      </c>
      <c r="E20" s="19" t="s">
        <v>614</v>
      </c>
      <c r="F20" s="19" t="s">
        <v>23</v>
      </c>
      <c r="G20" s="10" t="s">
        <v>19</v>
      </c>
      <c r="H20" s="11">
        <v>2000</v>
      </c>
    </row>
    <row r="21" spans="1:8" ht="20.100000000000001" customHeight="1" x14ac:dyDescent="0.25">
      <c r="A21" s="84"/>
      <c r="B21" s="2">
        <v>45435</v>
      </c>
      <c r="C21" s="3">
        <v>1728594369</v>
      </c>
      <c r="D21" s="3">
        <v>10</v>
      </c>
      <c r="E21" s="19" t="s">
        <v>114</v>
      </c>
      <c r="F21" s="19" t="s">
        <v>23</v>
      </c>
      <c r="G21" s="10" t="s">
        <v>19</v>
      </c>
      <c r="H21" s="11">
        <v>2000</v>
      </c>
    </row>
    <row r="22" spans="1:8" ht="20.100000000000001" customHeight="1" x14ac:dyDescent="0.25">
      <c r="A22" s="84"/>
      <c r="B22" s="2">
        <v>45439</v>
      </c>
      <c r="C22" s="3">
        <v>3690483684</v>
      </c>
      <c r="D22" s="3">
        <v>6</v>
      </c>
      <c r="E22" s="19" t="s">
        <v>329</v>
      </c>
      <c r="F22" s="19" t="s">
        <v>23</v>
      </c>
      <c r="G22" s="10" t="s">
        <v>7</v>
      </c>
      <c r="H22" s="11">
        <v>1200</v>
      </c>
    </row>
    <row r="23" spans="1:8" ht="20.100000000000001" customHeight="1" x14ac:dyDescent="0.25">
      <c r="A23" s="84"/>
      <c r="B23" s="2">
        <v>45456</v>
      </c>
      <c r="C23" s="3">
        <v>2076592428</v>
      </c>
      <c r="D23" s="3">
        <v>10</v>
      </c>
      <c r="E23" s="19" t="s">
        <v>707</v>
      </c>
      <c r="F23" s="19" t="s">
        <v>23</v>
      </c>
      <c r="G23" s="10" t="s">
        <v>6</v>
      </c>
      <c r="H23" s="11">
        <v>2000</v>
      </c>
    </row>
    <row r="24" spans="1:8" ht="20.100000000000001" customHeight="1" x14ac:dyDescent="0.25">
      <c r="A24" s="84"/>
      <c r="B24" s="2">
        <v>45468</v>
      </c>
      <c r="C24" s="3">
        <v>1055344814</v>
      </c>
      <c r="D24" s="3">
        <v>10</v>
      </c>
      <c r="E24" s="19" t="s">
        <v>708</v>
      </c>
      <c r="F24" s="19" t="s">
        <v>23</v>
      </c>
      <c r="G24" s="10" t="s">
        <v>6</v>
      </c>
      <c r="H24" s="11">
        <v>2500</v>
      </c>
    </row>
    <row r="25" spans="1:8" ht="20.100000000000001" customHeight="1" x14ac:dyDescent="0.25">
      <c r="A25" s="84"/>
      <c r="B25" s="2">
        <v>45481</v>
      </c>
      <c r="C25" s="3">
        <v>1556302319</v>
      </c>
      <c r="D25" s="3">
        <v>10</v>
      </c>
      <c r="E25" s="4" t="s">
        <v>789</v>
      </c>
      <c r="F25" s="19" t="s">
        <v>23</v>
      </c>
      <c r="G25" s="5" t="s">
        <v>6</v>
      </c>
      <c r="H25" s="6">
        <v>2000</v>
      </c>
    </row>
    <row r="26" spans="1:8" ht="20.100000000000001" customHeight="1" x14ac:dyDescent="0.25">
      <c r="A26" s="84"/>
      <c r="B26" s="2">
        <v>45530</v>
      </c>
      <c r="C26" s="3">
        <v>3659744214</v>
      </c>
      <c r="D26" s="3">
        <v>3</v>
      </c>
      <c r="E26" s="4" t="s">
        <v>700</v>
      </c>
      <c r="F26" s="19" t="s">
        <v>23</v>
      </c>
      <c r="G26" s="5" t="s">
        <v>6</v>
      </c>
      <c r="H26" s="6">
        <v>600</v>
      </c>
    </row>
    <row r="27" spans="1:8" ht="20.100000000000001" customHeight="1" x14ac:dyDescent="0.25">
      <c r="A27" s="84"/>
      <c r="B27" s="2">
        <v>45533</v>
      </c>
      <c r="C27" s="3">
        <v>1250578303</v>
      </c>
      <c r="D27" s="3">
        <v>5</v>
      </c>
      <c r="E27" s="4" t="s">
        <v>929</v>
      </c>
      <c r="F27" s="19" t="s">
        <v>23</v>
      </c>
      <c r="G27" s="5" t="s">
        <v>7</v>
      </c>
      <c r="H27" s="6">
        <v>1000</v>
      </c>
    </row>
    <row r="28" spans="1:8" ht="20.100000000000001" customHeight="1" x14ac:dyDescent="0.25">
      <c r="A28" s="84"/>
      <c r="B28" s="2">
        <v>45554</v>
      </c>
      <c r="C28" s="3">
        <v>705120495</v>
      </c>
      <c r="D28" s="3">
        <v>5</v>
      </c>
      <c r="E28" s="4" t="s">
        <v>974</v>
      </c>
      <c r="F28" s="19" t="s">
        <v>23</v>
      </c>
      <c r="G28" s="5" t="s">
        <v>11</v>
      </c>
      <c r="H28" s="6">
        <v>1000</v>
      </c>
    </row>
    <row r="29" spans="1:8" ht="20.100000000000001" customHeight="1" x14ac:dyDescent="0.25">
      <c r="A29" s="84"/>
      <c r="B29" s="2">
        <v>45554</v>
      </c>
      <c r="C29" s="3">
        <v>705120495</v>
      </c>
      <c r="D29" s="3">
        <v>1</v>
      </c>
      <c r="E29" s="4" t="s">
        <v>974</v>
      </c>
      <c r="F29" s="19" t="s">
        <v>23</v>
      </c>
      <c r="G29" s="5" t="s">
        <v>11</v>
      </c>
      <c r="H29" s="6">
        <v>250</v>
      </c>
    </row>
    <row r="30" spans="1:8" ht="20.100000000000001" customHeight="1" x14ac:dyDescent="0.25">
      <c r="A30" s="84"/>
      <c r="B30" s="2">
        <v>45601</v>
      </c>
      <c r="C30" s="3">
        <v>1950172463</v>
      </c>
      <c r="D30" s="3">
        <v>1</v>
      </c>
      <c r="E30" s="4" t="s">
        <v>1161</v>
      </c>
      <c r="F30" s="19" t="s">
        <v>23</v>
      </c>
      <c r="G30" s="5" t="s">
        <v>6</v>
      </c>
      <c r="H30" s="6">
        <v>250</v>
      </c>
    </row>
    <row r="31" spans="1:8" ht="20.100000000000001" customHeight="1" x14ac:dyDescent="0.25">
      <c r="A31" s="84"/>
      <c r="B31" s="2">
        <v>45601</v>
      </c>
      <c r="C31" s="3">
        <v>1950172463</v>
      </c>
      <c r="D31" s="3">
        <v>1</v>
      </c>
      <c r="E31" s="4" t="s">
        <v>1162</v>
      </c>
      <c r="F31" s="19" t="s">
        <v>23</v>
      </c>
      <c r="G31" s="5" t="s">
        <v>6</v>
      </c>
      <c r="H31" s="6">
        <v>250</v>
      </c>
    </row>
    <row r="32" spans="1:8" ht="20.100000000000001" customHeight="1" x14ac:dyDescent="0.25">
      <c r="A32" s="84"/>
      <c r="B32" s="2">
        <v>45603</v>
      </c>
      <c r="C32" s="3">
        <v>1265715069</v>
      </c>
      <c r="D32" s="3">
        <v>5</v>
      </c>
      <c r="E32" s="4" t="s">
        <v>1163</v>
      </c>
      <c r="F32" s="19" t="s">
        <v>23</v>
      </c>
      <c r="G32" s="5" t="s">
        <v>7</v>
      </c>
      <c r="H32" s="6">
        <v>1000</v>
      </c>
    </row>
    <row r="33" spans="1:8" ht="20.100000000000001" customHeight="1" x14ac:dyDescent="0.25">
      <c r="A33" s="84"/>
      <c r="B33" s="2">
        <v>45610</v>
      </c>
      <c r="C33" s="3">
        <v>3815459862</v>
      </c>
      <c r="D33" s="3">
        <v>1</v>
      </c>
      <c r="E33" s="4" t="s">
        <v>1163</v>
      </c>
      <c r="F33" s="19" t="s">
        <v>23</v>
      </c>
      <c r="G33" s="5" t="s">
        <v>7</v>
      </c>
      <c r="H33" s="6">
        <v>200</v>
      </c>
    </row>
    <row r="34" spans="1:8" ht="20.100000000000001" customHeight="1" x14ac:dyDescent="0.25">
      <c r="A34" s="84"/>
      <c r="B34" s="2">
        <v>45614</v>
      </c>
      <c r="C34" s="3">
        <v>2501460562</v>
      </c>
      <c r="D34" s="3">
        <v>1</v>
      </c>
      <c r="E34" s="4" t="s">
        <v>1163</v>
      </c>
      <c r="F34" s="19" t="s">
        <v>23</v>
      </c>
      <c r="G34" s="5" t="s">
        <v>11</v>
      </c>
      <c r="H34" s="6">
        <v>200</v>
      </c>
    </row>
    <row r="35" spans="1:8" ht="20.100000000000001" customHeight="1" x14ac:dyDescent="0.25">
      <c r="A35" s="84"/>
      <c r="B35" s="2">
        <v>45615</v>
      </c>
      <c r="C35" s="3">
        <v>2316059611</v>
      </c>
      <c r="D35" s="3">
        <v>1</v>
      </c>
      <c r="E35" s="4" t="s">
        <v>1163</v>
      </c>
      <c r="F35" s="19" t="s">
        <v>23</v>
      </c>
      <c r="G35" s="5" t="s">
        <v>7</v>
      </c>
      <c r="H35" s="6">
        <v>200</v>
      </c>
    </row>
    <row r="36" spans="1:8" ht="20.100000000000001" customHeight="1" x14ac:dyDescent="0.25">
      <c r="A36" s="84"/>
      <c r="B36" s="61">
        <v>45632</v>
      </c>
      <c r="C36" s="62">
        <v>503531402</v>
      </c>
      <c r="D36" s="56">
        <v>1</v>
      </c>
      <c r="E36" s="57" t="s">
        <v>1163</v>
      </c>
      <c r="F36" s="57" t="s">
        <v>1260</v>
      </c>
      <c r="G36" s="59" t="s">
        <v>11</v>
      </c>
      <c r="H36" s="58">
        <v>200</v>
      </c>
    </row>
    <row r="37" spans="1:8" x14ac:dyDescent="0.25">
      <c r="A37" s="84"/>
      <c r="B37" s="61">
        <v>45644</v>
      </c>
      <c r="C37" s="62">
        <v>3433057444</v>
      </c>
      <c r="D37" s="56">
        <v>1</v>
      </c>
      <c r="E37" s="57" t="s">
        <v>1163</v>
      </c>
      <c r="F37" s="57" t="s">
        <v>23</v>
      </c>
      <c r="G37" s="59" t="s">
        <v>6</v>
      </c>
      <c r="H37" s="58">
        <v>200</v>
      </c>
    </row>
    <row r="38" spans="1:8" ht="20.100000000000001" customHeight="1" x14ac:dyDescent="0.25">
      <c r="A38" s="84"/>
      <c r="B38" s="61">
        <v>45646</v>
      </c>
      <c r="C38" s="62">
        <v>2242138031</v>
      </c>
      <c r="D38" s="56">
        <v>1</v>
      </c>
      <c r="E38" s="57" t="s">
        <v>1163</v>
      </c>
      <c r="F38" s="57" t="s">
        <v>23</v>
      </c>
      <c r="G38" s="59" t="s">
        <v>6</v>
      </c>
      <c r="H38" s="58">
        <v>200</v>
      </c>
    </row>
    <row r="39" spans="1:8" ht="20.100000000000001" customHeight="1" x14ac:dyDescent="0.25">
      <c r="A39" s="84"/>
      <c r="B39" s="2"/>
      <c r="C39" s="3"/>
      <c r="D39" s="3"/>
      <c r="E39" s="4"/>
      <c r="F39" s="19"/>
      <c r="G39" s="10"/>
      <c r="H39" s="11"/>
    </row>
    <row r="40" spans="1:8" ht="20.100000000000001" customHeight="1" x14ac:dyDescent="0.25">
      <c r="A40" s="84"/>
      <c r="B40" s="2"/>
      <c r="C40" s="3"/>
      <c r="D40" s="3"/>
      <c r="E40" s="4"/>
      <c r="F40" s="19"/>
      <c r="G40" s="10"/>
      <c r="H40" s="11"/>
    </row>
    <row r="41" spans="1:8" ht="20.100000000000001" customHeight="1" x14ac:dyDescent="0.25">
      <c r="A41" s="84"/>
      <c r="B41" s="2"/>
      <c r="C41" s="3"/>
      <c r="D41" s="3"/>
      <c r="E41" s="4"/>
      <c r="F41" s="19"/>
      <c r="G41" s="10"/>
      <c r="H41" s="11"/>
    </row>
    <row r="42" spans="1:8" ht="20.100000000000001" customHeight="1" x14ac:dyDescent="0.25">
      <c r="A42" s="84"/>
      <c r="B42" s="2"/>
      <c r="C42" s="3"/>
      <c r="D42" s="3"/>
      <c r="E42" s="4"/>
      <c r="F42" s="19"/>
      <c r="G42" s="10"/>
      <c r="H42" s="11"/>
    </row>
    <row r="43" spans="1:8" ht="20.100000000000001" customHeight="1" x14ac:dyDescent="0.25">
      <c r="A43" s="84"/>
      <c r="B43" s="2"/>
      <c r="C43" s="3"/>
      <c r="D43" s="3"/>
      <c r="E43" s="4"/>
      <c r="F43" s="19"/>
      <c r="G43" s="10"/>
      <c r="H43" s="11"/>
    </row>
    <row r="44" spans="1:8" ht="20.100000000000001" customHeight="1" x14ac:dyDescent="0.25">
      <c r="A44" s="84"/>
      <c r="B44" s="2"/>
      <c r="C44" s="3"/>
      <c r="D44" s="3"/>
      <c r="E44" s="4"/>
      <c r="F44" s="19"/>
      <c r="G44" s="10"/>
      <c r="H44" s="11"/>
    </row>
    <row r="45" spans="1:8" ht="20.100000000000001" customHeight="1" x14ac:dyDescent="0.25">
      <c r="A45" s="84"/>
      <c r="B45" s="2"/>
      <c r="C45" s="3"/>
      <c r="D45" s="3"/>
      <c r="E45" s="4"/>
      <c r="F45" s="19"/>
      <c r="G45" s="10"/>
      <c r="H45" s="11"/>
    </row>
    <row r="46" spans="1:8" ht="20.100000000000001" customHeight="1" x14ac:dyDescent="0.25">
      <c r="A46" s="84"/>
      <c r="B46" s="2"/>
      <c r="C46" s="3"/>
      <c r="D46" s="3"/>
      <c r="E46" s="4"/>
      <c r="F46" s="19"/>
      <c r="G46" s="10"/>
      <c r="H46" s="11"/>
    </row>
    <row r="47" spans="1:8" ht="20.100000000000001" customHeight="1" x14ac:dyDescent="0.25">
      <c r="A47" s="84"/>
      <c r="B47" s="2"/>
      <c r="C47" s="3"/>
      <c r="D47" s="3"/>
      <c r="E47" s="4"/>
      <c r="F47" s="19"/>
      <c r="G47" s="10"/>
      <c r="H47" s="11"/>
    </row>
    <row r="48" spans="1:8" ht="20.100000000000001" customHeight="1" x14ac:dyDescent="0.25">
      <c r="A48" s="84"/>
      <c r="B48" s="2"/>
      <c r="C48" s="3"/>
      <c r="D48" s="3"/>
      <c r="E48" s="4"/>
      <c r="F48" s="19"/>
      <c r="G48" s="10"/>
      <c r="H48" s="11"/>
    </row>
    <row r="49" spans="1:8" ht="20.100000000000001" customHeight="1" x14ac:dyDescent="0.25">
      <c r="A49" s="84"/>
      <c r="B49" s="2"/>
      <c r="C49" s="3"/>
      <c r="D49" s="3"/>
      <c r="E49" s="4"/>
      <c r="F49" s="19"/>
      <c r="G49" s="10"/>
      <c r="H49" s="11"/>
    </row>
    <row r="50" spans="1:8" ht="20.100000000000001" customHeight="1" x14ac:dyDescent="0.25">
      <c r="A50" s="84"/>
      <c r="B50" s="2"/>
      <c r="C50" s="3"/>
      <c r="D50" s="3"/>
      <c r="E50" s="4"/>
      <c r="F50" s="19"/>
      <c r="G50" s="10"/>
      <c r="H50" s="11"/>
    </row>
    <row r="51" spans="1:8" ht="20.100000000000001" customHeight="1" x14ac:dyDescent="0.25">
      <c r="A51" s="84"/>
      <c r="B51" s="2"/>
      <c r="C51" s="3"/>
      <c r="D51" s="3"/>
      <c r="E51" s="4"/>
      <c r="F51" s="19"/>
      <c r="G51" s="10"/>
      <c r="H51" s="11"/>
    </row>
    <row r="52" spans="1:8" ht="20.100000000000001" customHeight="1" x14ac:dyDescent="0.25">
      <c r="A52" s="84"/>
      <c r="B52" s="2"/>
      <c r="C52" s="3"/>
      <c r="D52" s="3"/>
      <c r="E52" s="4"/>
      <c r="F52" s="19"/>
      <c r="G52" s="10"/>
      <c r="H52" s="11"/>
    </row>
    <row r="53" spans="1:8" ht="20.100000000000001" customHeight="1" x14ac:dyDescent="0.25">
      <c r="A53" s="84"/>
      <c r="B53" s="2"/>
      <c r="C53" s="3"/>
      <c r="D53" s="3"/>
      <c r="E53" s="4"/>
      <c r="F53" s="19"/>
      <c r="G53" s="10"/>
      <c r="H53" s="11"/>
    </row>
    <row r="54" spans="1:8" ht="20.100000000000001" customHeight="1" x14ac:dyDescent="0.25">
      <c r="A54" s="84"/>
      <c r="B54" s="2"/>
      <c r="C54" s="3"/>
      <c r="D54" s="3"/>
      <c r="E54" s="4"/>
      <c r="F54" s="19"/>
      <c r="G54" s="10"/>
      <c r="H54" s="11"/>
    </row>
    <row r="55" spans="1:8" ht="20.100000000000001" customHeight="1" x14ac:dyDescent="0.25">
      <c r="A55" s="84"/>
      <c r="B55" s="2"/>
      <c r="C55" s="3"/>
      <c r="D55" s="3"/>
      <c r="E55" s="4"/>
      <c r="F55" s="19"/>
      <c r="G55" s="10"/>
      <c r="H55" s="11"/>
    </row>
    <row r="56" spans="1:8" ht="20.100000000000001" customHeight="1" x14ac:dyDescent="0.25">
      <c r="A56" s="84"/>
      <c r="B56" s="2"/>
      <c r="C56" s="3"/>
      <c r="D56" s="3"/>
      <c r="E56" s="4"/>
      <c r="F56" s="19"/>
      <c r="G56" s="10"/>
      <c r="H56" s="11"/>
    </row>
    <row r="57" spans="1:8" ht="20.100000000000001" customHeight="1" x14ac:dyDescent="0.25">
      <c r="A57" s="84"/>
      <c r="B57" s="2"/>
      <c r="C57" s="3"/>
      <c r="D57" s="3"/>
      <c r="E57" s="4"/>
      <c r="F57" s="19"/>
      <c r="G57" s="10"/>
      <c r="H57" s="11"/>
    </row>
    <row r="58" spans="1:8" ht="15.75" x14ac:dyDescent="0.25">
      <c r="A58" s="85"/>
      <c r="B58" s="13"/>
      <c r="C58" s="14"/>
      <c r="D58" s="14"/>
      <c r="E58" s="14" t="s">
        <v>5</v>
      </c>
      <c r="F58" s="26"/>
      <c r="G58" s="16"/>
      <c r="H58" s="23">
        <f>SUM(H3:H57)</f>
        <v>37349.999949999998</v>
      </c>
    </row>
  </sheetData>
  <autoFilter ref="A1:H58" xr:uid="{00000000-0009-0000-0000-00000C000000}"/>
  <mergeCells count="8">
    <mergeCell ref="F1:F2"/>
    <mergeCell ref="G1:G2"/>
    <mergeCell ref="H1:H2"/>
    <mergeCell ref="A1:A58"/>
    <mergeCell ref="B1:B2"/>
    <mergeCell ref="C1:C2"/>
    <mergeCell ref="D1:D2"/>
    <mergeCell ref="E1:E2"/>
  </mergeCells>
  <pageMargins left="0.7" right="0.7" top="0.75" bottom="0.75" header="0.3" footer="0.3"/>
  <pageSetup paperSize="9" orientation="portrait" horizontalDpi="120" verticalDpi="72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33"/>
  <sheetViews>
    <sheetView topLeftCell="A18" workbookViewId="0">
      <selection activeCell="F26" sqref="F26"/>
    </sheetView>
  </sheetViews>
  <sheetFormatPr baseColWidth="10" defaultColWidth="9.140625" defaultRowHeight="15" x14ac:dyDescent="0.25"/>
  <cols>
    <col min="1" max="1" width="24.42578125" bestFit="1" customWidth="1"/>
    <col min="2" max="2" width="12.7109375" bestFit="1" customWidth="1"/>
    <col min="3" max="3" width="17.42578125" customWidth="1"/>
    <col min="4" max="4" width="11" customWidth="1"/>
    <col min="5" max="5" width="32.42578125" bestFit="1" customWidth="1"/>
    <col min="6" max="6" width="67.5703125" style="1" bestFit="1" customWidth="1"/>
    <col min="7" max="7" width="16.140625" customWidth="1"/>
    <col min="8" max="8" width="14.28515625" bestFit="1" customWidth="1"/>
  </cols>
  <sheetData>
    <row r="1" spans="1:8" ht="15" customHeight="1" x14ac:dyDescent="0.25">
      <c r="A1" s="83" t="s">
        <v>24</v>
      </c>
      <c r="B1" s="81" t="s">
        <v>0</v>
      </c>
      <c r="C1" s="82" t="s">
        <v>1</v>
      </c>
      <c r="D1" s="82" t="s">
        <v>2</v>
      </c>
      <c r="E1" s="82" t="s">
        <v>3</v>
      </c>
      <c r="F1" s="82" t="s">
        <v>8</v>
      </c>
      <c r="G1" s="79" t="s">
        <v>4</v>
      </c>
      <c r="H1" s="80" t="s">
        <v>5</v>
      </c>
    </row>
    <row r="2" spans="1:8" ht="15" customHeight="1" x14ac:dyDescent="0.25">
      <c r="A2" s="84"/>
      <c r="B2" s="72"/>
      <c r="C2" s="74"/>
      <c r="D2" s="74"/>
      <c r="E2" s="74"/>
      <c r="F2" s="74"/>
      <c r="G2" s="68"/>
      <c r="H2" s="70"/>
    </row>
    <row r="3" spans="1:8" ht="31.5" customHeight="1" x14ac:dyDescent="0.25">
      <c r="A3" s="84"/>
      <c r="B3" s="2">
        <v>45310</v>
      </c>
      <c r="C3" s="3">
        <v>1306282846</v>
      </c>
      <c r="D3" s="3">
        <v>8</v>
      </c>
      <c r="E3" s="4" t="s">
        <v>143</v>
      </c>
      <c r="F3" s="19" t="s">
        <v>157</v>
      </c>
      <c r="G3" s="10" t="s">
        <v>19</v>
      </c>
      <c r="H3" s="11">
        <v>3120</v>
      </c>
    </row>
    <row r="4" spans="1:8" ht="30" x14ac:dyDescent="0.25">
      <c r="A4" s="84"/>
      <c r="B4" s="2">
        <v>45335</v>
      </c>
      <c r="C4" s="3">
        <v>3208855974</v>
      </c>
      <c r="D4" s="3">
        <v>10</v>
      </c>
      <c r="E4" s="4" t="s">
        <v>141</v>
      </c>
      <c r="F4" s="4" t="s">
        <v>245</v>
      </c>
      <c r="G4" s="5" t="s">
        <v>6</v>
      </c>
      <c r="H4" s="6">
        <v>5500</v>
      </c>
    </row>
    <row r="5" spans="1:8" ht="20.100000000000001" customHeight="1" x14ac:dyDescent="0.25">
      <c r="A5" s="84"/>
      <c r="B5" s="2">
        <v>45357</v>
      </c>
      <c r="C5" s="3">
        <v>634209830</v>
      </c>
      <c r="D5" s="3">
        <v>4</v>
      </c>
      <c r="E5" s="19" t="s">
        <v>322</v>
      </c>
      <c r="F5" s="19" t="s">
        <v>330</v>
      </c>
      <c r="G5" s="10" t="s">
        <v>7</v>
      </c>
      <c r="H5" s="11">
        <v>2000</v>
      </c>
    </row>
    <row r="6" spans="1:8" ht="20.100000000000001" customHeight="1" x14ac:dyDescent="0.25">
      <c r="A6" s="84"/>
      <c r="B6" s="2">
        <v>45364</v>
      </c>
      <c r="C6" s="3">
        <v>2037729283</v>
      </c>
      <c r="D6" s="3">
        <v>5</v>
      </c>
      <c r="E6" s="19" t="s">
        <v>139</v>
      </c>
      <c r="F6" s="19" t="s">
        <v>331</v>
      </c>
      <c r="G6" s="10" t="s">
        <v>7</v>
      </c>
      <c r="H6" s="11">
        <v>2330</v>
      </c>
    </row>
    <row r="7" spans="1:8" ht="20.100000000000001" customHeight="1" x14ac:dyDescent="0.25">
      <c r="A7" s="84"/>
      <c r="B7" s="2">
        <v>45364</v>
      </c>
      <c r="C7" s="3">
        <v>2037729283</v>
      </c>
      <c r="D7" s="3">
        <v>1</v>
      </c>
      <c r="E7" s="19" t="s">
        <v>139</v>
      </c>
      <c r="F7" s="19" t="s">
        <v>331</v>
      </c>
      <c r="G7" s="10" t="s">
        <v>7</v>
      </c>
      <c r="H7" s="11">
        <v>470</v>
      </c>
    </row>
    <row r="8" spans="1:8" ht="20.100000000000001" customHeight="1" x14ac:dyDescent="0.25">
      <c r="A8" s="84"/>
      <c r="B8" s="2">
        <v>45369</v>
      </c>
      <c r="C8" s="3">
        <v>2710651286</v>
      </c>
      <c r="D8" s="3">
        <v>10</v>
      </c>
      <c r="E8" s="19" t="s">
        <v>317</v>
      </c>
      <c r="F8" s="19" t="s">
        <v>332</v>
      </c>
      <c r="G8" s="10" t="s">
        <v>7</v>
      </c>
      <c r="H8" s="11">
        <v>6186</v>
      </c>
    </row>
    <row r="9" spans="1:8" ht="15.75" x14ac:dyDescent="0.25">
      <c r="A9" s="84"/>
      <c r="B9" s="2">
        <v>45387</v>
      </c>
      <c r="C9" s="3">
        <v>1663583003</v>
      </c>
      <c r="D9" s="3">
        <v>1</v>
      </c>
      <c r="E9" s="19" t="s">
        <v>508</v>
      </c>
      <c r="F9" s="19" t="s">
        <v>24</v>
      </c>
      <c r="G9" s="10" t="s">
        <v>6</v>
      </c>
      <c r="H9" s="11">
        <v>500</v>
      </c>
    </row>
    <row r="10" spans="1:8" ht="20.100000000000001" customHeight="1" x14ac:dyDescent="0.25">
      <c r="A10" s="84"/>
      <c r="B10" s="2">
        <v>45390</v>
      </c>
      <c r="C10" s="3">
        <v>654198680</v>
      </c>
      <c r="D10" s="3">
        <v>4</v>
      </c>
      <c r="E10" s="19" t="s">
        <v>495</v>
      </c>
      <c r="F10" s="19" t="s">
        <v>509</v>
      </c>
      <c r="G10" s="10" t="s">
        <v>6</v>
      </c>
      <c r="H10" s="11">
        <v>2184</v>
      </c>
    </row>
    <row r="11" spans="1:8" ht="20.100000000000001" customHeight="1" x14ac:dyDescent="0.25">
      <c r="A11" s="84"/>
      <c r="B11" s="2">
        <v>45393</v>
      </c>
      <c r="C11" s="3">
        <v>2641249574</v>
      </c>
      <c r="D11" s="3">
        <v>10</v>
      </c>
      <c r="E11" s="19" t="s">
        <v>464</v>
      </c>
      <c r="F11" s="19" t="s">
        <v>510</v>
      </c>
      <c r="G11" s="10" t="s">
        <v>6</v>
      </c>
      <c r="H11" s="11">
        <v>6500</v>
      </c>
    </row>
    <row r="12" spans="1:8" ht="20.100000000000001" customHeight="1" x14ac:dyDescent="0.25">
      <c r="A12" s="84"/>
      <c r="B12" s="2">
        <v>45429</v>
      </c>
      <c r="C12" s="3">
        <v>3745074608</v>
      </c>
      <c r="D12" s="3">
        <v>8</v>
      </c>
      <c r="E12" s="19" t="s">
        <v>589</v>
      </c>
      <c r="F12" s="19" t="s">
        <v>615</v>
      </c>
      <c r="G12" s="10" t="s">
        <v>19</v>
      </c>
      <c r="H12" s="11">
        <v>3800</v>
      </c>
    </row>
    <row r="13" spans="1:8" ht="20.100000000000001" customHeight="1" x14ac:dyDescent="0.25">
      <c r="A13" s="84"/>
      <c r="B13" s="2">
        <v>45456</v>
      </c>
      <c r="C13" s="3">
        <v>167789590</v>
      </c>
      <c r="D13" s="3">
        <v>2</v>
      </c>
      <c r="E13" s="19" t="s">
        <v>631</v>
      </c>
      <c r="F13" s="19" t="s">
        <v>24</v>
      </c>
      <c r="G13" s="10" t="s">
        <v>6</v>
      </c>
      <c r="H13" s="11">
        <v>960</v>
      </c>
    </row>
    <row r="14" spans="1:8" ht="20.100000000000001" customHeight="1" x14ac:dyDescent="0.25">
      <c r="A14" s="84"/>
      <c r="B14" s="2">
        <v>45471</v>
      </c>
      <c r="C14" s="3">
        <v>3946792971</v>
      </c>
      <c r="D14" s="3">
        <v>1</v>
      </c>
      <c r="E14" s="19" t="s">
        <v>631</v>
      </c>
      <c r="F14" s="19" t="s">
        <v>709</v>
      </c>
      <c r="G14" s="10" t="s">
        <v>6</v>
      </c>
      <c r="H14" s="11">
        <v>480</v>
      </c>
    </row>
    <row r="15" spans="1:8" ht="15.75" x14ac:dyDescent="0.25">
      <c r="A15" s="84"/>
      <c r="B15" s="2">
        <v>45481</v>
      </c>
      <c r="C15" s="3">
        <v>926502773</v>
      </c>
      <c r="D15" s="3">
        <v>8</v>
      </c>
      <c r="E15" s="4" t="s">
        <v>228</v>
      </c>
      <c r="F15" s="19" t="s">
        <v>792</v>
      </c>
      <c r="G15" s="5" t="s">
        <v>7</v>
      </c>
      <c r="H15" s="6">
        <v>2800</v>
      </c>
    </row>
    <row r="16" spans="1:8" ht="15.75" x14ac:dyDescent="0.25">
      <c r="A16" s="84"/>
      <c r="B16" s="2">
        <v>45481</v>
      </c>
      <c r="C16" s="3">
        <v>2528266708</v>
      </c>
      <c r="D16" s="3">
        <v>1</v>
      </c>
      <c r="E16" s="4" t="s">
        <v>783</v>
      </c>
      <c r="F16" s="19" t="s">
        <v>615</v>
      </c>
      <c r="G16" s="5" t="s">
        <v>13</v>
      </c>
      <c r="H16" s="6">
        <v>546</v>
      </c>
    </row>
    <row r="17" spans="1:8" ht="15.75" x14ac:dyDescent="0.25">
      <c r="A17" s="84"/>
      <c r="B17" s="2">
        <v>45488</v>
      </c>
      <c r="C17" s="3">
        <v>1160597328</v>
      </c>
      <c r="D17" s="3">
        <v>4</v>
      </c>
      <c r="E17" s="4" t="s">
        <v>789</v>
      </c>
      <c r="F17" s="19" t="s">
        <v>793</v>
      </c>
      <c r="G17" s="5" t="s">
        <v>6</v>
      </c>
      <c r="H17" s="6">
        <v>2000</v>
      </c>
    </row>
    <row r="18" spans="1:8" ht="20.100000000000001" customHeight="1" x14ac:dyDescent="0.25">
      <c r="A18" s="84"/>
      <c r="B18" s="2">
        <v>45492</v>
      </c>
      <c r="C18" s="3">
        <v>431050522</v>
      </c>
      <c r="D18" s="3">
        <v>2</v>
      </c>
      <c r="E18" s="4" t="s">
        <v>794</v>
      </c>
      <c r="F18" s="19" t="s">
        <v>795</v>
      </c>
      <c r="G18" s="5" t="s">
        <v>6</v>
      </c>
      <c r="H18" s="6">
        <v>1100</v>
      </c>
    </row>
    <row r="19" spans="1:8" ht="20.100000000000001" customHeight="1" x14ac:dyDescent="0.25">
      <c r="A19" s="84"/>
      <c r="B19" s="2">
        <v>45509</v>
      </c>
      <c r="C19" s="3">
        <v>1905478834</v>
      </c>
      <c r="D19" s="3">
        <v>4</v>
      </c>
      <c r="E19" s="4" t="s">
        <v>228</v>
      </c>
      <c r="F19" s="19" t="s">
        <v>24</v>
      </c>
      <c r="G19" s="5" t="s">
        <v>11</v>
      </c>
      <c r="H19" s="6">
        <v>1600</v>
      </c>
    </row>
    <row r="20" spans="1:8" ht="20.100000000000001" customHeight="1" x14ac:dyDescent="0.25">
      <c r="A20" s="84"/>
      <c r="B20" s="2">
        <v>45532</v>
      </c>
      <c r="C20" s="3">
        <v>3654174771</v>
      </c>
      <c r="D20" s="3">
        <v>10</v>
      </c>
      <c r="E20" s="4" t="s">
        <v>930</v>
      </c>
      <c r="F20" s="19" t="s">
        <v>931</v>
      </c>
      <c r="G20" s="5" t="s">
        <v>7</v>
      </c>
      <c r="H20" s="6">
        <v>5400</v>
      </c>
    </row>
    <row r="21" spans="1:8" ht="20.100000000000001" customHeight="1" x14ac:dyDescent="0.25">
      <c r="A21" s="84"/>
      <c r="B21" s="2">
        <v>45544</v>
      </c>
      <c r="C21" s="3">
        <v>88752926</v>
      </c>
      <c r="D21" s="3">
        <v>10</v>
      </c>
      <c r="E21" s="4" t="s">
        <v>79</v>
      </c>
      <c r="F21" s="19" t="s">
        <v>931</v>
      </c>
      <c r="G21" s="5" t="s">
        <v>19</v>
      </c>
      <c r="H21" s="6">
        <v>5000</v>
      </c>
    </row>
    <row r="22" spans="1:8" ht="20.100000000000001" customHeight="1" x14ac:dyDescent="0.25">
      <c r="A22" s="84"/>
      <c r="B22" s="2">
        <v>45546</v>
      </c>
      <c r="C22" s="3">
        <v>2332509001</v>
      </c>
      <c r="D22" s="3">
        <v>10</v>
      </c>
      <c r="E22" s="4" t="s">
        <v>978</v>
      </c>
      <c r="F22" s="19" t="s">
        <v>931</v>
      </c>
      <c r="G22" s="5" t="s">
        <v>7</v>
      </c>
      <c r="H22" s="6">
        <v>4680</v>
      </c>
    </row>
    <row r="23" spans="1:8" ht="20.100000000000001" customHeight="1" x14ac:dyDescent="0.25">
      <c r="A23" s="84"/>
      <c r="B23" s="2">
        <v>45559</v>
      </c>
      <c r="C23" s="3">
        <v>2260618812</v>
      </c>
      <c r="D23" s="3">
        <v>6</v>
      </c>
      <c r="E23" s="4" t="s">
        <v>974</v>
      </c>
      <c r="F23" s="19" t="s">
        <v>990</v>
      </c>
      <c r="G23" s="5" t="s">
        <v>10</v>
      </c>
      <c r="H23" s="6">
        <v>2880</v>
      </c>
    </row>
    <row r="24" spans="1:8" ht="20.100000000000001" customHeight="1" x14ac:dyDescent="0.25">
      <c r="A24" s="84"/>
      <c r="B24" s="2">
        <v>45559</v>
      </c>
      <c r="C24" s="3">
        <v>2260618812</v>
      </c>
      <c r="D24" s="3">
        <v>6</v>
      </c>
      <c r="E24" s="4" t="s">
        <v>974</v>
      </c>
      <c r="F24" s="19" t="s">
        <v>991</v>
      </c>
      <c r="G24" s="5" t="s">
        <v>10</v>
      </c>
      <c r="H24" s="6">
        <v>2880</v>
      </c>
    </row>
    <row r="25" spans="1:8" ht="20.100000000000001" customHeight="1" x14ac:dyDescent="0.25">
      <c r="A25" s="84"/>
      <c r="B25" s="2">
        <v>45560</v>
      </c>
      <c r="C25" s="3">
        <v>3055439433</v>
      </c>
      <c r="D25" s="3">
        <v>8</v>
      </c>
      <c r="E25" s="4" t="s">
        <v>985</v>
      </c>
      <c r="F25" s="19" t="s">
        <v>931</v>
      </c>
      <c r="G25" s="5" t="s">
        <v>7</v>
      </c>
      <c r="H25" s="6">
        <v>3500</v>
      </c>
    </row>
    <row r="26" spans="1:8" ht="20.100000000000001" customHeight="1" x14ac:dyDescent="0.25">
      <c r="A26" s="84"/>
      <c r="B26" s="2">
        <v>45576</v>
      </c>
      <c r="C26" s="3">
        <v>3519170775</v>
      </c>
      <c r="D26" s="3">
        <v>5</v>
      </c>
      <c r="E26" s="4" t="s">
        <v>1054</v>
      </c>
      <c r="F26" s="19" t="s">
        <v>1072</v>
      </c>
      <c r="G26" s="5" t="s">
        <v>10</v>
      </c>
      <c r="H26" s="6">
        <v>2400</v>
      </c>
    </row>
    <row r="27" spans="1:8" ht="20.100000000000001" customHeight="1" x14ac:dyDescent="0.25">
      <c r="A27" s="84"/>
      <c r="B27" s="2">
        <v>45579</v>
      </c>
      <c r="C27" s="3">
        <v>3141288285</v>
      </c>
      <c r="D27" s="3">
        <v>1</v>
      </c>
      <c r="E27" s="4" t="s">
        <v>1054</v>
      </c>
      <c r="F27" s="19" t="s">
        <v>1073</v>
      </c>
      <c r="G27" s="5" t="s">
        <v>10</v>
      </c>
      <c r="H27" s="6">
        <v>2000</v>
      </c>
    </row>
    <row r="28" spans="1:8" ht="20.100000000000001" customHeight="1" x14ac:dyDescent="0.25">
      <c r="A28" s="84"/>
      <c r="B28" s="2">
        <v>45589</v>
      </c>
      <c r="C28" s="3">
        <v>2583315675</v>
      </c>
      <c r="D28" s="3">
        <v>10</v>
      </c>
      <c r="E28" s="4" t="s">
        <v>1074</v>
      </c>
      <c r="F28" s="19" t="s">
        <v>1075</v>
      </c>
      <c r="G28" s="5" t="s">
        <v>7</v>
      </c>
      <c r="H28" s="6">
        <v>5460</v>
      </c>
    </row>
    <row r="29" spans="1:8" ht="20.100000000000001" customHeight="1" x14ac:dyDescent="0.25">
      <c r="A29" s="84"/>
      <c r="B29" s="2">
        <v>45596</v>
      </c>
      <c r="C29" s="3">
        <v>1945846219</v>
      </c>
      <c r="D29" s="3">
        <v>7</v>
      </c>
      <c r="E29" s="4" t="s">
        <v>1054</v>
      </c>
      <c r="F29" s="19" t="s">
        <v>931</v>
      </c>
      <c r="G29" s="5" t="s">
        <v>7</v>
      </c>
      <c r="H29" s="6">
        <v>4200</v>
      </c>
    </row>
    <row r="30" spans="1:8" ht="20.100000000000001" customHeight="1" x14ac:dyDescent="0.25">
      <c r="A30" s="84"/>
      <c r="B30" s="2">
        <v>45609</v>
      </c>
      <c r="C30" s="3">
        <v>1836861947</v>
      </c>
      <c r="D30" s="3">
        <v>5</v>
      </c>
      <c r="E30" s="4" t="s">
        <v>543</v>
      </c>
      <c r="F30" s="19" t="s">
        <v>1164</v>
      </c>
      <c r="G30" s="5" t="s">
        <v>19</v>
      </c>
      <c r="H30" s="6">
        <v>2000</v>
      </c>
    </row>
    <row r="31" spans="1:8" ht="20.100000000000001" customHeight="1" x14ac:dyDescent="0.25">
      <c r="A31" s="84"/>
      <c r="B31" s="2">
        <v>45610</v>
      </c>
      <c r="C31" s="3">
        <v>2132624289</v>
      </c>
      <c r="D31" s="3">
        <v>8</v>
      </c>
      <c r="E31" s="4" t="s">
        <v>1150</v>
      </c>
      <c r="F31" s="19" t="s">
        <v>1165</v>
      </c>
      <c r="G31" s="5" t="s">
        <v>7</v>
      </c>
      <c r="H31" s="6">
        <v>3500</v>
      </c>
    </row>
    <row r="32" spans="1:8" ht="20.100000000000001" customHeight="1" x14ac:dyDescent="0.25">
      <c r="A32" s="84"/>
      <c r="B32" s="2">
        <v>45637</v>
      </c>
      <c r="C32" s="3">
        <v>428560084</v>
      </c>
      <c r="D32" s="3">
        <v>4</v>
      </c>
      <c r="E32" s="4" t="s">
        <v>329</v>
      </c>
      <c r="F32" s="19" t="s">
        <v>1285</v>
      </c>
      <c r="G32" s="5" t="s">
        <v>7</v>
      </c>
      <c r="H32" s="6">
        <v>2000</v>
      </c>
    </row>
    <row r="33" spans="1:8" ht="15.75" x14ac:dyDescent="0.25">
      <c r="A33" s="85"/>
      <c r="B33" s="13"/>
      <c r="C33" s="14"/>
      <c r="D33" s="14"/>
      <c r="E33" s="14" t="s">
        <v>5</v>
      </c>
      <c r="F33" s="15"/>
      <c r="G33" s="16"/>
      <c r="H33" s="23">
        <f>SUM(H3:H32)</f>
        <v>87976</v>
      </c>
    </row>
  </sheetData>
  <mergeCells count="8">
    <mergeCell ref="A1:A33"/>
    <mergeCell ref="F1:F2"/>
    <mergeCell ref="G1:G2"/>
    <mergeCell ref="H1:H2"/>
    <mergeCell ref="B1:B2"/>
    <mergeCell ref="C1:C2"/>
    <mergeCell ref="D1:D2"/>
    <mergeCell ref="E1:E2"/>
  </mergeCells>
  <pageMargins left="0.7" right="0.7" top="0.75" bottom="0.75" header="0.3" footer="0.3"/>
  <pageSetup paperSize="9" orientation="portrait" horizontalDpi="120" verticalDpi="72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82"/>
  <sheetViews>
    <sheetView topLeftCell="A71" workbookViewId="0">
      <selection activeCell="F78" sqref="F78"/>
    </sheetView>
  </sheetViews>
  <sheetFormatPr baseColWidth="10" defaultColWidth="9.140625" defaultRowHeight="15" x14ac:dyDescent="0.25"/>
  <cols>
    <col min="1" max="1" width="14.7109375" customWidth="1"/>
    <col min="2" max="2" width="12.7109375" bestFit="1" customWidth="1"/>
    <col min="3" max="3" width="17.42578125" customWidth="1"/>
    <col min="4" max="4" width="11" customWidth="1"/>
    <col min="5" max="5" width="37.140625" bestFit="1" customWidth="1"/>
    <col min="6" max="6" width="70.28515625" style="1" bestFit="1" customWidth="1"/>
    <col min="7" max="7" width="16.140625" customWidth="1"/>
    <col min="8" max="8" width="16.42578125" bestFit="1" customWidth="1"/>
  </cols>
  <sheetData>
    <row r="1" spans="1:8" ht="15" customHeight="1" x14ac:dyDescent="0.25">
      <c r="A1" s="83" t="s">
        <v>27</v>
      </c>
      <c r="B1" s="81" t="s">
        <v>0</v>
      </c>
      <c r="C1" s="82" t="s">
        <v>1</v>
      </c>
      <c r="D1" s="82" t="s">
        <v>2</v>
      </c>
      <c r="E1" s="82" t="s">
        <v>3</v>
      </c>
      <c r="F1" s="82" t="s">
        <v>8</v>
      </c>
      <c r="G1" s="79" t="s">
        <v>4</v>
      </c>
      <c r="H1" s="80" t="s">
        <v>5</v>
      </c>
    </row>
    <row r="2" spans="1:8" ht="15" customHeight="1" x14ac:dyDescent="0.25">
      <c r="A2" s="84"/>
      <c r="B2" s="72"/>
      <c r="C2" s="74"/>
      <c r="D2" s="74"/>
      <c r="E2" s="74"/>
      <c r="F2" s="74"/>
      <c r="G2" s="68"/>
      <c r="H2" s="70"/>
    </row>
    <row r="3" spans="1:8" ht="24.95" customHeight="1" x14ac:dyDescent="0.25">
      <c r="A3" s="84"/>
      <c r="B3" s="2">
        <v>45310</v>
      </c>
      <c r="C3" s="3">
        <v>2806990785</v>
      </c>
      <c r="D3" s="3">
        <v>2</v>
      </c>
      <c r="E3" s="4" t="s">
        <v>107</v>
      </c>
      <c r="F3" s="19" t="s">
        <v>25</v>
      </c>
      <c r="G3" s="10" t="s">
        <v>7</v>
      </c>
      <c r="H3" s="11">
        <v>10000</v>
      </c>
    </row>
    <row r="4" spans="1:8" ht="24.95" customHeight="1" x14ac:dyDescent="0.25">
      <c r="A4" s="84"/>
      <c r="B4" s="2">
        <v>45310</v>
      </c>
      <c r="C4" s="3">
        <v>393824738</v>
      </c>
      <c r="D4" s="3">
        <v>3</v>
      </c>
      <c r="E4" s="4" t="s">
        <v>158</v>
      </c>
      <c r="F4" s="19" t="s">
        <v>25</v>
      </c>
      <c r="G4" s="10" t="s">
        <v>6</v>
      </c>
      <c r="H4" s="11">
        <v>15000</v>
      </c>
    </row>
    <row r="5" spans="1:8" ht="24.95" customHeight="1" x14ac:dyDescent="0.25">
      <c r="A5" s="84"/>
      <c r="B5" s="2">
        <v>45320</v>
      </c>
      <c r="C5" s="3">
        <v>4056106375</v>
      </c>
      <c r="D5" s="3">
        <v>2</v>
      </c>
      <c r="E5" s="4" t="s">
        <v>159</v>
      </c>
      <c r="F5" s="19" t="s">
        <v>25</v>
      </c>
      <c r="G5" s="10" t="s">
        <v>6</v>
      </c>
      <c r="H5" s="11">
        <v>10000</v>
      </c>
    </row>
    <row r="6" spans="1:8" ht="24.95" customHeight="1" x14ac:dyDescent="0.25">
      <c r="A6" s="84"/>
      <c r="B6" s="2">
        <v>45322</v>
      </c>
      <c r="C6" s="3">
        <v>3595650650</v>
      </c>
      <c r="D6" s="3">
        <v>1</v>
      </c>
      <c r="E6" s="4" t="s">
        <v>81</v>
      </c>
      <c r="F6" s="19" t="s">
        <v>25</v>
      </c>
      <c r="G6" s="10" t="s">
        <v>10</v>
      </c>
      <c r="H6" s="11">
        <v>5000</v>
      </c>
    </row>
    <row r="7" spans="1:8" ht="24.95" customHeight="1" x14ac:dyDescent="0.25">
      <c r="A7" s="84"/>
      <c r="B7" s="2">
        <v>45329</v>
      </c>
      <c r="C7" s="3">
        <v>3749792411</v>
      </c>
      <c r="D7" s="3">
        <v>2</v>
      </c>
      <c r="E7" s="4" t="s">
        <v>246</v>
      </c>
      <c r="F7" s="4" t="s">
        <v>25</v>
      </c>
      <c r="G7" s="5" t="s">
        <v>7</v>
      </c>
      <c r="H7" s="6">
        <v>10000</v>
      </c>
    </row>
    <row r="8" spans="1:8" ht="24.95" customHeight="1" x14ac:dyDescent="0.25">
      <c r="A8" s="84"/>
      <c r="B8" s="2">
        <v>45329</v>
      </c>
      <c r="C8" s="3">
        <v>177556139</v>
      </c>
      <c r="D8" s="3">
        <v>2</v>
      </c>
      <c r="E8" s="4" t="s">
        <v>200</v>
      </c>
      <c r="F8" s="4" t="s">
        <v>25</v>
      </c>
      <c r="G8" s="5" t="s">
        <v>7</v>
      </c>
      <c r="H8" s="6">
        <v>10000</v>
      </c>
    </row>
    <row r="9" spans="1:8" ht="24.95" customHeight="1" x14ac:dyDescent="0.25">
      <c r="A9" s="84"/>
      <c r="B9" s="2">
        <v>45336</v>
      </c>
      <c r="C9" s="3">
        <v>3726984370</v>
      </c>
      <c r="D9" s="3">
        <v>1</v>
      </c>
      <c r="E9" s="4" t="s">
        <v>156</v>
      </c>
      <c r="F9" s="4" t="s">
        <v>25</v>
      </c>
      <c r="G9" s="5" t="s">
        <v>7</v>
      </c>
      <c r="H9" s="6">
        <v>5460</v>
      </c>
    </row>
    <row r="10" spans="1:8" ht="24.95" customHeight="1" x14ac:dyDescent="0.25">
      <c r="A10" s="84"/>
      <c r="B10" s="2">
        <v>45337</v>
      </c>
      <c r="C10" s="3">
        <v>1341606645</v>
      </c>
      <c r="D10" s="3">
        <v>2</v>
      </c>
      <c r="E10" s="4" t="s">
        <v>214</v>
      </c>
      <c r="F10" s="4" t="s">
        <v>25</v>
      </c>
      <c r="G10" s="5" t="s">
        <v>10</v>
      </c>
      <c r="H10" s="6">
        <v>10000</v>
      </c>
    </row>
    <row r="11" spans="1:8" ht="24.95" customHeight="1" x14ac:dyDescent="0.25">
      <c r="A11" s="84"/>
      <c r="B11" s="2">
        <v>45337</v>
      </c>
      <c r="C11" s="3">
        <v>2100971790</v>
      </c>
      <c r="D11" s="3">
        <v>2</v>
      </c>
      <c r="E11" s="4" t="s">
        <v>247</v>
      </c>
      <c r="F11" s="4" t="s">
        <v>25</v>
      </c>
      <c r="G11" s="5" t="s">
        <v>10</v>
      </c>
      <c r="H11" s="6">
        <v>10000</v>
      </c>
    </row>
    <row r="12" spans="1:8" ht="24.95" customHeight="1" x14ac:dyDescent="0.25">
      <c r="A12" s="84"/>
      <c r="B12" s="2">
        <v>45338</v>
      </c>
      <c r="C12" s="3">
        <v>1630618064</v>
      </c>
      <c r="D12" s="3">
        <v>2</v>
      </c>
      <c r="E12" s="4" t="s">
        <v>248</v>
      </c>
      <c r="F12" s="4" t="s">
        <v>25</v>
      </c>
      <c r="G12" s="5" t="s">
        <v>7</v>
      </c>
      <c r="H12" s="6">
        <v>10000</v>
      </c>
    </row>
    <row r="13" spans="1:8" ht="15.75" x14ac:dyDescent="0.25">
      <c r="A13" s="84"/>
      <c r="B13" s="2">
        <v>45342</v>
      </c>
      <c r="C13" s="3">
        <v>559104675</v>
      </c>
      <c r="D13" s="3">
        <v>4</v>
      </c>
      <c r="E13" s="4" t="s">
        <v>94</v>
      </c>
      <c r="F13" s="4" t="s">
        <v>249</v>
      </c>
      <c r="G13" s="5" t="s">
        <v>7</v>
      </c>
      <c r="H13" s="6">
        <v>20000</v>
      </c>
    </row>
    <row r="14" spans="1:8" ht="24.95" customHeight="1" x14ac:dyDescent="0.25">
      <c r="A14" s="84"/>
      <c r="B14" s="2">
        <v>45343</v>
      </c>
      <c r="C14" s="3">
        <v>195966600</v>
      </c>
      <c r="D14" s="3">
        <v>1</v>
      </c>
      <c r="E14" s="4" t="s">
        <v>250</v>
      </c>
      <c r="F14" s="4" t="s">
        <v>252</v>
      </c>
      <c r="G14" s="5" t="s">
        <v>11</v>
      </c>
      <c r="H14" s="6">
        <v>2000</v>
      </c>
    </row>
    <row r="15" spans="1:8" ht="24.95" customHeight="1" x14ac:dyDescent="0.25">
      <c r="A15" s="84"/>
      <c r="B15" s="2">
        <v>45343</v>
      </c>
      <c r="C15" s="3">
        <v>3632023993</v>
      </c>
      <c r="D15" s="3">
        <v>2</v>
      </c>
      <c r="E15" s="4" t="s">
        <v>251</v>
      </c>
      <c r="F15" s="4" t="s">
        <v>25</v>
      </c>
      <c r="G15" s="5" t="s">
        <v>7</v>
      </c>
      <c r="H15" s="6">
        <v>10000</v>
      </c>
    </row>
    <row r="16" spans="1:8" ht="15.75" x14ac:dyDescent="0.25">
      <c r="A16" s="84"/>
      <c r="B16" s="2">
        <v>45345</v>
      </c>
      <c r="C16" s="3">
        <v>213994034</v>
      </c>
      <c r="D16" s="3">
        <v>3</v>
      </c>
      <c r="E16" s="4" t="s">
        <v>253</v>
      </c>
      <c r="F16" s="4" t="s">
        <v>25</v>
      </c>
      <c r="G16" s="5" t="s">
        <v>7</v>
      </c>
      <c r="H16" s="6">
        <v>15000</v>
      </c>
    </row>
    <row r="17" spans="1:8" ht="24.95" customHeight="1" x14ac:dyDescent="0.25">
      <c r="A17" s="84"/>
      <c r="B17" s="2">
        <v>45348</v>
      </c>
      <c r="C17" s="3">
        <v>1786660685</v>
      </c>
      <c r="D17" s="3">
        <v>1</v>
      </c>
      <c r="E17" s="4" t="s">
        <v>250</v>
      </c>
      <c r="F17" s="4" t="s">
        <v>252</v>
      </c>
      <c r="G17" s="5" t="s">
        <v>10</v>
      </c>
      <c r="H17" s="6">
        <v>2000</v>
      </c>
    </row>
    <row r="18" spans="1:8" ht="24.95" customHeight="1" x14ac:dyDescent="0.25">
      <c r="A18" s="84"/>
      <c r="B18" s="2">
        <v>45349</v>
      </c>
      <c r="C18" s="3">
        <v>3244705078</v>
      </c>
      <c r="D18" s="3">
        <v>2</v>
      </c>
      <c r="E18" s="4" t="s">
        <v>214</v>
      </c>
      <c r="F18" s="4" t="s">
        <v>25</v>
      </c>
      <c r="G18" s="5" t="s">
        <v>6</v>
      </c>
      <c r="H18" s="6">
        <v>10000</v>
      </c>
    </row>
    <row r="19" spans="1:8" ht="24.95" customHeight="1" x14ac:dyDescent="0.25">
      <c r="A19" s="84"/>
      <c r="B19" s="2">
        <v>45358</v>
      </c>
      <c r="C19" s="3">
        <v>787826298</v>
      </c>
      <c r="D19" s="3">
        <v>3</v>
      </c>
      <c r="E19" s="19" t="s">
        <v>293</v>
      </c>
      <c r="F19" s="19" t="s">
        <v>333</v>
      </c>
      <c r="G19" s="10" t="s">
        <v>10</v>
      </c>
      <c r="H19" s="11">
        <v>15000</v>
      </c>
    </row>
    <row r="20" spans="1:8" ht="24.95" customHeight="1" x14ac:dyDescent="0.25">
      <c r="A20" s="84"/>
      <c r="B20" s="2">
        <v>45358</v>
      </c>
      <c r="C20" s="3">
        <v>1997291657</v>
      </c>
      <c r="D20" s="3">
        <v>2</v>
      </c>
      <c r="E20" s="19" t="s">
        <v>334</v>
      </c>
      <c r="F20" s="19" t="s">
        <v>333</v>
      </c>
      <c r="G20" s="10" t="s">
        <v>7</v>
      </c>
      <c r="H20" s="11">
        <v>10000</v>
      </c>
    </row>
    <row r="21" spans="1:8" ht="24.95" customHeight="1" x14ac:dyDescent="0.25">
      <c r="A21" s="84"/>
      <c r="B21" s="2">
        <v>45364</v>
      </c>
      <c r="C21" s="3">
        <v>3967897459</v>
      </c>
      <c r="D21" s="3">
        <v>2</v>
      </c>
      <c r="E21" s="19" t="s">
        <v>318</v>
      </c>
      <c r="F21" s="19" t="s">
        <v>249</v>
      </c>
      <c r="G21" s="10" t="s">
        <v>7</v>
      </c>
      <c r="H21" s="11">
        <v>10000</v>
      </c>
    </row>
    <row r="22" spans="1:8" ht="24.95" customHeight="1" x14ac:dyDescent="0.25">
      <c r="A22" s="84"/>
      <c r="B22" s="2">
        <v>45365</v>
      </c>
      <c r="C22" s="3">
        <v>4078519418</v>
      </c>
      <c r="D22" s="3">
        <v>1</v>
      </c>
      <c r="E22" s="19" t="s">
        <v>250</v>
      </c>
      <c r="F22" s="19" t="s">
        <v>335</v>
      </c>
      <c r="G22" s="10" t="s">
        <v>6</v>
      </c>
      <c r="H22" s="11">
        <v>4000</v>
      </c>
    </row>
    <row r="23" spans="1:8" ht="15.75" x14ac:dyDescent="0.25">
      <c r="A23" s="84"/>
      <c r="B23" s="2">
        <v>45365</v>
      </c>
      <c r="C23" s="3">
        <v>4078519418</v>
      </c>
      <c r="D23" s="3">
        <v>1</v>
      </c>
      <c r="E23" s="19" t="s">
        <v>250</v>
      </c>
      <c r="F23" s="19" t="s">
        <v>335</v>
      </c>
      <c r="G23" s="10" t="s">
        <v>11</v>
      </c>
      <c r="H23" s="11">
        <v>2000</v>
      </c>
    </row>
    <row r="24" spans="1:8" ht="24.95" customHeight="1" x14ac:dyDescent="0.25">
      <c r="A24" s="84"/>
      <c r="B24" s="2">
        <v>45366</v>
      </c>
      <c r="C24" s="3">
        <v>1058947235</v>
      </c>
      <c r="D24" s="3">
        <v>1</v>
      </c>
      <c r="E24" s="19" t="s">
        <v>81</v>
      </c>
      <c r="F24" s="19" t="s">
        <v>252</v>
      </c>
      <c r="G24" s="10" t="s">
        <v>7</v>
      </c>
      <c r="H24" s="11">
        <v>2500</v>
      </c>
    </row>
    <row r="25" spans="1:8" ht="24.95" customHeight="1" x14ac:dyDescent="0.25">
      <c r="A25" s="84"/>
      <c r="B25" s="2">
        <v>45371</v>
      </c>
      <c r="C25" s="3">
        <v>2948940576</v>
      </c>
      <c r="D25" s="3">
        <v>2</v>
      </c>
      <c r="E25" s="19" t="s">
        <v>299</v>
      </c>
      <c r="F25" s="19" t="s">
        <v>25</v>
      </c>
      <c r="G25" s="10" t="s">
        <v>7</v>
      </c>
      <c r="H25" s="11">
        <v>10000</v>
      </c>
    </row>
    <row r="26" spans="1:8" ht="24.95" customHeight="1" x14ac:dyDescent="0.25">
      <c r="A26" s="84"/>
      <c r="B26" s="2">
        <v>45373</v>
      </c>
      <c r="C26" s="3">
        <v>1589202063</v>
      </c>
      <c r="D26" s="3">
        <v>2</v>
      </c>
      <c r="E26" s="19" t="s">
        <v>336</v>
      </c>
      <c r="F26" s="19" t="s">
        <v>337</v>
      </c>
      <c r="G26" s="10" t="s">
        <v>7</v>
      </c>
      <c r="H26" s="11">
        <v>10000</v>
      </c>
    </row>
    <row r="27" spans="1:8" ht="24.95" customHeight="1" x14ac:dyDescent="0.25">
      <c r="A27" s="84"/>
      <c r="B27" s="2">
        <v>45373</v>
      </c>
      <c r="C27" s="3">
        <v>1589202063</v>
      </c>
      <c r="D27" s="3">
        <v>2</v>
      </c>
      <c r="E27" s="19" t="s">
        <v>336</v>
      </c>
      <c r="F27" s="19" t="s">
        <v>338</v>
      </c>
      <c r="G27" s="10" t="s">
        <v>7</v>
      </c>
      <c r="H27" s="11">
        <v>10000</v>
      </c>
    </row>
    <row r="28" spans="1:8" ht="24.95" customHeight="1" x14ac:dyDescent="0.25">
      <c r="A28" s="84"/>
      <c r="B28" s="2">
        <v>45406</v>
      </c>
      <c r="C28" s="3">
        <v>2773107809</v>
      </c>
      <c r="D28" s="3">
        <v>2</v>
      </c>
      <c r="E28" s="19" t="s">
        <v>464</v>
      </c>
      <c r="F28" s="19" t="s">
        <v>511</v>
      </c>
      <c r="G28" s="10" t="s">
        <v>7</v>
      </c>
      <c r="H28" s="11">
        <v>10000</v>
      </c>
    </row>
    <row r="29" spans="1:8" ht="24.95" customHeight="1" x14ac:dyDescent="0.25">
      <c r="A29" s="84"/>
      <c r="B29" s="2">
        <v>45426</v>
      </c>
      <c r="C29" s="3">
        <v>1007568992</v>
      </c>
      <c r="D29" s="3">
        <v>2</v>
      </c>
      <c r="E29" s="19" t="s">
        <v>586</v>
      </c>
      <c r="F29" s="19" t="s">
        <v>25</v>
      </c>
      <c r="G29" s="10" t="s">
        <v>19</v>
      </c>
      <c r="H29" s="11">
        <v>10000</v>
      </c>
    </row>
    <row r="30" spans="1:8" ht="24.95" customHeight="1" x14ac:dyDescent="0.25">
      <c r="A30" s="84"/>
      <c r="B30" s="2">
        <v>45426</v>
      </c>
      <c r="C30" s="3">
        <v>1132217046</v>
      </c>
      <c r="D30" s="3">
        <v>2</v>
      </c>
      <c r="E30" s="19" t="s">
        <v>587</v>
      </c>
      <c r="F30" s="19" t="s">
        <v>25</v>
      </c>
      <c r="G30" s="10" t="s">
        <v>19</v>
      </c>
      <c r="H30" s="11">
        <v>10000</v>
      </c>
    </row>
    <row r="31" spans="1:8" ht="24.95" customHeight="1" x14ac:dyDescent="0.25">
      <c r="A31" s="84"/>
      <c r="B31" s="2">
        <v>45432</v>
      </c>
      <c r="C31" s="3">
        <v>2033534224</v>
      </c>
      <c r="D31" s="3">
        <v>2</v>
      </c>
      <c r="E31" s="19" t="s">
        <v>616</v>
      </c>
      <c r="F31" s="19" t="s">
        <v>25</v>
      </c>
      <c r="G31" s="10" t="s">
        <v>6</v>
      </c>
      <c r="H31" s="11">
        <v>10000</v>
      </c>
    </row>
    <row r="32" spans="1:8" ht="24.95" customHeight="1" x14ac:dyDescent="0.25">
      <c r="A32" s="84"/>
      <c r="B32" s="2">
        <v>45435</v>
      </c>
      <c r="C32" s="3">
        <v>2151498796</v>
      </c>
      <c r="D32" s="3">
        <v>1</v>
      </c>
      <c r="E32" s="19" t="s">
        <v>617</v>
      </c>
      <c r="F32" s="19" t="s">
        <v>252</v>
      </c>
      <c r="G32" s="10" t="s">
        <v>6</v>
      </c>
      <c r="H32" s="11">
        <v>1000</v>
      </c>
    </row>
    <row r="33" spans="1:8" ht="24.95" customHeight="1" x14ac:dyDescent="0.25">
      <c r="A33" s="84"/>
      <c r="B33" s="2">
        <v>45435</v>
      </c>
      <c r="C33" s="3">
        <v>2151498796</v>
      </c>
      <c r="D33" s="3">
        <v>2</v>
      </c>
      <c r="E33" s="19" t="s">
        <v>617</v>
      </c>
      <c r="F33" s="19" t="s">
        <v>335</v>
      </c>
      <c r="G33" s="10" t="s">
        <v>19</v>
      </c>
      <c r="H33" s="11">
        <v>9000</v>
      </c>
    </row>
    <row r="34" spans="1:8" ht="24.95" customHeight="1" x14ac:dyDescent="0.25">
      <c r="A34" s="84"/>
      <c r="B34" s="2">
        <v>45447</v>
      </c>
      <c r="C34" s="3">
        <v>131485478</v>
      </c>
      <c r="D34" s="3">
        <v>2</v>
      </c>
      <c r="E34" s="19" t="s">
        <v>457</v>
      </c>
      <c r="F34" s="19" t="s">
        <v>710</v>
      </c>
      <c r="G34" s="10" t="s">
        <v>7</v>
      </c>
      <c r="H34" s="11">
        <v>10000</v>
      </c>
    </row>
    <row r="35" spans="1:8" ht="24.95" customHeight="1" x14ac:dyDescent="0.25">
      <c r="A35" s="84"/>
      <c r="B35" s="2">
        <v>45456</v>
      </c>
      <c r="C35" s="3">
        <v>3032563965</v>
      </c>
      <c r="D35" s="3">
        <v>1</v>
      </c>
      <c r="E35" s="19" t="s">
        <v>711</v>
      </c>
      <c r="F35" s="19" t="s">
        <v>252</v>
      </c>
      <c r="G35" s="10" t="s">
        <v>11</v>
      </c>
      <c r="H35" s="11">
        <v>2500</v>
      </c>
    </row>
    <row r="36" spans="1:8" ht="24.95" customHeight="1" x14ac:dyDescent="0.25">
      <c r="A36" s="84"/>
      <c r="B36" s="2">
        <v>45456</v>
      </c>
      <c r="C36" s="3">
        <v>3032563965</v>
      </c>
      <c r="D36" s="3">
        <v>1</v>
      </c>
      <c r="E36" s="19" t="s">
        <v>711</v>
      </c>
      <c r="F36" s="19" t="s">
        <v>335</v>
      </c>
      <c r="G36" s="10" t="s">
        <v>6</v>
      </c>
      <c r="H36" s="11">
        <v>9500</v>
      </c>
    </row>
    <row r="37" spans="1:8" ht="24.95" customHeight="1" x14ac:dyDescent="0.25">
      <c r="A37" s="84"/>
      <c r="B37" s="2">
        <v>45461</v>
      </c>
      <c r="C37" s="3">
        <v>2357675151</v>
      </c>
      <c r="D37" s="3">
        <v>2</v>
      </c>
      <c r="E37" s="19" t="s">
        <v>712</v>
      </c>
      <c r="F37" s="19" t="s">
        <v>713</v>
      </c>
      <c r="G37" s="10" t="s">
        <v>19</v>
      </c>
      <c r="H37" s="11">
        <v>12000</v>
      </c>
    </row>
    <row r="38" spans="1:8" ht="24.95" customHeight="1" x14ac:dyDescent="0.25">
      <c r="A38" s="84"/>
      <c r="B38" s="2">
        <v>45462</v>
      </c>
      <c r="C38" s="3">
        <v>3182118778</v>
      </c>
      <c r="D38" s="3">
        <v>2</v>
      </c>
      <c r="E38" s="19" t="s">
        <v>714</v>
      </c>
      <c r="F38" s="19" t="s">
        <v>25</v>
      </c>
      <c r="G38" s="10" t="s">
        <v>19</v>
      </c>
      <c r="H38" s="11">
        <v>10000</v>
      </c>
    </row>
    <row r="39" spans="1:8" ht="24.95" customHeight="1" x14ac:dyDescent="0.25">
      <c r="A39" s="84"/>
      <c r="B39" s="2">
        <v>45464</v>
      </c>
      <c r="C39" s="3">
        <v>3593683628</v>
      </c>
      <c r="D39" s="3">
        <v>3</v>
      </c>
      <c r="E39" s="19" t="s">
        <v>715</v>
      </c>
      <c r="F39" s="19" t="s">
        <v>25</v>
      </c>
      <c r="G39" s="10" t="s">
        <v>19</v>
      </c>
      <c r="H39" s="11">
        <v>15000</v>
      </c>
    </row>
    <row r="40" spans="1:8" ht="15.75" x14ac:dyDescent="0.25">
      <c r="A40" s="84"/>
      <c r="B40" s="2">
        <v>45467</v>
      </c>
      <c r="C40" s="3">
        <v>187188692</v>
      </c>
      <c r="D40" s="3">
        <v>2</v>
      </c>
      <c r="E40" s="19" t="s">
        <v>681</v>
      </c>
      <c r="F40" s="19" t="s">
        <v>25</v>
      </c>
      <c r="G40" s="10" t="s">
        <v>19</v>
      </c>
      <c r="H40" s="11">
        <v>10000</v>
      </c>
    </row>
    <row r="41" spans="1:8" ht="24.95" customHeight="1" x14ac:dyDescent="0.25">
      <c r="A41" s="84"/>
      <c r="B41" s="2">
        <v>45470</v>
      </c>
      <c r="C41" s="3">
        <v>1910654124</v>
      </c>
      <c r="D41" s="3">
        <v>3</v>
      </c>
      <c r="E41" s="19" t="s">
        <v>716</v>
      </c>
      <c r="F41" s="19" t="s">
        <v>25</v>
      </c>
      <c r="G41" s="10" t="s">
        <v>11</v>
      </c>
      <c r="H41" s="11">
        <v>15000</v>
      </c>
    </row>
    <row r="42" spans="1:8" ht="24.95" customHeight="1" x14ac:dyDescent="0.25">
      <c r="A42" s="84"/>
      <c r="B42" s="2">
        <v>45471</v>
      </c>
      <c r="C42" s="3">
        <v>407980873</v>
      </c>
      <c r="D42" s="3">
        <v>2</v>
      </c>
      <c r="E42" s="19" t="s">
        <v>965</v>
      </c>
      <c r="F42" s="19" t="s">
        <v>25</v>
      </c>
      <c r="G42" s="10" t="s">
        <v>7</v>
      </c>
      <c r="H42" s="11">
        <v>10000</v>
      </c>
    </row>
    <row r="43" spans="1:8" ht="24.95" customHeight="1" x14ac:dyDescent="0.25">
      <c r="A43" s="84"/>
      <c r="B43" s="2">
        <v>45471</v>
      </c>
      <c r="C43" s="3">
        <v>4109845121</v>
      </c>
      <c r="D43" s="3">
        <v>2</v>
      </c>
      <c r="E43" s="19" t="s">
        <v>683</v>
      </c>
      <c r="F43" s="19" t="s">
        <v>25</v>
      </c>
      <c r="G43" s="10" t="s">
        <v>10</v>
      </c>
      <c r="H43" s="11">
        <v>10000</v>
      </c>
    </row>
    <row r="44" spans="1:8" ht="24.95" customHeight="1" x14ac:dyDescent="0.25">
      <c r="A44" s="84"/>
      <c r="B44" s="2">
        <v>45476</v>
      </c>
      <c r="C44" s="3">
        <v>3380036008</v>
      </c>
      <c r="D44" s="3">
        <v>1</v>
      </c>
      <c r="E44" s="4" t="s">
        <v>81</v>
      </c>
      <c r="F44" s="19" t="s">
        <v>796</v>
      </c>
      <c r="G44" s="5" t="s">
        <v>6</v>
      </c>
      <c r="H44" s="6">
        <v>2500</v>
      </c>
    </row>
    <row r="45" spans="1:8" ht="24.95" customHeight="1" x14ac:dyDescent="0.25">
      <c r="A45" s="84"/>
      <c r="B45" s="2">
        <v>45476</v>
      </c>
      <c r="C45" s="3">
        <v>2361542447</v>
      </c>
      <c r="D45" s="3">
        <v>2</v>
      </c>
      <c r="E45" s="4" t="s">
        <v>94</v>
      </c>
      <c r="F45" s="19" t="s">
        <v>249</v>
      </c>
      <c r="G45" s="5" t="s">
        <v>19</v>
      </c>
      <c r="H45" s="6">
        <v>10000</v>
      </c>
    </row>
    <row r="46" spans="1:8" ht="24.95" customHeight="1" x14ac:dyDescent="0.25">
      <c r="A46" s="84"/>
      <c r="B46" s="2">
        <v>45478</v>
      </c>
      <c r="C46" s="3">
        <v>2102150564</v>
      </c>
      <c r="D46" s="3">
        <v>3</v>
      </c>
      <c r="E46" s="4" t="s">
        <v>755</v>
      </c>
      <c r="F46" s="19" t="s">
        <v>25</v>
      </c>
      <c r="G46" s="5" t="s">
        <v>7</v>
      </c>
      <c r="H46" s="6">
        <v>15000</v>
      </c>
    </row>
    <row r="47" spans="1:8" ht="24.95" customHeight="1" x14ac:dyDescent="0.25">
      <c r="A47" s="84"/>
      <c r="B47" s="2">
        <v>45492</v>
      </c>
      <c r="C47" s="3">
        <v>3990834836</v>
      </c>
      <c r="D47" s="3">
        <v>2</v>
      </c>
      <c r="E47" s="4" t="s">
        <v>616</v>
      </c>
      <c r="F47" s="19" t="s">
        <v>249</v>
      </c>
      <c r="G47" s="5" t="s">
        <v>6</v>
      </c>
      <c r="H47" s="6">
        <v>10000</v>
      </c>
    </row>
    <row r="48" spans="1:8" ht="24.95" customHeight="1" x14ac:dyDescent="0.25">
      <c r="A48" s="84"/>
      <c r="B48" s="2">
        <v>45496</v>
      </c>
      <c r="C48" s="3">
        <v>1652181182</v>
      </c>
      <c r="D48" s="3">
        <v>3</v>
      </c>
      <c r="E48" s="4" t="s">
        <v>797</v>
      </c>
      <c r="F48" s="19" t="s">
        <v>25</v>
      </c>
      <c r="G48" s="5" t="s">
        <v>6</v>
      </c>
      <c r="H48" s="6">
        <v>15000</v>
      </c>
    </row>
    <row r="49" spans="1:8" ht="24.95" customHeight="1" x14ac:dyDescent="0.25">
      <c r="A49" s="84"/>
      <c r="B49" s="2">
        <v>45496</v>
      </c>
      <c r="C49" s="3">
        <v>1483819293</v>
      </c>
      <c r="D49" s="3">
        <v>2</v>
      </c>
      <c r="E49" s="4" t="s">
        <v>770</v>
      </c>
      <c r="F49" s="19" t="s">
        <v>25</v>
      </c>
      <c r="G49" s="5" t="s">
        <v>10</v>
      </c>
      <c r="H49" s="6">
        <v>10000</v>
      </c>
    </row>
    <row r="50" spans="1:8" ht="24.95" customHeight="1" x14ac:dyDescent="0.25">
      <c r="A50" s="84"/>
      <c r="B50" s="2">
        <v>45499</v>
      </c>
      <c r="C50" s="3">
        <v>871189474</v>
      </c>
      <c r="D50" s="3">
        <v>3</v>
      </c>
      <c r="E50" s="4" t="s">
        <v>760</v>
      </c>
      <c r="F50" s="19" t="s">
        <v>25</v>
      </c>
      <c r="G50" s="5" t="s">
        <v>7</v>
      </c>
      <c r="H50" s="6">
        <v>15000</v>
      </c>
    </row>
    <row r="51" spans="1:8" ht="24.95" customHeight="1" x14ac:dyDescent="0.25">
      <c r="A51" s="84"/>
      <c r="B51" s="2">
        <v>45504</v>
      </c>
      <c r="C51" s="3">
        <v>1605715220</v>
      </c>
      <c r="D51" s="3">
        <v>3</v>
      </c>
      <c r="E51" s="4" t="s">
        <v>798</v>
      </c>
      <c r="F51" s="19" t="s">
        <v>25</v>
      </c>
      <c r="G51" s="5" t="s">
        <v>7</v>
      </c>
      <c r="H51" s="6">
        <v>15000</v>
      </c>
    </row>
    <row r="52" spans="1:8" ht="24.95" customHeight="1" x14ac:dyDescent="0.25">
      <c r="A52" s="84"/>
      <c r="B52" s="2">
        <v>45511</v>
      </c>
      <c r="C52" s="3">
        <v>835669772</v>
      </c>
      <c r="D52" s="3">
        <v>2</v>
      </c>
      <c r="E52" s="4" t="s">
        <v>230</v>
      </c>
      <c r="F52" s="19" t="s">
        <v>25</v>
      </c>
      <c r="G52" s="5" t="s">
        <v>232</v>
      </c>
      <c r="H52" s="6">
        <v>10000</v>
      </c>
    </row>
    <row r="53" spans="1:8" ht="24.95" customHeight="1" x14ac:dyDescent="0.25">
      <c r="A53" s="84"/>
      <c r="B53" s="2">
        <v>45556</v>
      </c>
      <c r="C53" s="3">
        <v>3465300698</v>
      </c>
      <c r="D53" s="3">
        <v>2</v>
      </c>
      <c r="E53" s="4" t="s">
        <v>94</v>
      </c>
      <c r="F53" s="19" t="s">
        <v>249</v>
      </c>
      <c r="G53" s="5" t="s">
        <v>19</v>
      </c>
      <c r="H53" s="6">
        <v>10000</v>
      </c>
    </row>
    <row r="54" spans="1:8" ht="24.95" customHeight="1" x14ac:dyDescent="0.25">
      <c r="A54" s="84"/>
      <c r="B54" s="2">
        <v>45532</v>
      </c>
      <c r="C54" s="3">
        <v>2019839543</v>
      </c>
      <c r="D54" s="3">
        <v>2</v>
      </c>
      <c r="E54" s="4" t="s">
        <v>932</v>
      </c>
      <c r="F54" s="19" t="s">
        <v>713</v>
      </c>
      <c r="G54" s="5" t="s">
        <v>13</v>
      </c>
      <c r="H54" s="6">
        <v>10000</v>
      </c>
    </row>
    <row r="55" spans="1:8" ht="24.95" customHeight="1" x14ac:dyDescent="0.25">
      <c r="A55" s="84"/>
      <c r="B55" s="2">
        <v>45540</v>
      </c>
      <c r="C55" s="3">
        <v>371412223</v>
      </c>
      <c r="D55" s="3">
        <v>3</v>
      </c>
      <c r="E55" s="4" t="s">
        <v>516</v>
      </c>
      <c r="F55" s="19" t="s">
        <v>992</v>
      </c>
      <c r="G55" s="5" t="s">
        <v>13</v>
      </c>
      <c r="H55" s="6">
        <v>15000</v>
      </c>
    </row>
    <row r="56" spans="1:8" ht="24.95" customHeight="1" x14ac:dyDescent="0.25">
      <c r="A56" s="84"/>
      <c r="B56" s="2">
        <v>45546</v>
      </c>
      <c r="C56" s="3">
        <v>3303555734</v>
      </c>
      <c r="D56" s="3">
        <v>1</v>
      </c>
      <c r="E56" s="4" t="s">
        <v>978</v>
      </c>
      <c r="F56" s="19" t="s">
        <v>25</v>
      </c>
      <c r="G56" s="5" t="s">
        <v>7</v>
      </c>
      <c r="H56" s="6">
        <v>5000</v>
      </c>
    </row>
    <row r="57" spans="1:8" ht="24.95" customHeight="1" x14ac:dyDescent="0.25">
      <c r="A57" s="84"/>
      <c r="B57" s="2">
        <v>45546</v>
      </c>
      <c r="C57" s="3">
        <v>3303555734</v>
      </c>
      <c r="D57" s="3">
        <v>1</v>
      </c>
      <c r="E57" s="4" t="s">
        <v>978</v>
      </c>
      <c r="F57" s="19" t="s">
        <v>993</v>
      </c>
      <c r="G57" s="5" t="s">
        <v>7</v>
      </c>
      <c r="H57" s="6">
        <v>4840</v>
      </c>
    </row>
    <row r="58" spans="1:8" ht="24.95" customHeight="1" x14ac:dyDescent="0.25">
      <c r="A58" s="84"/>
      <c r="B58" s="2">
        <v>45546</v>
      </c>
      <c r="C58" s="3">
        <v>2332509001</v>
      </c>
      <c r="D58" s="3">
        <v>1</v>
      </c>
      <c r="E58" s="4" t="s">
        <v>978</v>
      </c>
      <c r="F58" s="19" t="s">
        <v>796</v>
      </c>
      <c r="G58" s="5" t="s">
        <v>7</v>
      </c>
      <c r="H58" s="6">
        <v>160</v>
      </c>
    </row>
    <row r="59" spans="1:8" ht="24.95" customHeight="1" x14ac:dyDescent="0.25">
      <c r="A59" s="84"/>
      <c r="B59" s="2">
        <v>45551</v>
      </c>
      <c r="C59" s="3">
        <v>4110765754</v>
      </c>
      <c r="D59" s="3">
        <v>2</v>
      </c>
      <c r="E59" s="4" t="s">
        <v>994</v>
      </c>
      <c r="F59" s="19" t="s">
        <v>995</v>
      </c>
      <c r="G59" s="5" t="s">
        <v>13</v>
      </c>
      <c r="H59" s="6">
        <v>10000</v>
      </c>
    </row>
    <row r="60" spans="1:8" ht="24.95" customHeight="1" x14ac:dyDescent="0.25">
      <c r="A60" s="84"/>
      <c r="B60" s="2">
        <v>45562</v>
      </c>
      <c r="C60" s="3">
        <v>389562991</v>
      </c>
      <c r="D60" s="3">
        <v>2</v>
      </c>
      <c r="E60" s="4" t="s">
        <v>996</v>
      </c>
      <c r="F60" s="19" t="s">
        <v>25</v>
      </c>
      <c r="G60" s="5" t="s">
        <v>7</v>
      </c>
      <c r="H60" s="6">
        <v>10000</v>
      </c>
    </row>
    <row r="61" spans="1:8" ht="24.95" customHeight="1" x14ac:dyDescent="0.25">
      <c r="A61" s="84"/>
      <c r="B61" s="2">
        <v>45574</v>
      </c>
      <c r="C61" s="3">
        <v>2733592049</v>
      </c>
      <c r="D61" s="3">
        <v>2</v>
      </c>
      <c r="E61" s="4" t="s">
        <v>94</v>
      </c>
      <c r="F61" s="19" t="s">
        <v>249</v>
      </c>
      <c r="G61" s="5" t="s">
        <v>19</v>
      </c>
      <c r="H61" s="6">
        <v>10000</v>
      </c>
    </row>
    <row r="62" spans="1:8" ht="24.95" customHeight="1" x14ac:dyDescent="0.25">
      <c r="A62" s="84"/>
      <c r="B62" s="2">
        <v>45589</v>
      </c>
      <c r="C62" s="3">
        <v>668355149</v>
      </c>
      <c r="D62" s="3">
        <v>1</v>
      </c>
      <c r="E62" s="4" t="s">
        <v>1076</v>
      </c>
      <c r="F62" s="19" t="s">
        <v>25</v>
      </c>
      <c r="G62" s="5" t="s">
        <v>7</v>
      </c>
      <c r="H62" s="6">
        <v>5000</v>
      </c>
    </row>
    <row r="63" spans="1:8" ht="24.95" customHeight="1" x14ac:dyDescent="0.25">
      <c r="A63" s="84"/>
      <c r="B63" s="2">
        <v>45593</v>
      </c>
      <c r="C63" s="3">
        <v>3119599104</v>
      </c>
      <c r="D63" s="3">
        <v>2</v>
      </c>
      <c r="E63" s="4" t="s">
        <v>1076</v>
      </c>
      <c r="F63" s="19" t="s">
        <v>25</v>
      </c>
      <c r="G63" s="5" t="s">
        <v>10</v>
      </c>
      <c r="H63" s="6">
        <v>10000</v>
      </c>
    </row>
    <row r="64" spans="1:8" ht="24.95" customHeight="1" x14ac:dyDescent="0.25">
      <c r="A64" s="84"/>
      <c r="B64" s="2">
        <v>45594</v>
      </c>
      <c r="C64" s="3">
        <v>581979382</v>
      </c>
      <c r="D64" s="3">
        <v>2</v>
      </c>
      <c r="E64" s="4" t="s">
        <v>939</v>
      </c>
      <c r="F64" s="19" t="s">
        <v>25</v>
      </c>
      <c r="G64" s="5" t="s">
        <v>7</v>
      </c>
      <c r="H64" s="6">
        <v>10000</v>
      </c>
    </row>
    <row r="65" spans="1:8" ht="24.95" customHeight="1" x14ac:dyDescent="0.25">
      <c r="A65" s="84"/>
      <c r="B65" s="2">
        <v>45596</v>
      </c>
      <c r="C65" s="3">
        <v>2506967529</v>
      </c>
      <c r="D65" s="3">
        <v>2</v>
      </c>
      <c r="E65" s="4" t="s">
        <v>1009</v>
      </c>
      <c r="F65" s="19" t="s">
        <v>25</v>
      </c>
      <c r="G65" s="5" t="s">
        <v>19</v>
      </c>
      <c r="H65" s="6">
        <v>10000</v>
      </c>
    </row>
    <row r="66" spans="1:8" ht="24.95" customHeight="1" x14ac:dyDescent="0.25">
      <c r="A66" s="84"/>
      <c r="B66" s="2">
        <v>45602</v>
      </c>
      <c r="C66" s="3">
        <v>3095153149</v>
      </c>
      <c r="D66" s="3">
        <v>3</v>
      </c>
      <c r="E66" s="4" t="s">
        <v>1115</v>
      </c>
      <c r="F66" s="19" t="s">
        <v>25</v>
      </c>
      <c r="G66" s="5" t="s">
        <v>6</v>
      </c>
      <c r="H66" s="6">
        <v>15000</v>
      </c>
    </row>
    <row r="67" spans="1:8" ht="24.95" customHeight="1" x14ac:dyDescent="0.25">
      <c r="A67" s="84"/>
      <c r="B67" s="2">
        <v>45603</v>
      </c>
      <c r="C67" s="3">
        <v>752766218</v>
      </c>
      <c r="D67" s="3">
        <v>2</v>
      </c>
      <c r="E67" s="4" t="s">
        <v>1117</v>
      </c>
      <c r="F67" s="19" t="s">
        <v>25</v>
      </c>
      <c r="G67" s="5" t="s">
        <v>7</v>
      </c>
      <c r="H67" s="6">
        <v>10000</v>
      </c>
    </row>
    <row r="68" spans="1:8" ht="24.95" customHeight="1" x14ac:dyDescent="0.25">
      <c r="A68" s="84"/>
      <c r="B68" s="2">
        <v>45610</v>
      </c>
      <c r="C68" s="3">
        <v>3023915056</v>
      </c>
      <c r="D68" s="3">
        <v>2</v>
      </c>
      <c r="E68" s="4" t="s">
        <v>1166</v>
      </c>
      <c r="F68" s="19" t="s">
        <v>25</v>
      </c>
      <c r="G68" s="5" t="s">
        <v>10</v>
      </c>
      <c r="H68" s="6">
        <v>10000</v>
      </c>
    </row>
    <row r="69" spans="1:8" ht="24.95" customHeight="1" x14ac:dyDescent="0.25">
      <c r="A69" s="84"/>
      <c r="B69" s="2">
        <v>45611</v>
      </c>
      <c r="C69" s="3">
        <v>648563804</v>
      </c>
      <c r="D69" s="3">
        <v>1</v>
      </c>
      <c r="E69" s="4" t="s">
        <v>1167</v>
      </c>
      <c r="F69" s="19" t="s">
        <v>25</v>
      </c>
      <c r="G69" s="5" t="s">
        <v>7</v>
      </c>
      <c r="H69" s="6">
        <v>5000</v>
      </c>
    </row>
    <row r="70" spans="1:8" ht="24.95" customHeight="1" x14ac:dyDescent="0.25">
      <c r="A70" s="84"/>
      <c r="B70" s="2">
        <v>45614</v>
      </c>
      <c r="C70" s="3">
        <v>3523429021</v>
      </c>
      <c r="D70" s="3">
        <v>2</v>
      </c>
      <c r="E70" s="4" t="s">
        <v>1152</v>
      </c>
      <c r="F70" s="19" t="s">
        <v>25</v>
      </c>
      <c r="G70" s="5" t="s">
        <v>7</v>
      </c>
      <c r="H70" s="6">
        <v>10000</v>
      </c>
    </row>
    <row r="71" spans="1:8" ht="24.95" customHeight="1" x14ac:dyDescent="0.25">
      <c r="A71" s="84"/>
      <c r="B71" s="2">
        <v>45623</v>
      </c>
      <c r="C71" s="3">
        <v>3423159455</v>
      </c>
      <c r="D71" s="3">
        <v>2</v>
      </c>
      <c r="E71" s="4" t="s">
        <v>1168</v>
      </c>
      <c r="F71" s="19" t="s">
        <v>25</v>
      </c>
      <c r="G71" s="5" t="s">
        <v>19</v>
      </c>
      <c r="H71" s="6">
        <v>10000</v>
      </c>
    </row>
    <row r="72" spans="1:8" ht="24.95" customHeight="1" x14ac:dyDescent="0.25">
      <c r="A72" s="84"/>
      <c r="B72" s="2">
        <v>45625</v>
      </c>
      <c r="C72" s="3">
        <v>72371481</v>
      </c>
      <c r="D72" s="3">
        <v>1</v>
      </c>
      <c r="E72" s="4" t="s">
        <v>1169</v>
      </c>
      <c r="F72" s="19" t="s">
        <v>25</v>
      </c>
      <c r="G72" s="5" t="s">
        <v>10</v>
      </c>
      <c r="H72" s="6">
        <v>5000</v>
      </c>
    </row>
    <row r="73" spans="1:8" x14ac:dyDescent="0.25">
      <c r="A73" s="84"/>
      <c r="B73" s="61">
        <v>45629</v>
      </c>
      <c r="C73" s="62">
        <v>1502957130</v>
      </c>
      <c r="D73" s="56">
        <v>2</v>
      </c>
      <c r="E73" s="57" t="s">
        <v>94</v>
      </c>
      <c r="F73" s="57" t="s">
        <v>249</v>
      </c>
      <c r="G73" s="59" t="s">
        <v>19</v>
      </c>
      <c r="H73" s="58">
        <v>10000</v>
      </c>
    </row>
    <row r="74" spans="1:8" ht="24.95" customHeight="1" x14ac:dyDescent="0.25">
      <c r="A74" s="84"/>
      <c r="B74" s="61">
        <v>45632</v>
      </c>
      <c r="C74" s="62">
        <v>3984083129</v>
      </c>
      <c r="D74" s="56">
        <v>2</v>
      </c>
      <c r="E74" s="57" t="s">
        <v>1261</v>
      </c>
      <c r="F74" s="57" t="s">
        <v>25</v>
      </c>
      <c r="G74" s="59" t="s">
        <v>6</v>
      </c>
      <c r="H74" s="58">
        <v>10000</v>
      </c>
    </row>
    <row r="75" spans="1:8" ht="24.95" customHeight="1" x14ac:dyDescent="0.25">
      <c r="A75" s="84"/>
      <c r="B75" s="61">
        <v>45632</v>
      </c>
      <c r="C75" s="62">
        <v>4002105793</v>
      </c>
      <c r="D75" s="56">
        <v>2</v>
      </c>
      <c r="E75" s="57" t="s">
        <v>1255</v>
      </c>
      <c r="F75" s="57" t="s">
        <v>25</v>
      </c>
      <c r="G75" s="59" t="s">
        <v>7</v>
      </c>
      <c r="H75" s="58">
        <v>10000</v>
      </c>
    </row>
    <row r="76" spans="1:8" ht="24.95" customHeight="1" x14ac:dyDescent="0.25">
      <c r="A76" s="84"/>
      <c r="B76" s="61">
        <v>45636</v>
      </c>
      <c r="C76" s="62">
        <v>2885174879</v>
      </c>
      <c r="D76" s="56">
        <v>1</v>
      </c>
      <c r="E76" s="57" t="s">
        <v>1167</v>
      </c>
      <c r="F76" s="57" t="s">
        <v>25</v>
      </c>
      <c r="G76" s="59" t="s">
        <v>7</v>
      </c>
      <c r="H76" s="58">
        <v>5000</v>
      </c>
    </row>
    <row r="77" spans="1:8" ht="24.95" customHeight="1" x14ac:dyDescent="0.25">
      <c r="A77" s="84"/>
      <c r="B77" s="61">
        <v>45643</v>
      </c>
      <c r="C77" s="62">
        <v>140369993</v>
      </c>
      <c r="D77" s="56">
        <v>2</v>
      </c>
      <c r="E77" s="57" t="s">
        <v>1262</v>
      </c>
      <c r="F77" s="57" t="s">
        <v>25</v>
      </c>
      <c r="G77" s="59" t="s">
        <v>13</v>
      </c>
      <c r="H77" s="58">
        <v>10000</v>
      </c>
    </row>
    <row r="78" spans="1:8" ht="24.95" customHeight="1" x14ac:dyDescent="0.25">
      <c r="A78" s="84"/>
      <c r="B78" s="61">
        <v>45646</v>
      </c>
      <c r="C78" s="62">
        <v>4254155511</v>
      </c>
      <c r="D78" s="56">
        <v>2</v>
      </c>
      <c r="E78" s="57" t="s">
        <v>1263</v>
      </c>
      <c r="F78" s="57" t="s">
        <v>25</v>
      </c>
      <c r="G78" s="59" t="s">
        <v>6</v>
      </c>
      <c r="H78" s="58">
        <v>10000</v>
      </c>
    </row>
    <row r="79" spans="1:8" ht="24.95" customHeight="1" x14ac:dyDescent="0.25">
      <c r="A79" s="84"/>
      <c r="B79" s="2"/>
      <c r="C79" s="3"/>
      <c r="D79" s="3"/>
      <c r="E79" s="4"/>
      <c r="F79" s="19"/>
      <c r="G79" s="10"/>
      <c r="H79" s="11"/>
    </row>
    <row r="80" spans="1:8" ht="24.95" customHeight="1" x14ac:dyDescent="0.25">
      <c r="A80" s="84"/>
      <c r="B80" s="2"/>
      <c r="C80" s="3"/>
      <c r="D80" s="3"/>
      <c r="E80" s="4"/>
      <c r="F80" s="19"/>
      <c r="G80" s="10"/>
      <c r="H80" s="11"/>
    </row>
    <row r="81" spans="1:8" ht="24.95" customHeight="1" x14ac:dyDescent="0.25">
      <c r="A81" s="84"/>
      <c r="B81" s="2"/>
      <c r="C81" s="3"/>
      <c r="D81" s="3"/>
      <c r="E81" s="4"/>
      <c r="F81" s="19"/>
      <c r="G81" s="10"/>
      <c r="H81" s="11"/>
    </row>
    <row r="82" spans="1:8" ht="15.75" x14ac:dyDescent="0.25">
      <c r="A82" s="85"/>
      <c r="B82" s="13"/>
      <c r="C82" s="14"/>
      <c r="D82" s="14"/>
      <c r="E82" s="14" t="s">
        <v>5</v>
      </c>
      <c r="F82" s="15"/>
      <c r="G82" s="16"/>
      <c r="H82" s="23">
        <f>SUM(H3:H81)</f>
        <v>714460</v>
      </c>
    </row>
  </sheetData>
  <autoFilter ref="B1:H82" xr:uid="{00000000-0009-0000-0000-00000E000000}"/>
  <mergeCells count="8">
    <mergeCell ref="A1:A82"/>
    <mergeCell ref="G1:G2"/>
    <mergeCell ref="H1:H2"/>
    <mergeCell ref="B1:B2"/>
    <mergeCell ref="C1:C2"/>
    <mergeCell ref="D1:D2"/>
    <mergeCell ref="E1:E2"/>
    <mergeCell ref="F1:F2"/>
  </mergeCells>
  <pageMargins left="0.7" right="0.7" top="0.75" bottom="0.75" header="0.3" footer="0.3"/>
  <pageSetup paperSize="9" orientation="portrait" horizontalDpi="120" verticalDpi="72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0000"/>
  </sheetPr>
  <dimension ref="A1:H6"/>
  <sheetViews>
    <sheetView workbookViewId="0">
      <selection activeCell="E16" sqref="E16"/>
    </sheetView>
  </sheetViews>
  <sheetFormatPr baseColWidth="10" defaultColWidth="9.140625" defaultRowHeight="15" x14ac:dyDescent="0.25"/>
  <cols>
    <col min="1" max="1" width="18.140625" customWidth="1"/>
    <col min="2" max="2" width="12.7109375" bestFit="1" customWidth="1"/>
    <col min="3" max="3" width="17.42578125" customWidth="1"/>
    <col min="4" max="4" width="11" customWidth="1"/>
    <col min="5" max="5" width="32.42578125" bestFit="1" customWidth="1"/>
    <col min="6" max="6" width="29" style="1" customWidth="1"/>
    <col min="7" max="7" width="16.140625" customWidth="1"/>
    <col min="8" max="8" width="14.28515625" bestFit="1" customWidth="1"/>
  </cols>
  <sheetData>
    <row r="1" spans="1:8" ht="15" customHeight="1" x14ac:dyDescent="0.25">
      <c r="A1" s="83" t="s">
        <v>28</v>
      </c>
      <c r="B1" s="72" t="s">
        <v>0</v>
      </c>
      <c r="C1" s="82" t="s">
        <v>1</v>
      </c>
      <c r="D1" s="82" t="s">
        <v>2</v>
      </c>
      <c r="E1" s="82" t="s">
        <v>3</v>
      </c>
      <c r="F1" s="82" t="s">
        <v>8</v>
      </c>
      <c r="G1" s="79" t="s">
        <v>4</v>
      </c>
      <c r="H1" s="80" t="s">
        <v>5</v>
      </c>
    </row>
    <row r="2" spans="1:8" ht="15" customHeight="1" x14ac:dyDescent="0.25">
      <c r="A2" s="84"/>
      <c r="B2" s="73"/>
      <c r="C2" s="74"/>
      <c r="D2" s="74"/>
      <c r="E2" s="74"/>
      <c r="F2" s="74"/>
      <c r="G2" s="68"/>
      <c r="H2" s="70"/>
    </row>
    <row r="3" spans="1:8" ht="20.100000000000001" customHeight="1" x14ac:dyDescent="0.25">
      <c r="A3" s="84"/>
      <c r="B3" s="2"/>
      <c r="C3" s="3"/>
      <c r="D3" s="3"/>
      <c r="E3" s="4"/>
      <c r="F3" s="19"/>
      <c r="G3" s="10"/>
      <c r="H3" s="11"/>
    </row>
    <row r="4" spans="1:8" ht="20.100000000000001" customHeight="1" x14ac:dyDescent="0.25">
      <c r="A4" s="84"/>
      <c r="B4" s="2"/>
      <c r="C4" s="3"/>
      <c r="D4" s="3"/>
      <c r="E4" s="4"/>
      <c r="F4" s="19"/>
      <c r="G4" s="10"/>
      <c r="H4" s="11"/>
    </row>
    <row r="5" spans="1:8" ht="20.100000000000001" customHeight="1" x14ac:dyDescent="0.25">
      <c r="A5" s="84"/>
      <c r="B5" s="2"/>
      <c r="C5" s="3"/>
      <c r="D5" s="3"/>
      <c r="E5" s="4"/>
      <c r="F5" s="19"/>
      <c r="G5" s="10"/>
      <c r="H5" s="11"/>
    </row>
    <row r="6" spans="1:8" ht="15.75" x14ac:dyDescent="0.25">
      <c r="A6" s="85"/>
      <c r="B6" s="13"/>
      <c r="C6" s="14"/>
      <c r="D6" s="14"/>
      <c r="E6" s="14" t="s">
        <v>5</v>
      </c>
      <c r="F6" s="15"/>
      <c r="G6" s="16"/>
      <c r="H6" s="23">
        <f>SUM(H3:H5)</f>
        <v>0</v>
      </c>
    </row>
  </sheetData>
  <mergeCells count="8">
    <mergeCell ref="A1:A6"/>
    <mergeCell ref="H1:H2"/>
    <mergeCell ref="B1:B2"/>
    <mergeCell ref="C1:C2"/>
    <mergeCell ref="D1:D2"/>
    <mergeCell ref="E1:E2"/>
    <mergeCell ref="F1:F2"/>
    <mergeCell ref="G1:G2"/>
  </mergeCells>
  <pageMargins left="0.7" right="0.7" top="0.75" bottom="0.75" header="0.3" footer="0.3"/>
  <pageSetup paperSize="9" orientation="portrait" horizontalDpi="120" verticalDpi="72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48"/>
  <sheetViews>
    <sheetView topLeftCell="A7" workbookViewId="0">
      <selection activeCell="H23" sqref="H23"/>
    </sheetView>
  </sheetViews>
  <sheetFormatPr baseColWidth="10" defaultColWidth="9.140625" defaultRowHeight="15" x14ac:dyDescent="0.25"/>
  <cols>
    <col min="1" max="1" width="14.85546875" customWidth="1"/>
    <col min="2" max="2" width="12.7109375" bestFit="1" customWidth="1"/>
    <col min="3" max="3" width="17.42578125" customWidth="1"/>
    <col min="4" max="4" width="11" customWidth="1"/>
    <col min="5" max="5" width="32.42578125" bestFit="1" customWidth="1"/>
    <col min="6" max="6" width="42.85546875" style="1" customWidth="1"/>
    <col min="7" max="7" width="16.140625" customWidth="1"/>
    <col min="8" max="8" width="14.28515625" bestFit="1" customWidth="1"/>
  </cols>
  <sheetData>
    <row r="1" spans="1:8" ht="15" customHeight="1" x14ac:dyDescent="0.25">
      <c r="A1" s="83" t="s">
        <v>29</v>
      </c>
      <c r="B1" s="81" t="s">
        <v>0</v>
      </c>
      <c r="C1" s="82" t="s">
        <v>1</v>
      </c>
      <c r="D1" s="82" t="s">
        <v>2</v>
      </c>
      <c r="E1" s="82" t="s">
        <v>3</v>
      </c>
      <c r="F1" s="82" t="s">
        <v>8</v>
      </c>
      <c r="G1" s="79" t="s">
        <v>4</v>
      </c>
      <c r="H1" s="80" t="s">
        <v>5</v>
      </c>
    </row>
    <row r="2" spans="1:8" ht="15" customHeight="1" x14ac:dyDescent="0.25">
      <c r="A2" s="84"/>
      <c r="B2" s="72"/>
      <c r="C2" s="74"/>
      <c r="D2" s="74"/>
      <c r="E2" s="74"/>
      <c r="F2" s="74"/>
      <c r="G2" s="68"/>
      <c r="H2" s="70"/>
    </row>
    <row r="3" spans="1:8" ht="15" customHeight="1" x14ac:dyDescent="0.25">
      <c r="A3" s="84"/>
      <c r="B3" s="2">
        <v>45300</v>
      </c>
      <c r="C3" s="3">
        <v>4025500651</v>
      </c>
      <c r="D3" s="3">
        <v>2</v>
      </c>
      <c r="E3" s="4" t="s">
        <v>160</v>
      </c>
      <c r="F3" s="19" t="s">
        <v>102</v>
      </c>
      <c r="G3" s="10" t="s">
        <v>7</v>
      </c>
      <c r="H3" s="11">
        <v>5000</v>
      </c>
    </row>
    <row r="4" spans="1:8" ht="15" customHeight="1" x14ac:dyDescent="0.25">
      <c r="A4" s="84"/>
      <c r="B4" s="2">
        <v>45301</v>
      </c>
      <c r="C4" s="3">
        <v>2910864217</v>
      </c>
      <c r="D4" s="3">
        <v>1</v>
      </c>
      <c r="E4" s="4" t="s">
        <v>161</v>
      </c>
      <c r="F4" s="19" t="s">
        <v>102</v>
      </c>
      <c r="G4" s="10" t="s">
        <v>6</v>
      </c>
      <c r="H4" s="11">
        <v>2500</v>
      </c>
    </row>
    <row r="5" spans="1:8" ht="15" customHeight="1" x14ac:dyDescent="0.25">
      <c r="A5" s="84"/>
      <c r="B5" s="2">
        <v>45309</v>
      </c>
      <c r="C5" s="3">
        <v>3970256467</v>
      </c>
      <c r="D5" s="3">
        <v>2</v>
      </c>
      <c r="E5" s="4" t="s">
        <v>75</v>
      </c>
      <c r="F5" s="19" t="s">
        <v>102</v>
      </c>
      <c r="G5" s="10" t="s">
        <v>10</v>
      </c>
      <c r="H5" s="11">
        <v>5000</v>
      </c>
    </row>
    <row r="6" spans="1:8" ht="15" customHeight="1" x14ac:dyDescent="0.25">
      <c r="A6" s="84"/>
      <c r="B6" s="2">
        <v>45315</v>
      </c>
      <c r="C6" s="3">
        <v>4071573535</v>
      </c>
      <c r="D6" s="3">
        <v>2</v>
      </c>
      <c r="E6" s="4" t="s">
        <v>162</v>
      </c>
      <c r="F6" s="19" t="s">
        <v>102</v>
      </c>
      <c r="G6" s="10" t="s">
        <v>10</v>
      </c>
      <c r="H6" s="11">
        <v>5000</v>
      </c>
    </row>
    <row r="7" spans="1:8" ht="15" customHeight="1" x14ac:dyDescent="0.25">
      <c r="A7" s="84"/>
      <c r="B7" s="2">
        <v>45321</v>
      </c>
      <c r="C7" s="3">
        <v>1516192547</v>
      </c>
      <c r="D7" s="3">
        <v>2</v>
      </c>
      <c r="E7" s="4" t="s">
        <v>163</v>
      </c>
      <c r="F7" s="19" t="s">
        <v>102</v>
      </c>
      <c r="G7" s="10" t="s">
        <v>7</v>
      </c>
      <c r="H7" s="11">
        <v>5000</v>
      </c>
    </row>
    <row r="8" spans="1:8" ht="15" customHeight="1" x14ac:dyDescent="0.25">
      <c r="A8" s="84"/>
      <c r="B8" s="2">
        <v>45322</v>
      </c>
      <c r="C8" s="3">
        <v>2796507074</v>
      </c>
      <c r="D8" s="3">
        <v>2</v>
      </c>
      <c r="E8" s="4" t="s">
        <v>89</v>
      </c>
      <c r="F8" s="19" t="s">
        <v>102</v>
      </c>
      <c r="G8" s="10" t="s">
        <v>6</v>
      </c>
      <c r="H8" s="11">
        <v>5000</v>
      </c>
    </row>
    <row r="9" spans="1:8" ht="15" customHeight="1" x14ac:dyDescent="0.25">
      <c r="A9" s="84"/>
      <c r="B9" s="2">
        <v>45322</v>
      </c>
      <c r="C9" s="3">
        <v>2587902124</v>
      </c>
      <c r="D9" s="3">
        <v>2</v>
      </c>
      <c r="E9" s="4" t="s">
        <v>164</v>
      </c>
      <c r="F9" s="19" t="s">
        <v>102</v>
      </c>
      <c r="G9" s="10" t="s">
        <v>7</v>
      </c>
      <c r="H9" s="11">
        <v>5000</v>
      </c>
    </row>
    <row r="10" spans="1:8" ht="15" customHeight="1" x14ac:dyDescent="0.25">
      <c r="A10" s="84"/>
      <c r="B10" s="2">
        <v>45357</v>
      </c>
      <c r="C10" s="3">
        <v>3603776325</v>
      </c>
      <c r="D10" s="3">
        <v>2</v>
      </c>
      <c r="E10" s="19" t="s">
        <v>303</v>
      </c>
      <c r="F10" s="19" t="s">
        <v>102</v>
      </c>
      <c r="G10" s="10" t="s">
        <v>7</v>
      </c>
      <c r="H10" s="11">
        <v>5000</v>
      </c>
    </row>
    <row r="11" spans="1:8" ht="15" customHeight="1" x14ac:dyDescent="0.25">
      <c r="A11" s="84"/>
      <c r="B11" s="2">
        <v>45390</v>
      </c>
      <c r="C11" s="3">
        <v>414534931</v>
      </c>
      <c r="D11" s="3">
        <v>2</v>
      </c>
      <c r="E11" s="19" t="s">
        <v>512</v>
      </c>
      <c r="F11" s="19" t="s">
        <v>102</v>
      </c>
      <c r="G11" s="10" t="s">
        <v>6</v>
      </c>
      <c r="H11" s="11">
        <v>5000</v>
      </c>
    </row>
    <row r="12" spans="1:8" ht="15" customHeight="1" x14ac:dyDescent="0.25">
      <c r="A12" s="84"/>
      <c r="B12" s="2">
        <v>45433</v>
      </c>
      <c r="C12" s="3">
        <v>2328316348</v>
      </c>
      <c r="D12" s="3">
        <v>2</v>
      </c>
      <c r="E12" s="19" t="s">
        <v>618</v>
      </c>
      <c r="F12" s="19" t="s">
        <v>102</v>
      </c>
      <c r="G12" s="10" t="s">
        <v>19</v>
      </c>
      <c r="H12" s="11">
        <v>5000</v>
      </c>
    </row>
    <row r="13" spans="1:8" ht="15" customHeight="1" x14ac:dyDescent="0.25">
      <c r="A13" s="84"/>
      <c r="B13" s="2">
        <v>45504</v>
      </c>
      <c r="C13" s="3">
        <v>913000973</v>
      </c>
      <c r="D13" s="3">
        <v>2</v>
      </c>
      <c r="E13" s="4" t="s">
        <v>269</v>
      </c>
      <c r="F13" s="19" t="s">
        <v>102</v>
      </c>
      <c r="G13" s="5" t="s">
        <v>6</v>
      </c>
      <c r="H13" s="6">
        <v>5000</v>
      </c>
    </row>
    <row r="14" spans="1:8" ht="15" customHeight="1" x14ac:dyDescent="0.25">
      <c r="A14" s="84"/>
      <c r="B14" s="2">
        <v>45511</v>
      </c>
      <c r="C14" s="3">
        <v>22168273</v>
      </c>
      <c r="D14" s="3">
        <v>2</v>
      </c>
      <c r="E14" s="4" t="s">
        <v>933</v>
      </c>
      <c r="F14" s="19" t="s">
        <v>102</v>
      </c>
      <c r="G14" s="5" t="s">
        <v>7</v>
      </c>
      <c r="H14" s="6">
        <v>5000</v>
      </c>
    </row>
    <row r="15" spans="1:8" ht="15" customHeight="1" x14ac:dyDescent="0.25">
      <c r="A15" s="84"/>
      <c r="B15" s="2">
        <v>45513</v>
      </c>
      <c r="C15" s="3">
        <v>3417000141</v>
      </c>
      <c r="D15" s="3">
        <v>2</v>
      </c>
      <c r="E15" s="4" t="s">
        <v>934</v>
      </c>
      <c r="F15" s="19" t="s">
        <v>102</v>
      </c>
      <c r="G15" s="5" t="s">
        <v>6</v>
      </c>
      <c r="H15" s="6">
        <v>5000</v>
      </c>
    </row>
    <row r="16" spans="1:8" ht="15" customHeight="1" x14ac:dyDescent="0.25">
      <c r="A16" s="84"/>
      <c r="B16" s="2" t="s">
        <v>935</v>
      </c>
      <c r="C16" s="3">
        <v>2219134279</v>
      </c>
      <c r="D16" s="3">
        <v>2</v>
      </c>
      <c r="E16" s="4" t="s">
        <v>914</v>
      </c>
      <c r="F16" s="19" t="s">
        <v>102</v>
      </c>
      <c r="G16" s="5" t="s">
        <v>19</v>
      </c>
      <c r="H16" s="6">
        <v>5000</v>
      </c>
    </row>
    <row r="17" spans="1:8" ht="15" customHeight="1" x14ac:dyDescent="0.25">
      <c r="A17" s="84"/>
      <c r="B17" s="2">
        <v>45534</v>
      </c>
      <c r="C17" s="3">
        <v>46024087</v>
      </c>
      <c r="D17" s="3">
        <v>2</v>
      </c>
      <c r="E17" s="4" t="s">
        <v>936</v>
      </c>
      <c r="F17" s="19" t="s">
        <v>102</v>
      </c>
      <c r="G17" s="5" t="s">
        <v>7</v>
      </c>
      <c r="H17" s="6">
        <v>5000</v>
      </c>
    </row>
    <row r="18" spans="1:8" ht="15" customHeight="1" x14ac:dyDescent="0.25">
      <c r="A18" s="84"/>
      <c r="B18" s="2">
        <v>45546</v>
      </c>
      <c r="C18" s="3">
        <v>2539734439</v>
      </c>
      <c r="D18" s="3">
        <v>2</v>
      </c>
      <c r="E18" s="4" t="s">
        <v>756</v>
      </c>
      <c r="F18" s="19" t="s">
        <v>102</v>
      </c>
      <c r="G18" s="5" t="s">
        <v>19</v>
      </c>
      <c r="H18" s="6">
        <v>5000</v>
      </c>
    </row>
    <row r="19" spans="1:8" ht="15" customHeight="1" x14ac:dyDescent="0.25">
      <c r="A19" s="84"/>
      <c r="B19" s="2">
        <v>45551</v>
      </c>
      <c r="C19" s="3">
        <v>4110765754</v>
      </c>
      <c r="D19" s="3">
        <v>2</v>
      </c>
      <c r="E19" s="4" t="s">
        <v>994</v>
      </c>
      <c r="F19" s="19" t="s">
        <v>102</v>
      </c>
      <c r="G19" s="5" t="s">
        <v>13</v>
      </c>
      <c r="H19" s="6">
        <v>5000</v>
      </c>
    </row>
    <row r="20" spans="1:8" ht="15" customHeight="1" x14ac:dyDescent="0.25">
      <c r="A20" s="84"/>
      <c r="B20" s="2">
        <v>45553</v>
      </c>
      <c r="C20" s="3">
        <v>3169665060</v>
      </c>
      <c r="D20" s="3">
        <v>2</v>
      </c>
      <c r="E20" s="4" t="s">
        <v>997</v>
      </c>
      <c r="F20" s="19" t="s">
        <v>102</v>
      </c>
      <c r="G20" s="5" t="s">
        <v>10</v>
      </c>
      <c r="H20" s="6">
        <v>5000</v>
      </c>
    </row>
    <row r="21" spans="1:8" ht="15" customHeight="1" x14ac:dyDescent="0.25">
      <c r="A21" s="84"/>
      <c r="B21" s="2">
        <v>45560</v>
      </c>
      <c r="C21" s="3">
        <v>879313783</v>
      </c>
      <c r="D21" s="3">
        <v>1</v>
      </c>
      <c r="E21" s="4" t="s">
        <v>867</v>
      </c>
      <c r="F21" s="19" t="s">
        <v>102</v>
      </c>
      <c r="G21" s="5" t="s">
        <v>7</v>
      </c>
      <c r="H21" s="6">
        <v>2500</v>
      </c>
    </row>
    <row r="22" spans="1:8" ht="15" customHeight="1" x14ac:dyDescent="0.25">
      <c r="A22" s="84"/>
      <c r="B22" s="2">
        <v>45560</v>
      </c>
      <c r="C22" s="3">
        <v>879313783</v>
      </c>
      <c r="D22" s="3">
        <v>1</v>
      </c>
      <c r="E22" s="4" t="s">
        <v>998</v>
      </c>
      <c r="F22" s="19" t="s">
        <v>102</v>
      </c>
      <c r="G22" s="5" t="s">
        <v>7</v>
      </c>
      <c r="H22" s="6">
        <v>2500</v>
      </c>
    </row>
    <row r="23" spans="1:8" ht="15" customHeight="1" x14ac:dyDescent="0.25">
      <c r="A23" s="84"/>
      <c r="B23" s="2">
        <v>45574</v>
      </c>
      <c r="C23" s="3">
        <v>1143818921</v>
      </c>
      <c r="D23" s="3">
        <v>2</v>
      </c>
      <c r="E23" s="4" t="s">
        <v>1077</v>
      </c>
      <c r="F23" s="19" t="s">
        <v>102</v>
      </c>
      <c r="G23" s="5" t="s">
        <v>7</v>
      </c>
      <c r="H23" s="6">
        <v>5000</v>
      </c>
    </row>
    <row r="24" spans="1:8" ht="15" customHeight="1" x14ac:dyDescent="0.25">
      <c r="A24" s="84"/>
      <c r="B24" s="2">
        <v>45588</v>
      </c>
      <c r="C24" s="3">
        <v>1898335348</v>
      </c>
      <c r="D24" s="3">
        <v>2</v>
      </c>
      <c r="E24" s="4" t="s">
        <v>914</v>
      </c>
      <c r="F24" s="19" t="s">
        <v>102</v>
      </c>
      <c r="G24" s="5" t="s">
        <v>19</v>
      </c>
      <c r="H24" s="6">
        <v>5000</v>
      </c>
    </row>
    <row r="25" spans="1:8" ht="15" customHeight="1" x14ac:dyDescent="0.25">
      <c r="A25" s="84"/>
      <c r="B25" s="2">
        <v>45590</v>
      </c>
      <c r="C25" s="3">
        <v>1029981194</v>
      </c>
      <c r="D25" s="3">
        <v>2</v>
      </c>
      <c r="E25" s="4" t="s">
        <v>1078</v>
      </c>
      <c r="F25" s="19" t="s">
        <v>102</v>
      </c>
      <c r="G25" s="5" t="s">
        <v>7</v>
      </c>
      <c r="H25" s="6">
        <v>5000</v>
      </c>
    </row>
    <row r="26" spans="1:8" ht="15" customHeight="1" x14ac:dyDescent="0.25">
      <c r="A26" s="84"/>
      <c r="B26" s="2">
        <v>45593</v>
      </c>
      <c r="C26" s="3">
        <v>412175540</v>
      </c>
      <c r="D26" s="3">
        <v>1</v>
      </c>
      <c r="E26" s="4" t="s">
        <v>1079</v>
      </c>
      <c r="F26" s="19" t="s">
        <v>102</v>
      </c>
      <c r="G26" s="5" t="s">
        <v>6</v>
      </c>
      <c r="H26" s="6">
        <v>2500</v>
      </c>
    </row>
    <row r="27" spans="1:8" ht="15" customHeight="1" x14ac:dyDescent="0.25">
      <c r="A27" s="84"/>
      <c r="B27" s="2">
        <v>45593</v>
      </c>
      <c r="C27" s="3">
        <v>412175540</v>
      </c>
      <c r="D27" s="3">
        <v>1</v>
      </c>
      <c r="E27" s="4" t="s">
        <v>363</v>
      </c>
      <c r="F27" s="19" t="s">
        <v>102</v>
      </c>
      <c r="G27" s="5" t="s">
        <v>6</v>
      </c>
      <c r="H27" s="6">
        <v>2500</v>
      </c>
    </row>
    <row r="28" spans="1:8" ht="15" customHeight="1" x14ac:dyDescent="0.25">
      <c r="A28" s="84"/>
      <c r="B28" s="2">
        <v>45602</v>
      </c>
      <c r="C28" s="3">
        <v>3095153149</v>
      </c>
      <c r="D28" s="3">
        <v>2</v>
      </c>
      <c r="E28" s="4" t="s">
        <v>1115</v>
      </c>
      <c r="F28" s="19" t="s">
        <v>102</v>
      </c>
      <c r="G28" s="5" t="s">
        <v>6</v>
      </c>
      <c r="H28" s="6">
        <v>5000</v>
      </c>
    </row>
    <row r="29" spans="1:8" ht="15" customHeight="1" x14ac:dyDescent="0.25">
      <c r="A29" s="84"/>
      <c r="B29" s="2">
        <v>45643</v>
      </c>
      <c r="C29" s="3">
        <v>1267943110</v>
      </c>
      <c r="D29" s="3">
        <v>2</v>
      </c>
      <c r="E29" s="4" t="s">
        <v>1078</v>
      </c>
      <c r="F29" s="19" t="s">
        <v>102</v>
      </c>
      <c r="G29" s="5" t="s">
        <v>6</v>
      </c>
      <c r="H29" s="6">
        <v>5000</v>
      </c>
    </row>
    <row r="30" spans="1:8" ht="15.75" x14ac:dyDescent="0.25">
      <c r="A30" s="85"/>
      <c r="B30" s="13"/>
      <c r="C30" s="14"/>
      <c r="D30" s="14"/>
      <c r="E30" s="14" t="s">
        <v>5</v>
      </c>
      <c r="F30" s="15"/>
      <c r="G30" s="16"/>
      <c r="H30" s="23">
        <f>SUM(H3:H29)</f>
        <v>122500</v>
      </c>
    </row>
    <row r="47" spans="6:6" x14ac:dyDescent="0.25">
      <c r="F47" s="2"/>
    </row>
    <row r="48" spans="6:6" x14ac:dyDescent="0.25">
      <c r="F48" s="2"/>
    </row>
  </sheetData>
  <autoFilter ref="B1:H30" xr:uid="{00000000-0001-0000-1000-000000000000}"/>
  <mergeCells count="8">
    <mergeCell ref="A1:A30"/>
    <mergeCell ref="H1:H2"/>
    <mergeCell ref="B1:B2"/>
    <mergeCell ref="C1:C2"/>
    <mergeCell ref="D1:D2"/>
    <mergeCell ref="E1:E2"/>
    <mergeCell ref="F1:F2"/>
    <mergeCell ref="G1:G2"/>
  </mergeCells>
  <pageMargins left="0.7" right="0.7" top="0.75" bottom="0.75" header="0.3" footer="0.3"/>
  <pageSetup paperSize="9" orientation="portrait" horizontalDpi="120" verticalDpi="72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147"/>
  <sheetViews>
    <sheetView topLeftCell="A132" workbookViewId="0">
      <selection activeCell="G152" sqref="G152"/>
    </sheetView>
  </sheetViews>
  <sheetFormatPr baseColWidth="10" defaultColWidth="9.140625" defaultRowHeight="15" x14ac:dyDescent="0.25"/>
  <cols>
    <col min="1" max="1" width="16.5703125" customWidth="1"/>
    <col min="2" max="2" width="12.7109375" bestFit="1" customWidth="1"/>
    <col min="3" max="3" width="17.42578125" customWidth="1"/>
    <col min="4" max="4" width="11" customWidth="1"/>
    <col min="5" max="5" width="38" bestFit="1" customWidth="1"/>
    <col min="6" max="6" width="32.85546875" style="1" customWidth="1"/>
    <col min="7" max="7" width="16.140625" customWidth="1"/>
    <col min="8" max="8" width="14.28515625" bestFit="1" customWidth="1"/>
  </cols>
  <sheetData>
    <row r="1" spans="1:8" ht="15" customHeight="1" x14ac:dyDescent="0.25">
      <c r="A1" s="83" t="s">
        <v>31</v>
      </c>
      <c r="B1" s="72" t="s">
        <v>0</v>
      </c>
      <c r="C1" s="82" t="s">
        <v>1</v>
      </c>
      <c r="D1" s="82" t="s">
        <v>2</v>
      </c>
      <c r="E1" s="82" t="s">
        <v>3</v>
      </c>
      <c r="F1" s="82" t="s">
        <v>8</v>
      </c>
      <c r="G1" s="79" t="s">
        <v>4</v>
      </c>
      <c r="H1" s="80" t="s">
        <v>5</v>
      </c>
    </row>
    <row r="2" spans="1:8" ht="15" customHeight="1" x14ac:dyDescent="0.25">
      <c r="A2" s="84"/>
      <c r="B2" s="73"/>
      <c r="C2" s="74"/>
      <c r="D2" s="74"/>
      <c r="E2" s="74"/>
      <c r="F2" s="74"/>
      <c r="G2" s="68"/>
      <c r="H2" s="70"/>
    </row>
    <row r="3" spans="1:8" ht="15.75" x14ac:dyDescent="0.25">
      <c r="A3" s="84"/>
      <c r="B3" s="2">
        <v>45301</v>
      </c>
      <c r="C3" s="3">
        <v>4269949891</v>
      </c>
      <c r="D3" s="3">
        <v>3</v>
      </c>
      <c r="E3" s="4" t="s">
        <v>114</v>
      </c>
      <c r="F3" s="19" t="s">
        <v>30</v>
      </c>
      <c r="G3" s="10" t="s">
        <v>10</v>
      </c>
      <c r="H3" s="11">
        <v>3000</v>
      </c>
    </row>
    <row r="4" spans="1:8" ht="15.75" x14ac:dyDescent="0.25">
      <c r="A4" s="84"/>
      <c r="B4" s="2">
        <v>45306</v>
      </c>
      <c r="C4" s="3">
        <v>1687177404</v>
      </c>
      <c r="D4" s="3">
        <v>1</v>
      </c>
      <c r="E4" s="4" t="s">
        <v>86</v>
      </c>
      <c r="F4" s="19" t="s">
        <v>30</v>
      </c>
      <c r="G4" s="10" t="s">
        <v>10</v>
      </c>
      <c r="H4" s="11">
        <v>1000</v>
      </c>
    </row>
    <row r="5" spans="1:8" ht="15.75" x14ac:dyDescent="0.25">
      <c r="A5" s="84"/>
      <c r="B5" s="2">
        <v>45306</v>
      </c>
      <c r="C5" s="3">
        <v>1687177404</v>
      </c>
      <c r="D5" s="3">
        <v>1</v>
      </c>
      <c r="E5" s="4" t="s">
        <v>86</v>
      </c>
      <c r="F5" s="19" t="s">
        <v>165</v>
      </c>
      <c r="G5" s="10" t="s">
        <v>10</v>
      </c>
      <c r="H5" s="11">
        <v>500</v>
      </c>
    </row>
    <row r="6" spans="1:8" ht="15.75" x14ac:dyDescent="0.25">
      <c r="A6" s="84"/>
      <c r="B6" s="2">
        <v>45315</v>
      </c>
      <c r="C6" s="3">
        <v>1995916393</v>
      </c>
      <c r="D6" s="3">
        <v>3</v>
      </c>
      <c r="E6" s="4" t="s">
        <v>123</v>
      </c>
      <c r="F6" s="19" t="s">
        <v>30</v>
      </c>
      <c r="G6" s="10" t="s">
        <v>7</v>
      </c>
      <c r="H6" s="11">
        <v>3000</v>
      </c>
    </row>
    <row r="7" spans="1:8" ht="15.75" x14ac:dyDescent="0.25">
      <c r="A7" s="84"/>
      <c r="B7" s="2">
        <v>45315</v>
      </c>
      <c r="C7" s="3">
        <v>585911500</v>
      </c>
      <c r="D7" s="3">
        <v>1</v>
      </c>
      <c r="E7" s="4" t="s">
        <v>86</v>
      </c>
      <c r="F7" s="19" t="s">
        <v>166</v>
      </c>
      <c r="G7" s="10" t="s">
        <v>10</v>
      </c>
      <c r="H7" s="11">
        <v>500</v>
      </c>
    </row>
    <row r="8" spans="1:8" ht="15.75" x14ac:dyDescent="0.25">
      <c r="A8" s="84"/>
      <c r="B8" s="2">
        <v>45315</v>
      </c>
      <c r="C8" s="3">
        <v>585911500</v>
      </c>
      <c r="D8" s="3">
        <v>1</v>
      </c>
      <c r="E8" s="4" t="s">
        <v>86</v>
      </c>
      <c r="F8" s="19" t="s">
        <v>30</v>
      </c>
      <c r="G8" s="10" t="s">
        <v>10</v>
      </c>
      <c r="H8" s="11">
        <v>1000</v>
      </c>
    </row>
    <row r="9" spans="1:8" ht="15.75" x14ac:dyDescent="0.25">
      <c r="A9" s="84"/>
      <c r="B9" s="2">
        <v>45315</v>
      </c>
      <c r="C9" s="3">
        <v>2555792518</v>
      </c>
      <c r="D9" s="3">
        <v>2</v>
      </c>
      <c r="E9" s="4" t="s">
        <v>96</v>
      </c>
      <c r="F9" s="19" t="s">
        <v>30</v>
      </c>
      <c r="G9" s="10" t="s">
        <v>10</v>
      </c>
      <c r="H9" s="11">
        <v>2400</v>
      </c>
    </row>
    <row r="10" spans="1:8" ht="15.75" x14ac:dyDescent="0.25">
      <c r="A10" s="84"/>
      <c r="B10" s="2">
        <v>45316</v>
      </c>
      <c r="C10" s="3">
        <v>4066787708</v>
      </c>
      <c r="D10" s="3">
        <v>3</v>
      </c>
      <c r="E10" s="4" t="s">
        <v>167</v>
      </c>
      <c r="F10" s="19" t="s">
        <v>30</v>
      </c>
      <c r="G10" s="10" t="s">
        <v>19</v>
      </c>
      <c r="H10" s="11">
        <v>3000</v>
      </c>
    </row>
    <row r="11" spans="1:8" ht="15.75" x14ac:dyDescent="0.25">
      <c r="A11" s="84"/>
      <c r="B11" s="2">
        <v>45320</v>
      </c>
      <c r="C11" s="3">
        <v>2949271419</v>
      </c>
      <c r="D11" s="3">
        <v>3</v>
      </c>
      <c r="E11" s="4" t="s">
        <v>168</v>
      </c>
      <c r="F11" s="19" t="s">
        <v>30</v>
      </c>
      <c r="G11" s="10" t="s">
        <v>19</v>
      </c>
      <c r="H11" s="11">
        <v>3000</v>
      </c>
    </row>
    <row r="12" spans="1:8" ht="15.75" x14ac:dyDescent="0.25">
      <c r="A12" s="84"/>
      <c r="B12" s="2">
        <v>45321</v>
      </c>
      <c r="C12" s="3">
        <v>2032485030</v>
      </c>
      <c r="D12" s="3">
        <v>3</v>
      </c>
      <c r="E12" s="4" t="s">
        <v>169</v>
      </c>
      <c r="F12" s="19" t="s">
        <v>30</v>
      </c>
      <c r="G12" s="10" t="s">
        <v>19</v>
      </c>
      <c r="H12" s="11">
        <v>3000</v>
      </c>
    </row>
    <row r="13" spans="1:8" ht="15.75" x14ac:dyDescent="0.25">
      <c r="A13" s="84"/>
      <c r="B13" s="2">
        <v>45321</v>
      </c>
      <c r="C13" s="3">
        <v>2320122568</v>
      </c>
      <c r="D13" s="3">
        <v>3</v>
      </c>
      <c r="E13" s="4" t="s">
        <v>170</v>
      </c>
      <c r="F13" s="19" t="s">
        <v>30</v>
      </c>
      <c r="G13" s="10" t="s">
        <v>11</v>
      </c>
      <c r="H13" s="11">
        <v>3000</v>
      </c>
    </row>
    <row r="14" spans="1:8" ht="15.75" x14ac:dyDescent="0.25">
      <c r="A14" s="84"/>
      <c r="B14" s="2">
        <v>45323</v>
      </c>
      <c r="C14" s="3">
        <v>165691819</v>
      </c>
      <c r="D14" s="3">
        <v>1</v>
      </c>
      <c r="E14" s="4" t="s">
        <v>254</v>
      </c>
      <c r="F14" s="19" t="s">
        <v>255</v>
      </c>
      <c r="G14" s="10" t="s">
        <v>13</v>
      </c>
      <c r="H14" s="11">
        <v>800</v>
      </c>
    </row>
    <row r="15" spans="1:8" ht="15.75" x14ac:dyDescent="0.25">
      <c r="A15" s="84"/>
      <c r="B15" s="2">
        <v>45329</v>
      </c>
      <c r="C15" s="3">
        <v>3749792411</v>
      </c>
      <c r="D15" s="3">
        <v>3</v>
      </c>
      <c r="E15" s="4" t="s">
        <v>246</v>
      </c>
      <c r="F15" s="19" t="s">
        <v>30</v>
      </c>
      <c r="G15" s="10" t="s">
        <v>7</v>
      </c>
      <c r="H15" s="11">
        <v>3360</v>
      </c>
    </row>
    <row r="16" spans="1:8" ht="15.75" x14ac:dyDescent="0.25">
      <c r="A16" s="84"/>
      <c r="B16" s="2">
        <v>45329</v>
      </c>
      <c r="C16" s="3">
        <v>1635927392</v>
      </c>
      <c r="D16" s="3">
        <v>2</v>
      </c>
      <c r="E16" s="4" t="s">
        <v>256</v>
      </c>
      <c r="F16" s="19" t="s">
        <v>257</v>
      </c>
      <c r="G16" s="10" t="s">
        <v>11</v>
      </c>
      <c r="H16" s="11">
        <v>3000</v>
      </c>
    </row>
    <row r="17" spans="1:8" ht="15.75" x14ac:dyDescent="0.25">
      <c r="A17" s="84"/>
      <c r="B17" s="2">
        <v>45329</v>
      </c>
      <c r="C17" s="3">
        <v>1635927392</v>
      </c>
      <c r="D17" s="3">
        <v>1</v>
      </c>
      <c r="E17" s="4" t="s">
        <v>256</v>
      </c>
      <c r="F17" s="19" t="s">
        <v>165</v>
      </c>
      <c r="G17" s="10" t="s">
        <v>11</v>
      </c>
      <c r="H17" s="11">
        <v>400</v>
      </c>
    </row>
    <row r="18" spans="1:8" ht="15.75" x14ac:dyDescent="0.25">
      <c r="A18" s="84"/>
      <c r="B18" s="2">
        <v>45329</v>
      </c>
      <c r="C18" s="3">
        <v>177556139</v>
      </c>
      <c r="D18" s="3">
        <v>3</v>
      </c>
      <c r="E18" s="4" t="s">
        <v>200</v>
      </c>
      <c r="F18" s="19" t="s">
        <v>30</v>
      </c>
      <c r="G18" s="10" t="s">
        <v>7</v>
      </c>
      <c r="H18" s="11">
        <v>3360</v>
      </c>
    </row>
    <row r="19" spans="1:8" ht="15.75" x14ac:dyDescent="0.25">
      <c r="A19" s="84"/>
      <c r="B19" s="2">
        <v>45335</v>
      </c>
      <c r="C19" s="3">
        <v>1662796491</v>
      </c>
      <c r="D19" s="3">
        <v>1</v>
      </c>
      <c r="E19" s="4" t="s">
        <v>258</v>
      </c>
      <c r="F19" s="19" t="s">
        <v>30</v>
      </c>
      <c r="G19" s="10" t="s">
        <v>7</v>
      </c>
      <c r="H19" s="11">
        <v>1600</v>
      </c>
    </row>
    <row r="20" spans="1:8" ht="15.75" x14ac:dyDescent="0.25">
      <c r="A20" s="84"/>
      <c r="B20" s="2">
        <v>45350</v>
      </c>
      <c r="C20" s="3">
        <v>2932688157</v>
      </c>
      <c r="D20" s="3">
        <v>1</v>
      </c>
      <c r="E20" s="4" t="s">
        <v>259</v>
      </c>
      <c r="F20" s="19" t="s">
        <v>30</v>
      </c>
      <c r="G20" s="10" t="s">
        <v>19</v>
      </c>
      <c r="H20" s="11">
        <v>1600</v>
      </c>
    </row>
    <row r="21" spans="1:8" ht="15.75" x14ac:dyDescent="0.25">
      <c r="A21" s="84"/>
      <c r="B21" s="2">
        <v>45355</v>
      </c>
      <c r="C21" s="3">
        <v>3040493985</v>
      </c>
      <c r="D21" s="3">
        <v>2</v>
      </c>
      <c r="E21" s="19" t="s">
        <v>339</v>
      </c>
      <c r="F21" s="19" t="s">
        <v>30</v>
      </c>
      <c r="G21" s="10" t="s">
        <v>7</v>
      </c>
      <c r="H21" s="11">
        <v>3200</v>
      </c>
    </row>
    <row r="22" spans="1:8" ht="15.75" x14ac:dyDescent="0.25">
      <c r="A22" s="84"/>
      <c r="B22" s="2">
        <v>45357</v>
      </c>
      <c r="C22" s="3">
        <v>1098728345</v>
      </c>
      <c r="D22" s="3">
        <v>1</v>
      </c>
      <c r="E22" s="19" t="s">
        <v>254</v>
      </c>
      <c r="F22" s="19" t="s">
        <v>255</v>
      </c>
      <c r="G22" s="10" t="s">
        <v>13</v>
      </c>
      <c r="H22" s="11">
        <v>800</v>
      </c>
    </row>
    <row r="23" spans="1:8" ht="15.75" x14ac:dyDescent="0.25">
      <c r="A23" s="84"/>
      <c r="B23" s="2">
        <v>45358</v>
      </c>
      <c r="C23" s="3">
        <v>787826298</v>
      </c>
      <c r="D23" s="3">
        <v>3</v>
      </c>
      <c r="E23" s="19" t="s">
        <v>293</v>
      </c>
      <c r="F23" s="19" t="s">
        <v>30</v>
      </c>
      <c r="G23" s="10" t="s">
        <v>10</v>
      </c>
      <c r="H23" s="11">
        <v>3000</v>
      </c>
    </row>
    <row r="24" spans="1:8" ht="30" x14ac:dyDescent="0.25">
      <c r="A24" s="84"/>
      <c r="B24" s="2">
        <v>45358</v>
      </c>
      <c r="C24" s="3">
        <v>3530903451</v>
      </c>
      <c r="D24" s="3">
        <v>1</v>
      </c>
      <c r="E24" s="19" t="s">
        <v>256</v>
      </c>
      <c r="F24" s="19" t="s">
        <v>340</v>
      </c>
      <c r="G24" s="10" t="s">
        <v>10</v>
      </c>
      <c r="H24" s="11">
        <v>1100</v>
      </c>
    </row>
    <row r="25" spans="1:8" ht="15.75" x14ac:dyDescent="0.25">
      <c r="A25" s="84"/>
      <c r="B25" s="2">
        <v>45359</v>
      </c>
      <c r="C25" s="3">
        <v>429149016</v>
      </c>
      <c r="D25" s="3">
        <v>2</v>
      </c>
      <c r="E25" s="19" t="s">
        <v>341</v>
      </c>
      <c r="F25" s="19" t="s">
        <v>257</v>
      </c>
      <c r="G25" s="10" t="s">
        <v>6</v>
      </c>
      <c r="H25" s="11">
        <v>4200</v>
      </c>
    </row>
    <row r="26" spans="1:8" ht="15.75" x14ac:dyDescent="0.25">
      <c r="A26" s="84"/>
      <c r="B26" s="2">
        <v>45369</v>
      </c>
      <c r="C26" s="3">
        <v>183518697</v>
      </c>
      <c r="D26" s="3">
        <v>2</v>
      </c>
      <c r="E26" s="19" t="s">
        <v>342</v>
      </c>
      <c r="F26" s="19" t="s">
        <v>30</v>
      </c>
      <c r="G26" s="10" t="s">
        <v>19</v>
      </c>
      <c r="H26" s="11">
        <v>1866</v>
      </c>
    </row>
    <row r="27" spans="1:8" ht="15.75" x14ac:dyDescent="0.25">
      <c r="A27" s="84"/>
      <c r="B27" s="2">
        <v>45369</v>
      </c>
      <c r="C27" s="3">
        <v>183518697</v>
      </c>
      <c r="D27" s="3">
        <v>1</v>
      </c>
      <c r="E27" s="19" t="s">
        <v>342</v>
      </c>
      <c r="F27" s="19" t="s">
        <v>30</v>
      </c>
      <c r="G27" s="10" t="s">
        <v>19</v>
      </c>
      <c r="H27" s="11">
        <v>934</v>
      </c>
    </row>
    <row r="28" spans="1:8" ht="15.75" x14ac:dyDescent="0.25">
      <c r="A28" s="84"/>
      <c r="B28" s="2">
        <v>45369</v>
      </c>
      <c r="C28" s="3">
        <v>377966010</v>
      </c>
      <c r="D28" s="3">
        <v>1</v>
      </c>
      <c r="E28" s="19" t="s">
        <v>258</v>
      </c>
      <c r="F28" s="19" t="s">
        <v>30</v>
      </c>
      <c r="G28" s="10" t="s">
        <v>6</v>
      </c>
      <c r="H28" s="11">
        <v>1600</v>
      </c>
    </row>
    <row r="29" spans="1:8" ht="15.75" x14ac:dyDescent="0.25">
      <c r="A29" s="84"/>
      <c r="B29" s="2">
        <v>45370</v>
      </c>
      <c r="C29" s="3">
        <v>821512679</v>
      </c>
      <c r="D29" s="3">
        <v>2</v>
      </c>
      <c r="E29" s="19" t="s">
        <v>343</v>
      </c>
      <c r="F29" s="19" t="s">
        <v>30</v>
      </c>
      <c r="G29" s="10" t="s">
        <v>10</v>
      </c>
      <c r="H29" s="11">
        <v>1866</v>
      </c>
    </row>
    <row r="30" spans="1:8" ht="15.75" x14ac:dyDescent="0.25">
      <c r="A30" s="84"/>
      <c r="B30" s="2">
        <v>45370</v>
      </c>
      <c r="C30" s="3">
        <v>821512679</v>
      </c>
      <c r="D30" s="3">
        <v>1</v>
      </c>
      <c r="E30" s="19" t="s">
        <v>343</v>
      </c>
      <c r="F30" s="19" t="s">
        <v>30</v>
      </c>
      <c r="G30" s="10" t="s">
        <v>10</v>
      </c>
      <c r="H30" s="11">
        <v>934</v>
      </c>
    </row>
    <row r="31" spans="1:8" ht="15.75" x14ac:dyDescent="0.25">
      <c r="A31" s="84"/>
      <c r="B31" s="2">
        <v>45370</v>
      </c>
      <c r="C31" s="3">
        <v>985416807</v>
      </c>
      <c r="D31" s="3">
        <v>2</v>
      </c>
      <c r="E31" s="19" t="s">
        <v>344</v>
      </c>
      <c r="F31" s="19" t="s">
        <v>30</v>
      </c>
      <c r="G31" s="10" t="s">
        <v>19</v>
      </c>
      <c r="H31" s="11">
        <v>1866</v>
      </c>
    </row>
    <row r="32" spans="1:8" ht="15.75" x14ac:dyDescent="0.25">
      <c r="A32" s="84"/>
      <c r="B32" s="2">
        <v>45370</v>
      </c>
      <c r="C32" s="3">
        <v>985416807</v>
      </c>
      <c r="D32" s="3">
        <v>1</v>
      </c>
      <c r="E32" s="19" t="s">
        <v>344</v>
      </c>
      <c r="F32" s="19" t="s">
        <v>30</v>
      </c>
      <c r="G32" s="10" t="s">
        <v>19</v>
      </c>
      <c r="H32" s="11">
        <v>934</v>
      </c>
    </row>
    <row r="33" spans="1:8" ht="15.75" x14ac:dyDescent="0.25">
      <c r="A33" s="84"/>
      <c r="B33" s="2">
        <v>45383</v>
      </c>
      <c r="C33" s="3">
        <v>1391480462</v>
      </c>
      <c r="D33" s="3">
        <v>2</v>
      </c>
      <c r="E33" s="19" t="s">
        <v>78</v>
      </c>
      <c r="F33" s="19" t="s">
        <v>30</v>
      </c>
      <c r="G33" s="10" t="s">
        <v>6</v>
      </c>
      <c r="H33" s="11">
        <v>1866</v>
      </c>
    </row>
    <row r="34" spans="1:8" ht="15.75" x14ac:dyDescent="0.25">
      <c r="A34" s="84"/>
      <c r="B34" s="2">
        <v>45383</v>
      </c>
      <c r="C34" s="3">
        <v>1391480462</v>
      </c>
      <c r="D34" s="3">
        <v>1</v>
      </c>
      <c r="E34" s="19" t="s">
        <v>78</v>
      </c>
      <c r="F34" s="19" t="s">
        <v>30</v>
      </c>
      <c r="G34" s="10" t="s">
        <v>6</v>
      </c>
      <c r="H34" s="11">
        <v>934</v>
      </c>
    </row>
    <row r="35" spans="1:8" ht="15.75" x14ac:dyDescent="0.25">
      <c r="A35" s="84"/>
      <c r="B35" s="2">
        <v>45385</v>
      </c>
      <c r="C35" s="3">
        <v>2392803424</v>
      </c>
      <c r="D35" s="3">
        <v>3</v>
      </c>
      <c r="E35" s="19" t="s">
        <v>513</v>
      </c>
      <c r="F35" s="19" t="s">
        <v>30</v>
      </c>
      <c r="G35" s="10" t="s">
        <v>10</v>
      </c>
      <c r="H35" s="11">
        <v>3000</v>
      </c>
    </row>
    <row r="36" spans="1:8" ht="15.75" x14ac:dyDescent="0.25">
      <c r="A36" s="84"/>
      <c r="B36" s="2">
        <v>45386</v>
      </c>
      <c r="C36" s="3">
        <v>297456676</v>
      </c>
      <c r="D36" s="3">
        <v>3</v>
      </c>
      <c r="E36" s="19" t="s">
        <v>339</v>
      </c>
      <c r="F36" s="19" t="s">
        <v>514</v>
      </c>
      <c r="G36" s="10" t="s">
        <v>7</v>
      </c>
      <c r="H36" s="11">
        <v>2400</v>
      </c>
    </row>
    <row r="37" spans="1:8" ht="15.75" x14ac:dyDescent="0.25">
      <c r="A37" s="84"/>
      <c r="B37" s="2">
        <v>45391</v>
      </c>
      <c r="C37" s="3">
        <v>564873410</v>
      </c>
      <c r="D37" s="3">
        <v>1</v>
      </c>
      <c r="E37" s="19" t="s">
        <v>515</v>
      </c>
      <c r="F37" s="19" t="s">
        <v>30</v>
      </c>
      <c r="G37" s="10" t="s">
        <v>7</v>
      </c>
      <c r="H37" s="11">
        <v>1000</v>
      </c>
    </row>
    <row r="38" spans="1:8" ht="15.75" x14ac:dyDescent="0.25">
      <c r="A38" s="84"/>
      <c r="B38" s="2">
        <v>45393</v>
      </c>
      <c r="C38" s="3">
        <v>3846786169</v>
      </c>
      <c r="D38" s="3">
        <v>1</v>
      </c>
      <c r="E38" s="19" t="s">
        <v>516</v>
      </c>
      <c r="F38" s="19" t="s">
        <v>255</v>
      </c>
      <c r="G38" s="10" t="s">
        <v>13</v>
      </c>
      <c r="H38" s="11">
        <v>800</v>
      </c>
    </row>
    <row r="39" spans="1:8" ht="15.75" x14ac:dyDescent="0.25">
      <c r="A39" s="84"/>
      <c r="B39" s="2">
        <v>45394</v>
      </c>
      <c r="C39" s="3">
        <v>1712341042</v>
      </c>
      <c r="D39" s="3">
        <v>3</v>
      </c>
      <c r="E39" s="19" t="s">
        <v>517</v>
      </c>
      <c r="F39" s="19" t="s">
        <v>30</v>
      </c>
      <c r="G39" s="10" t="s">
        <v>19</v>
      </c>
      <c r="H39" s="11">
        <v>3000</v>
      </c>
    </row>
    <row r="40" spans="1:8" ht="15.75" x14ac:dyDescent="0.25">
      <c r="A40" s="84"/>
      <c r="B40" s="2">
        <v>45397</v>
      </c>
      <c r="C40" s="3">
        <v>3754901697</v>
      </c>
      <c r="D40" s="3">
        <v>3</v>
      </c>
      <c r="E40" s="19" t="s">
        <v>518</v>
      </c>
      <c r="F40" s="19" t="s">
        <v>30</v>
      </c>
      <c r="G40" s="10" t="s">
        <v>6</v>
      </c>
      <c r="H40" s="11">
        <v>3000</v>
      </c>
    </row>
    <row r="41" spans="1:8" ht="15.75" x14ac:dyDescent="0.25">
      <c r="A41" s="84"/>
      <c r="B41" s="2">
        <v>45399</v>
      </c>
      <c r="C41" s="3">
        <v>2952613093</v>
      </c>
      <c r="D41" s="3">
        <v>3</v>
      </c>
      <c r="E41" s="19" t="s">
        <v>519</v>
      </c>
      <c r="F41" s="19" t="s">
        <v>30</v>
      </c>
      <c r="G41" s="10" t="s">
        <v>7</v>
      </c>
      <c r="H41" s="11">
        <v>3000</v>
      </c>
    </row>
    <row r="42" spans="1:8" ht="15.75" x14ac:dyDescent="0.25">
      <c r="A42" s="84"/>
      <c r="B42" s="2">
        <v>45401</v>
      </c>
      <c r="C42" s="3">
        <v>2642299141</v>
      </c>
      <c r="D42" s="3">
        <v>2</v>
      </c>
      <c r="E42" s="19" t="s">
        <v>368</v>
      </c>
      <c r="F42" s="19" t="s">
        <v>30</v>
      </c>
      <c r="G42" s="10" t="s">
        <v>19</v>
      </c>
      <c r="H42" s="11">
        <v>1932</v>
      </c>
    </row>
    <row r="43" spans="1:8" ht="15.75" x14ac:dyDescent="0.25">
      <c r="A43" s="84"/>
      <c r="B43" s="2">
        <v>45401</v>
      </c>
      <c r="C43" s="3">
        <v>2642299141</v>
      </c>
      <c r="D43" s="3">
        <v>1</v>
      </c>
      <c r="E43" s="19" t="s">
        <v>368</v>
      </c>
      <c r="F43" s="19" t="s">
        <v>30</v>
      </c>
      <c r="G43" s="10" t="s">
        <v>19</v>
      </c>
      <c r="H43" s="11">
        <v>968</v>
      </c>
    </row>
    <row r="44" spans="1:8" ht="15.75" x14ac:dyDescent="0.25">
      <c r="A44" s="84"/>
      <c r="B44" s="2">
        <v>45404</v>
      </c>
      <c r="C44" s="3">
        <v>2065975418</v>
      </c>
      <c r="D44" s="3">
        <v>2</v>
      </c>
      <c r="E44" s="19" t="s">
        <v>264</v>
      </c>
      <c r="F44" s="19" t="s">
        <v>520</v>
      </c>
      <c r="G44" s="10" t="s">
        <v>7</v>
      </c>
      <c r="H44" s="11">
        <v>1332</v>
      </c>
    </row>
    <row r="45" spans="1:8" ht="15.75" x14ac:dyDescent="0.25">
      <c r="A45" s="84"/>
      <c r="B45" s="2">
        <v>45404</v>
      </c>
      <c r="C45" s="3">
        <v>2065975418</v>
      </c>
      <c r="D45" s="3">
        <v>1</v>
      </c>
      <c r="E45" s="19" t="s">
        <v>264</v>
      </c>
      <c r="F45" s="19" t="s">
        <v>520</v>
      </c>
      <c r="G45" s="10" t="s">
        <v>7</v>
      </c>
      <c r="H45" s="11">
        <v>668</v>
      </c>
    </row>
    <row r="46" spans="1:8" ht="15.75" x14ac:dyDescent="0.25">
      <c r="A46" s="84"/>
      <c r="B46" s="2">
        <v>45407</v>
      </c>
      <c r="C46" s="3">
        <v>1576029436</v>
      </c>
      <c r="D46" s="3">
        <v>2</v>
      </c>
      <c r="E46" s="19" t="s">
        <v>521</v>
      </c>
      <c r="F46" s="19" t="s">
        <v>30</v>
      </c>
      <c r="G46" s="10" t="s">
        <v>19</v>
      </c>
      <c r="H46" s="11">
        <v>1932</v>
      </c>
    </row>
    <row r="47" spans="1:8" ht="15.75" x14ac:dyDescent="0.25">
      <c r="A47" s="84"/>
      <c r="B47" s="2">
        <v>45407</v>
      </c>
      <c r="C47" s="3">
        <v>1576029436</v>
      </c>
      <c r="D47" s="3">
        <v>1</v>
      </c>
      <c r="E47" s="19" t="s">
        <v>521</v>
      </c>
      <c r="F47" s="19" t="s">
        <v>30</v>
      </c>
      <c r="G47" s="10" t="s">
        <v>19</v>
      </c>
      <c r="H47" s="11">
        <v>968</v>
      </c>
    </row>
    <row r="48" spans="1:8" ht="15.75" x14ac:dyDescent="0.25">
      <c r="A48" s="84"/>
      <c r="B48" s="2">
        <v>45407</v>
      </c>
      <c r="C48" s="3">
        <v>3011267001</v>
      </c>
      <c r="D48" s="3">
        <v>2</v>
      </c>
      <c r="E48" s="19" t="s">
        <v>522</v>
      </c>
      <c r="F48" s="19" t="s">
        <v>30</v>
      </c>
      <c r="G48" s="10" t="s">
        <v>7</v>
      </c>
      <c r="H48" s="11">
        <v>1932</v>
      </c>
    </row>
    <row r="49" spans="1:8" ht="15.75" x14ac:dyDescent="0.25">
      <c r="A49" s="84"/>
      <c r="B49" s="2">
        <v>45407</v>
      </c>
      <c r="C49" s="3">
        <v>3011267001</v>
      </c>
      <c r="D49" s="3">
        <v>1</v>
      </c>
      <c r="E49" s="19" t="s">
        <v>522</v>
      </c>
      <c r="F49" s="19" t="s">
        <v>30</v>
      </c>
      <c r="G49" s="10" t="s">
        <v>7</v>
      </c>
      <c r="H49" s="11">
        <v>968</v>
      </c>
    </row>
    <row r="50" spans="1:8" ht="15.75" x14ac:dyDescent="0.25">
      <c r="A50" s="84"/>
      <c r="B50" s="2">
        <v>45408</v>
      </c>
      <c r="C50" s="3">
        <v>2684963901</v>
      </c>
      <c r="D50" s="3">
        <v>2</v>
      </c>
      <c r="E50" s="19" t="s">
        <v>264</v>
      </c>
      <c r="F50" s="19" t="s">
        <v>526</v>
      </c>
      <c r="G50" s="10" t="s">
        <v>6</v>
      </c>
      <c r="H50" s="11">
        <v>1332</v>
      </c>
    </row>
    <row r="51" spans="1:8" ht="15.75" x14ac:dyDescent="0.25">
      <c r="A51" s="84"/>
      <c r="B51" s="2">
        <v>45408</v>
      </c>
      <c r="C51" s="3">
        <v>2684963901</v>
      </c>
      <c r="D51" s="3">
        <v>1</v>
      </c>
      <c r="E51" s="19" t="s">
        <v>264</v>
      </c>
      <c r="F51" s="19" t="s">
        <v>526</v>
      </c>
      <c r="G51" s="10" t="s">
        <v>6</v>
      </c>
      <c r="H51" s="11">
        <v>668</v>
      </c>
    </row>
    <row r="52" spans="1:8" ht="15.75" x14ac:dyDescent="0.25">
      <c r="A52" s="84"/>
      <c r="B52" s="2">
        <v>45408</v>
      </c>
      <c r="C52" s="3">
        <v>431377011</v>
      </c>
      <c r="D52" s="3">
        <v>2</v>
      </c>
      <c r="E52" s="19" t="s">
        <v>523</v>
      </c>
      <c r="F52" s="19" t="s">
        <v>30</v>
      </c>
      <c r="G52" s="10" t="s">
        <v>10</v>
      </c>
      <c r="H52" s="11">
        <v>1932</v>
      </c>
    </row>
    <row r="53" spans="1:8" ht="15.75" x14ac:dyDescent="0.25">
      <c r="A53" s="84"/>
      <c r="B53" s="2">
        <v>45408</v>
      </c>
      <c r="C53" s="3">
        <v>431377011</v>
      </c>
      <c r="D53" s="3">
        <v>1</v>
      </c>
      <c r="E53" s="19" t="s">
        <v>523</v>
      </c>
      <c r="F53" s="19" t="s">
        <v>30</v>
      </c>
      <c r="G53" s="10" t="s">
        <v>10</v>
      </c>
      <c r="H53" s="11">
        <v>968</v>
      </c>
    </row>
    <row r="54" spans="1:8" ht="15.75" x14ac:dyDescent="0.25">
      <c r="A54" s="84"/>
      <c r="B54" s="2">
        <v>45411</v>
      </c>
      <c r="C54" s="3">
        <v>1159415187</v>
      </c>
      <c r="D54" s="3">
        <v>2</v>
      </c>
      <c r="E54" s="19" t="s">
        <v>524</v>
      </c>
      <c r="F54" s="19" t="s">
        <v>30</v>
      </c>
      <c r="G54" s="10" t="s">
        <v>11</v>
      </c>
      <c r="H54" s="11">
        <v>1932</v>
      </c>
    </row>
    <row r="55" spans="1:8" ht="15.75" x14ac:dyDescent="0.25">
      <c r="A55" s="84"/>
      <c r="B55" s="2">
        <v>45411</v>
      </c>
      <c r="C55" s="3">
        <v>1159415187</v>
      </c>
      <c r="D55" s="3">
        <v>1</v>
      </c>
      <c r="E55" s="19" t="s">
        <v>524</v>
      </c>
      <c r="F55" s="19" t="s">
        <v>30</v>
      </c>
      <c r="G55" s="10" t="s">
        <v>11</v>
      </c>
      <c r="H55" s="11">
        <v>968</v>
      </c>
    </row>
    <row r="56" spans="1:8" ht="15.75" x14ac:dyDescent="0.25">
      <c r="A56" s="84"/>
      <c r="B56" s="2">
        <v>45411</v>
      </c>
      <c r="C56" s="3">
        <v>2134917870</v>
      </c>
      <c r="D56" s="3">
        <v>2</v>
      </c>
      <c r="E56" s="19" t="s">
        <v>525</v>
      </c>
      <c r="F56" s="19" t="s">
        <v>30</v>
      </c>
      <c r="G56" s="10" t="s">
        <v>11</v>
      </c>
      <c r="H56" s="11">
        <v>1932</v>
      </c>
    </row>
    <row r="57" spans="1:8" ht="15.75" x14ac:dyDescent="0.25">
      <c r="A57" s="84"/>
      <c r="B57" s="2">
        <v>45411</v>
      </c>
      <c r="C57" s="3">
        <v>2134917870</v>
      </c>
      <c r="D57" s="3">
        <v>1</v>
      </c>
      <c r="E57" s="19" t="s">
        <v>525</v>
      </c>
      <c r="F57" s="19" t="s">
        <v>30</v>
      </c>
      <c r="G57" s="10" t="s">
        <v>11</v>
      </c>
      <c r="H57" s="11">
        <v>968</v>
      </c>
    </row>
    <row r="58" spans="1:8" ht="15.75" x14ac:dyDescent="0.25">
      <c r="A58" s="84"/>
      <c r="B58" s="2">
        <v>45412</v>
      </c>
      <c r="C58" s="3">
        <v>1133988228</v>
      </c>
      <c r="D58" s="3">
        <v>2</v>
      </c>
      <c r="E58" s="19" t="s">
        <v>527</v>
      </c>
      <c r="F58" s="19" t="s">
        <v>520</v>
      </c>
      <c r="G58" s="10" t="s">
        <v>19</v>
      </c>
      <c r="H58" s="11">
        <v>1332</v>
      </c>
    </row>
    <row r="59" spans="1:8" ht="15.75" x14ac:dyDescent="0.25">
      <c r="A59" s="84"/>
      <c r="B59" s="2">
        <v>45412</v>
      </c>
      <c r="C59" s="3">
        <v>1133988228</v>
      </c>
      <c r="D59" s="3">
        <v>1</v>
      </c>
      <c r="E59" s="19" t="s">
        <v>527</v>
      </c>
      <c r="F59" s="19" t="s">
        <v>520</v>
      </c>
      <c r="G59" s="10" t="s">
        <v>19</v>
      </c>
      <c r="H59" s="11">
        <v>668</v>
      </c>
    </row>
    <row r="60" spans="1:8" ht="15.75" x14ac:dyDescent="0.25">
      <c r="A60" s="84"/>
      <c r="B60" s="2">
        <v>45414</v>
      </c>
      <c r="C60" s="3">
        <v>606227387</v>
      </c>
      <c r="D60" s="3">
        <v>3</v>
      </c>
      <c r="E60" s="19" t="s">
        <v>584</v>
      </c>
      <c r="F60" s="19" t="s">
        <v>30</v>
      </c>
      <c r="G60" s="10" t="s">
        <v>7</v>
      </c>
      <c r="H60" s="11">
        <v>3000</v>
      </c>
    </row>
    <row r="61" spans="1:8" ht="15.75" x14ac:dyDescent="0.25">
      <c r="A61" s="84"/>
      <c r="B61" s="2">
        <v>45415</v>
      </c>
      <c r="C61" s="3">
        <v>2375897066</v>
      </c>
      <c r="D61" s="3">
        <v>2</v>
      </c>
      <c r="E61" s="19" t="s">
        <v>619</v>
      </c>
      <c r="F61" s="19" t="s">
        <v>30</v>
      </c>
      <c r="G61" s="10" t="s">
        <v>19</v>
      </c>
      <c r="H61" s="11">
        <v>1932</v>
      </c>
    </row>
    <row r="62" spans="1:8" ht="15.75" x14ac:dyDescent="0.25">
      <c r="A62" s="84"/>
      <c r="B62" s="2">
        <v>45415</v>
      </c>
      <c r="C62" s="3">
        <v>2375897066</v>
      </c>
      <c r="D62" s="3">
        <v>1</v>
      </c>
      <c r="E62" s="19" t="s">
        <v>619</v>
      </c>
      <c r="F62" s="19" t="s">
        <v>30</v>
      </c>
      <c r="G62" s="10" t="s">
        <v>19</v>
      </c>
      <c r="H62" s="11">
        <v>968</v>
      </c>
    </row>
    <row r="63" spans="1:8" ht="15.75" x14ac:dyDescent="0.25">
      <c r="A63" s="84"/>
      <c r="B63" s="2">
        <v>45415</v>
      </c>
      <c r="C63" s="3">
        <v>3033416792</v>
      </c>
      <c r="D63" s="3">
        <v>2</v>
      </c>
      <c r="E63" s="19" t="s">
        <v>620</v>
      </c>
      <c r="F63" s="19" t="s">
        <v>30</v>
      </c>
      <c r="G63" s="10" t="s">
        <v>19</v>
      </c>
      <c r="H63" s="11">
        <v>1932</v>
      </c>
    </row>
    <row r="64" spans="1:8" ht="15.75" x14ac:dyDescent="0.25">
      <c r="A64" s="84"/>
      <c r="B64" s="2">
        <v>45415</v>
      </c>
      <c r="C64" s="3">
        <v>3033416792</v>
      </c>
      <c r="D64" s="3">
        <v>1</v>
      </c>
      <c r="E64" s="19" t="s">
        <v>620</v>
      </c>
      <c r="F64" s="19" t="s">
        <v>30</v>
      </c>
      <c r="G64" s="10" t="s">
        <v>19</v>
      </c>
      <c r="H64" s="11">
        <v>968</v>
      </c>
    </row>
    <row r="65" spans="1:8" ht="15.75" x14ac:dyDescent="0.25">
      <c r="A65" s="84"/>
      <c r="B65" s="2">
        <v>45415</v>
      </c>
      <c r="C65" s="3">
        <v>3319548794</v>
      </c>
      <c r="D65" s="3">
        <v>2</v>
      </c>
      <c r="E65" s="19" t="s">
        <v>621</v>
      </c>
      <c r="F65" s="19" t="s">
        <v>30</v>
      </c>
      <c r="G65" s="10" t="s">
        <v>19</v>
      </c>
      <c r="H65" s="11">
        <v>1932</v>
      </c>
    </row>
    <row r="66" spans="1:8" ht="15.75" x14ac:dyDescent="0.25">
      <c r="A66" s="84"/>
      <c r="B66" s="2">
        <v>45415</v>
      </c>
      <c r="C66" s="3">
        <v>3319548794</v>
      </c>
      <c r="D66" s="3">
        <v>1</v>
      </c>
      <c r="E66" s="19" t="s">
        <v>621</v>
      </c>
      <c r="F66" s="19" t="s">
        <v>30</v>
      </c>
      <c r="G66" s="10" t="s">
        <v>19</v>
      </c>
      <c r="H66" s="11">
        <v>968</v>
      </c>
    </row>
    <row r="67" spans="1:8" ht="15.75" x14ac:dyDescent="0.25">
      <c r="A67" s="84"/>
      <c r="B67" s="2">
        <v>45415</v>
      </c>
      <c r="C67" s="3">
        <v>1836205569</v>
      </c>
      <c r="D67" s="3">
        <v>3</v>
      </c>
      <c r="E67" s="19" t="s">
        <v>622</v>
      </c>
      <c r="F67" s="19" t="s">
        <v>30</v>
      </c>
      <c r="G67" s="10" t="s">
        <v>7</v>
      </c>
      <c r="H67" s="11">
        <v>3360</v>
      </c>
    </row>
    <row r="68" spans="1:8" ht="15.75" x14ac:dyDescent="0.25">
      <c r="A68" s="84"/>
      <c r="B68" s="2">
        <v>45421</v>
      </c>
      <c r="C68" s="3">
        <v>1532317632</v>
      </c>
      <c r="D68" s="3">
        <v>3</v>
      </c>
      <c r="E68" s="19" t="s">
        <v>570</v>
      </c>
      <c r="F68" s="19" t="s">
        <v>30</v>
      </c>
      <c r="G68" s="10" t="s">
        <v>7</v>
      </c>
      <c r="H68" s="11">
        <v>3300</v>
      </c>
    </row>
    <row r="69" spans="1:8" ht="15.75" x14ac:dyDescent="0.25">
      <c r="A69" s="84"/>
      <c r="B69" s="2">
        <v>45427</v>
      </c>
      <c r="C69" s="3">
        <v>2819444095</v>
      </c>
      <c r="D69" s="3">
        <v>2</v>
      </c>
      <c r="E69" s="19" t="s">
        <v>623</v>
      </c>
      <c r="F69" s="19" t="s">
        <v>30</v>
      </c>
      <c r="G69" s="10" t="s">
        <v>6</v>
      </c>
      <c r="H69" s="11">
        <v>1932</v>
      </c>
    </row>
    <row r="70" spans="1:8" ht="15.75" x14ac:dyDescent="0.25">
      <c r="A70" s="84"/>
      <c r="B70" s="2">
        <v>45427</v>
      </c>
      <c r="C70" s="3">
        <v>2819444095</v>
      </c>
      <c r="D70" s="3">
        <v>1</v>
      </c>
      <c r="E70" s="19" t="s">
        <v>623</v>
      </c>
      <c r="F70" s="19" t="s">
        <v>30</v>
      </c>
      <c r="G70" s="10" t="s">
        <v>6</v>
      </c>
      <c r="H70" s="11">
        <v>968</v>
      </c>
    </row>
    <row r="71" spans="1:8" ht="15.75" x14ac:dyDescent="0.25">
      <c r="A71" s="84"/>
      <c r="B71" s="2">
        <v>45427</v>
      </c>
      <c r="C71" s="3">
        <v>781666716</v>
      </c>
      <c r="D71" s="3">
        <v>3</v>
      </c>
      <c r="E71" s="19" t="s">
        <v>594</v>
      </c>
      <c r="F71" s="19" t="s">
        <v>30</v>
      </c>
      <c r="G71" s="10" t="s">
        <v>19</v>
      </c>
      <c r="H71" s="11">
        <v>3300</v>
      </c>
    </row>
    <row r="72" spans="1:8" ht="15.75" x14ac:dyDescent="0.25">
      <c r="A72" s="84"/>
      <c r="B72" s="2">
        <v>45429</v>
      </c>
      <c r="C72" s="3">
        <v>1580747398</v>
      </c>
      <c r="D72" s="3">
        <v>3</v>
      </c>
      <c r="E72" s="19" t="s">
        <v>624</v>
      </c>
      <c r="F72" s="19" t="s">
        <v>30</v>
      </c>
      <c r="G72" s="10" t="s">
        <v>19</v>
      </c>
      <c r="H72" s="11">
        <v>3300</v>
      </c>
    </row>
    <row r="73" spans="1:8" ht="15.75" x14ac:dyDescent="0.25">
      <c r="A73" s="84"/>
      <c r="B73" s="2">
        <v>45433</v>
      </c>
      <c r="C73" s="3">
        <v>2328316348</v>
      </c>
      <c r="D73" s="3">
        <v>3</v>
      </c>
      <c r="E73" s="19" t="s">
        <v>618</v>
      </c>
      <c r="F73" s="19" t="s">
        <v>30</v>
      </c>
      <c r="G73" s="10" t="s">
        <v>19</v>
      </c>
      <c r="H73" s="11">
        <v>3000</v>
      </c>
    </row>
    <row r="74" spans="1:8" ht="15.75" x14ac:dyDescent="0.25">
      <c r="A74" s="84"/>
      <c r="B74" s="2">
        <v>45436</v>
      </c>
      <c r="C74" s="3">
        <v>719471508</v>
      </c>
      <c r="D74" s="3">
        <v>3</v>
      </c>
      <c r="E74" s="19" t="s">
        <v>625</v>
      </c>
      <c r="F74" s="19" t="s">
        <v>30</v>
      </c>
      <c r="G74" s="10" t="s">
        <v>7</v>
      </c>
      <c r="H74" s="11">
        <v>3300</v>
      </c>
    </row>
    <row r="75" spans="1:8" ht="15.75" x14ac:dyDescent="0.25">
      <c r="A75" s="84"/>
      <c r="B75" s="2">
        <v>45436</v>
      </c>
      <c r="C75" s="3">
        <v>1437745470</v>
      </c>
      <c r="D75" s="3">
        <v>3</v>
      </c>
      <c r="E75" s="19" t="s">
        <v>626</v>
      </c>
      <c r="F75" s="19" t="s">
        <v>30</v>
      </c>
      <c r="G75" s="10" t="s">
        <v>7</v>
      </c>
      <c r="H75" s="11">
        <v>3300</v>
      </c>
    </row>
    <row r="76" spans="1:8" ht="15.75" x14ac:dyDescent="0.25">
      <c r="A76" s="84"/>
      <c r="B76" s="2">
        <v>45440</v>
      </c>
      <c r="C76" s="3">
        <v>1113145505</v>
      </c>
      <c r="D76" s="3">
        <v>1</v>
      </c>
      <c r="E76" s="19" t="s">
        <v>516</v>
      </c>
      <c r="F76" s="19" t="s">
        <v>255</v>
      </c>
      <c r="G76" s="10" t="s">
        <v>13</v>
      </c>
      <c r="H76" s="11">
        <v>800</v>
      </c>
    </row>
    <row r="77" spans="1:8" ht="15.75" x14ac:dyDescent="0.25">
      <c r="A77" s="84"/>
      <c r="B77" s="2">
        <v>45440</v>
      </c>
      <c r="C77" s="3">
        <v>1113145505</v>
      </c>
      <c r="D77" s="3">
        <v>1</v>
      </c>
      <c r="E77" s="19" t="s">
        <v>516</v>
      </c>
      <c r="F77" s="19" t="s">
        <v>526</v>
      </c>
      <c r="G77" s="10" t="s">
        <v>13</v>
      </c>
      <c r="H77" s="11">
        <v>500</v>
      </c>
    </row>
    <row r="78" spans="1:8" ht="15.75" x14ac:dyDescent="0.25">
      <c r="A78" s="84"/>
      <c r="B78" s="2">
        <v>45442</v>
      </c>
      <c r="C78" s="3">
        <v>279531200</v>
      </c>
      <c r="D78" s="3">
        <v>2</v>
      </c>
      <c r="E78" s="19" t="s">
        <v>610</v>
      </c>
      <c r="F78" s="19" t="s">
        <v>30</v>
      </c>
      <c r="G78" s="10" t="s">
        <v>19</v>
      </c>
      <c r="H78" s="11">
        <v>2000</v>
      </c>
    </row>
    <row r="79" spans="1:8" ht="15.75" x14ac:dyDescent="0.25">
      <c r="A79" s="84"/>
      <c r="B79" s="2">
        <v>45442</v>
      </c>
      <c r="C79" s="3">
        <v>279531200</v>
      </c>
      <c r="D79" s="3">
        <v>2</v>
      </c>
      <c r="E79" s="19" t="s">
        <v>611</v>
      </c>
      <c r="F79" s="19" t="s">
        <v>30</v>
      </c>
      <c r="G79" s="10" t="s">
        <v>19</v>
      </c>
      <c r="H79" s="11">
        <v>2000</v>
      </c>
    </row>
    <row r="80" spans="1:8" ht="15.75" x14ac:dyDescent="0.25">
      <c r="A80" s="84"/>
      <c r="B80" s="2">
        <v>45457</v>
      </c>
      <c r="C80" s="3">
        <v>1402880378</v>
      </c>
      <c r="D80" s="3">
        <v>3</v>
      </c>
      <c r="E80" s="19" t="s">
        <v>679</v>
      </c>
      <c r="F80" s="19" t="s">
        <v>30</v>
      </c>
      <c r="G80" s="10" t="s">
        <v>19</v>
      </c>
      <c r="H80" s="11">
        <v>3300</v>
      </c>
    </row>
    <row r="81" spans="1:8" ht="15.75" x14ac:dyDescent="0.25">
      <c r="A81" s="84"/>
      <c r="B81" s="2">
        <v>45461</v>
      </c>
      <c r="C81" s="3">
        <v>2715042968</v>
      </c>
      <c r="D81" s="3">
        <v>2</v>
      </c>
      <c r="E81" s="19" t="s">
        <v>106</v>
      </c>
      <c r="F81" s="19" t="s">
        <v>30</v>
      </c>
      <c r="G81" s="10" t="s">
        <v>19</v>
      </c>
      <c r="H81" s="11">
        <v>2532</v>
      </c>
    </row>
    <row r="82" spans="1:8" ht="15.75" x14ac:dyDescent="0.25">
      <c r="A82" s="84"/>
      <c r="B82" s="2">
        <v>45461</v>
      </c>
      <c r="C82" s="3">
        <v>2715042968</v>
      </c>
      <c r="D82" s="3">
        <v>1</v>
      </c>
      <c r="E82" s="19" t="s">
        <v>106</v>
      </c>
      <c r="F82" s="19" t="s">
        <v>30</v>
      </c>
      <c r="G82" s="10" t="s">
        <v>19</v>
      </c>
      <c r="H82" s="11">
        <v>1268</v>
      </c>
    </row>
    <row r="83" spans="1:8" ht="15.75" x14ac:dyDescent="0.25">
      <c r="A83" s="84"/>
      <c r="B83" s="2">
        <v>45463</v>
      </c>
      <c r="C83" s="3">
        <v>2081443783</v>
      </c>
      <c r="D83" s="3">
        <v>3</v>
      </c>
      <c r="E83" s="19" t="s">
        <v>179</v>
      </c>
      <c r="F83" s="19" t="s">
        <v>520</v>
      </c>
      <c r="G83" s="10" t="s">
        <v>7</v>
      </c>
      <c r="H83" s="11">
        <v>2700</v>
      </c>
    </row>
    <row r="84" spans="1:8" ht="15.75" x14ac:dyDescent="0.25">
      <c r="A84" s="84"/>
      <c r="B84" s="2">
        <v>45469</v>
      </c>
      <c r="C84" s="3">
        <v>4117579074</v>
      </c>
      <c r="D84" s="3">
        <v>3</v>
      </c>
      <c r="E84" s="19" t="s">
        <v>264</v>
      </c>
      <c r="F84" s="19" t="s">
        <v>30</v>
      </c>
      <c r="G84" s="10" t="s">
        <v>7</v>
      </c>
      <c r="H84" s="11">
        <v>3300</v>
      </c>
    </row>
    <row r="85" spans="1:8" ht="15.75" x14ac:dyDescent="0.25">
      <c r="A85" s="84"/>
      <c r="B85" s="2">
        <v>45471</v>
      </c>
      <c r="C85" s="3">
        <v>407980873</v>
      </c>
      <c r="D85" s="3">
        <v>3</v>
      </c>
      <c r="E85" s="19" t="s">
        <v>717</v>
      </c>
      <c r="F85" s="19" t="s">
        <v>30</v>
      </c>
      <c r="G85" s="10" t="s">
        <v>7</v>
      </c>
      <c r="H85" s="11">
        <v>3300</v>
      </c>
    </row>
    <row r="86" spans="1:8" ht="15.75" x14ac:dyDescent="0.25">
      <c r="A86" s="84"/>
      <c r="B86" s="2">
        <v>45475</v>
      </c>
      <c r="C86" s="3">
        <v>1667582458</v>
      </c>
      <c r="D86" s="3">
        <v>3</v>
      </c>
      <c r="E86" s="4" t="s">
        <v>752</v>
      </c>
      <c r="F86" s="19" t="s">
        <v>30</v>
      </c>
      <c r="G86" s="5" t="s">
        <v>7</v>
      </c>
      <c r="H86" s="6">
        <v>3300</v>
      </c>
    </row>
    <row r="87" spans="1:8" ht="15.75" x14ac:dyDescent="0.25">
      <c r="A87" s="84"/>
      <c r="B87" s="2">
        <v>45478</v>
      </c>
      <c r="C87" s="3">
        <v>3501607605</v>
      </c>
      <c r="D87" s="3">
        <v>3</v>
      </c>
      <c r="E87" s="4" t="s">
        <v>715</v>
      </c>
      <c r="F87" s="19" t="s">
        <v>30</v>
      </c>
      <c r="G87" s="5" t="s">
        <v>7</v>
      </c>
      <c r="H87" s="6">
        <v>3300</v>
      </c>
    </row>
    <row r="88" spans="1:8" ht="15.75" x14ac:dyDescent="0.25">
      <c r="A88" s="84"/>
      <c r="B88" s="2">
        <v>45482</v>
      </c>
      <c r="C88" s="3">
        <v>3722004618</v>
      </c>
      <c r="D88" s="3">
        <v>1</v>
      </c>
      <c r="E88" s="4" t="s">
        <v>254</v>
      </c>
      <c r="F88" s="19" t="s">
        <v>30</v>
      </c>
      <c r="G88" s="5" t="s">
        <v>10</v>
      </c>
      <c r="H88" s="6">
        <v>800</v>
      </c>
    </row>
    <row r="89" spans="1:8" ht="15.75" x14ac:dyDescent="0.25">
      <c r="A89" s="84"/>
      <c r="B89" s="2">
        <v>45491</v>
      </c>
      <c r="C89" s="3">
        <v>738151298</v>
      </c>
      <c r="D89" s="3">
        <v>2</v>
      </c>
      <c r="E89" s="4" t="s">
        <v>676</v>
      </c>
      <c r="F89" s="19" t="s">
        <v>520</v>
      </c>
      <c r="G89" s="5" t="s">
        <v>7</v>
      </c>
      <c r="H89" s="6">
        <v>1866</v>
      </c>
    </row>
    <row r="90" spans="1:8" ht="15.75" x14ac:dyDescent="0.25">
      <c r="A90" s="84"/>
      <c r="B90" s="2">
        <v>45491</v>
      </c>
      <c r="C90" s="3">
        <v>738151298</v>
      </c>
      <c r="D90" s="3">
        <v>1</v>
      </c>
      <c r="E90" s="4" t="s">
        <v>676</v>
      </c>
      <c r="F90" s="19" t="s">
        <v>520</v>
      </c>
      <c r="G90" s="5" t="s">
        <v>7</v>
      </c>
      <c r="H90" s="6">
        <v>934</v>
      </c>
    </row>
    <row r="91" spans="1:8" ht="15.75" x14ac:dyDescent="0.25">
      <c r="A91" s="84"/>
      <c r="B91" s="2">
        <v>45503</v>
      </c>
      <c r="C91" s="3">
        <v>536495190</v>
      </c>
      <c r="D91" s="3">
        <v>1</v>
      </c>
      <c r="E91" s="4" t="s">
        <v>725</v>
      </c>
      <c r="F91" s="19" t="s">
        <v>30</v>
      </c>
      <c r="G91" s="5" t="s">
        <v>7</v>
      </c>
      <c r="H91" s="6">
        <v>1300</v>
      </c>
    </row>
    <row r="92" spans="1:8" ht="15.75" x14ac:dyDescent="0.25">
      <c r="A92" s="84"/>
      <c r="B92" s="2">
        <v>45509</v>
      </c>
      <c r="C92" s="3">
        <v>3464447660</v>
      </c>
      <c r="D92" s="3">
        <v>3</v>
      </c>
      <c r="E92" s="4" t="s">
        <v>937</v>
      </c>
      <c r="F92" s="19" t="s">
        <v>938</v>
      </c>
      <c r="G92" s="5" t="s">
        <v>19</v>
      </c>
      <c r="H92" s="6">
        <v>3000</v>
      </c>
    </row>
    <row r="93" spans="1:8" ht="15.75" x14ac:dyDescent="0.25">
      <c r="A93" s="84"/>
      <c r="B93" s="2">
        <v>45513</v>
      </c>
      <c r="C93" s="3">
        <v>3083750364</v>
      </c>
      <c r="D93" s="3">
        <v>1</v>
      </c>
      <c r="E93" s="4" t="s">
        <v>254</v>
      </c>
      <c r="F93" s="19" t="s">
        <v>30</v>
      </c>
      <c r="G93" s="5" t="s">
        <v>13</v>
      </c>
      <c r="H93" s="6">
        <v>800</v>
      </c>
    </row>
    <row r="94" spans="1:8" ht="15.75" x14ac:dyDescent="0.25">
      <c r="A94" s="84"/>
      <c r="B94" s="2">
        <v>45516</v>
      </c>
      <c r="C94" s="3">
        <v>1174884168</v>
      </c>
      <c r="D94" s="3">
        <v>2</v>
      </c>
      <c r="E94" s="4" t="s">
        <v>939</v>
      </c>
      <c r="F94" s="19" t="s">
        <v>520</v>
      </c>
      <c r="G94" s="5" t="s">
        <v>6</v>
      </c>
      <c r="H94" s="6">
        <v>1866</v>
      </c>
    </row>
    <row r="95" spans="1:8" ht="15.75" x14ac:dyDescent="0.25">
      <c r="A95" s="84"/>
      <c r="B95" s="2">
        <v>45516</v>
      </c>
      <c r="C95" s="3">
        <v>1174884168</v>
      </c>
      <c r="D95" s="3">
        <v>1</v>
      </c>
      <c r="E95" s="4" t="s">
        <v>939</v>
      </c>
      <c r="F95" s="19" t="s">
        <v>520</v>
      </c>
      <c r="G95" s="5" t="s">
        <v>6</v>
      </c>
      <c r="H95" s="6">
        <v>934</v>
      </c>
    </row>
    <row r="96" spans="1:8" ht="15.75" x14ac:dyDescent="0.25">
      <c r="A96" s="84"/>
      <c r="B96" s="2">
        <v>45516</v>
      </c>
      <c r="C96" s="3">
        <v>1174884168</v>
      </c>
      <c r="D96" s="3">
        <v>3</v>
      </c>
      <c r="E96" s="4" t="s">
        <v>939</v>
      </c>
      <c r="F96" s="19" t="s">
        <v>30</v>
      </c>
      <c r="G96" s="5" t="s">
        <v>6</v>
      </c>
      <c r="H96" s="6">
        <v>3600</v>
      </c>
    </row>
    <row r="97" spans="1:8" ht="15.75" x14ac:dyDescent="0.25">
      <c r="A97" s="84"/>
      <c r="B97" s="2">
        <v>45527</v>
      </c>
      <c r="C97" s="3">
        <v>2728544361</v>
      </c>
      <c r="D97" s="3">
        <v>3</v>
      </c>
      <c r="E97" s="4" t="s">
        <v>690</v>
      </c>
      <c r="F97" s="19" t="s">
        <v>30</v>
      </c>
      <c r="G97" s="5" t="s">
        <v>7</v>
      </c>
      <c r="H97" s="6">
        <v>3300</v>
      </c>
    </row>
    <row r="98" spans="1:8" ht="15.75" x14ac:dyDescent="0.25">
      <c r="A98" s="84"/>
      <c r="B98" s="2">
        <v>45530</v>
      </c>
      <c r="C98" s="3">
        <v>2095926212</v>
      </c>
      <c r="D98" s="3">
        <v>2</v>
      </c>
      <c r="E98" s="4" t="s">
        <v>940</v>
      </c>
      <c r="F98" s="19" t="s">
        <v>30</v>
      </c>
      <c r="G98" s="5" t="s">
        <v>10</v>
      </c>
      <c r="H98" s="6">
        <v>2466</v>
      </c>
    </row>
    <row r="99" spans="1:8" ht="15.75" x14ac:dyDescent="0.25">
      <c r="A99" s="84"/>
      <c r="B99" s="2">
        <v>45530</v>
      </c>
      <c r="C99" s="3">
        <v>2095926212</v>
      </c>
      <c r="D99" s="3">
        <v>1</v>
      </c>
      <c r="E99" s="4" t="s">
        <v>940</v>
      </c>
      <c r="F99" s="19" t="s">
        <v>30</v>
      </c>
      <c r="G99" s="5" t="s">
        <v>10</v>
      </c>
      <c r="H99" s="6">
        <v>1234</v>
      </c>
    </row>
    <row r="100" spans="1:8" ht="15.75" x14ac:dyDescent="0.25">
      <c r="A100" s="84"/>
      <c r="B100" s="2">
        <v>45530</v>
      </c>
      <c r="C100" s="3">
        <v>1709918600</v>
      </c>
      <c r="D100" s="3">
        <v>2</v>
      </c>
      <c r="E100" s="4" t="s">
        <v>892</v>
      </c>
      <c r="F100" s="19" t="s">
        <v>30</v>
      </c>
      <c r="G100" s="5" t="s">
        <v>10</v>
      </c>
      <c r="H100" s="6">
        <v>2466</v>
      </c>
    </row>
    <row r="101" spans="1:8" ht="15.75" x14ac:dyDescent="0.25">
      <c r="A101" s="84"/>
      <c r="B101" s="2">
        <v>45530</v>
      </c>
      <c r="C101" s="3">
        <v>1709918600</v>
      </c>
      <c r="D101" s="3">
        <v>1</v>
      </c>
      <c r="E101" s="4" t="s">
        <v>892</v>
      </c>
      <c r="F101" s="19" t="s">
        <v>30</v>
      </c>
      <c r="G101" s="5" t="s">
        <v>10</v>
      </c>
      <c r="H101" s="6">
        <v>1234</v>
      </c>
    </row>
    <row r="102" spans="1:8" ht="15.75" x14ac:dyDescent="0.25">
      <c r="A102" s="84"/>
      <c r="B102" s="2">
        <v>45531</v>
      </c>
      <c r="C102" s="3">
        <v>2903393041</v>
      </c>
      <c r="D102" s="3">
        <v>2</v>
      </c>
      <c r="E102" s="4" t="s">
        <v>106</v>
      </c>
      <c r="F102" s="19" t="s">
        <v>30</v>
      </c>
      <c r="G102" s="5" t="s">
        <v>19</v>
      </c>
      <c r="H102" s="6">
        <v>2466</v>
      </c>
    </row>
    <row r="103" spans="1:8" ht="15.75" x14ac:dyDescent="0.25">
      <c r="A103" s="84"/>
      <c r="B103" s="2">
        <v>45531</v>
      </c>
      <c r="C103" s="3">
        <v>2903393041</v>
      </c>
      <c r="D103" s="3">
        <v>1</v>
      </c>
      <c r="E103" s="4" t="s">
        <v>106</v>
      </c>
      <c r="F103" s="19" t="s">
        <v>30</v>
      </c>
      <c r="G103" s="5" t="s">
        <v>19</v>
      </c>
      <c r="H103" s="6">
        <v>1234</v>
      </c>
    </row>
    <row r="104" spans="1:8" ht="15.75" x14ac:dyDescent="0.25">
      <c r="A104" s="84"/>
      <c r="B104" s="2">
        <v>45532</v>
      </c>
      <c r="C104" s="3">
        <v>2019839543</v>
      </c>
      <c r="D104" s="3">
        <v>2</v>
      </c>
      <c r="E104" s="4" t="s">
        <v>932</v>
      </c>
      <c r="F104" s="19" t="s">
        <v>30</v>
      </c>
      <c r="G104" s="5" t="s">
        <v>13</v>
      </c>
      <c r="H104" s="6">
        <v>2466</v>
      </c>
    </row>
    <row r="105" spans="1:8" ht="15.75" x14ac:dyDescent="0.25">
      <c r="A105" s="84"/>
      <c r="B105" s="2">
        <v>45532</v>
      </c>
      <c r="C105" s="3">
        <v>2019839543</v>
      </c>
      <c r="D105" s="3">
        <v>1</v>
      </c>
      <c r="E105" s="4" t="s">
        <v>932</v>
      </c>
      <c r="F105" s="19" t="s">
        <v>30</v>
      </c>
      <c r="G105" s="5" t="s">
        <v>13</v>
      </c>
      <c r="H105" s="6">
        <v>1234</v>
      </c>
    </row>
    <row r="106" spans="1:8" ht="15.75" x14ac:dyDescent="0.25">
      <c r="A106" s="84"/>
      <c r="B106" s="2">
        <v>45534</v>
      </c>
      <c r="C106" s="3">
        <v>422594588</v>
      </c>
      <c r="D106" s="3">
        <v>1</v>
      </c>
      <c r="E106" s="4" t="s">
        <v>941</v>
      </c>
      <c r="F106" s="19" t="s">
        <v>30</v>
      </c>
      <c r="G106" s="5" t="s">
        <v>7</v>
      </c>
      <c r="H106" s="6">
        <v>2000</v>
      </c>
    </row>
    <row r="107" spans="1:8" ht="15.75" x14ac:dyDescent="0.25">
      <c r="A107" s="84"/>
      <c r="B107" s="2">
        <v>45540</v>
      </c>
      <c r="C107" s="3">
        <v>371412223</v>
      </c>
      <c r="D107" s="3">
        <v>1</v>
      </c>
      <c r="E107" s="4" t="s">
        <v>516</v>
      </c>
      <c r="F107" s="19" t="s">
        <v>255</v>
      </c>
      <c r="G107" s="5" t="s">
        <v>13</v>
      </c>
      <c r="H107" s="6">
        <v>800</v>
      </c>
    </row>
    <row r="108" spans="1:8" ht="15.75" x14ac:dyDescent="0.25">
      <c r="A108" s="84"/>
      <c r="B108" s="2">
        <v>45548</v>
      </c>
      <c r="C108" s="3">
        <v>4093593282</v>
      </c>
      <c r="D108" s="3">
        <v>3</v>
      </c>
      <c r="E108" s="4" t="s">
        <v>999</v>
      </c>
      <c r="F108" s="19" t="s">
        <v>30</v>
      </c>
      <c r="G108" s="5" t="s">
        <v>10</v>
      </c>
      <c r="H108" s="6">
        <v>3600</v>
      </c>
    </row>
    <row r="109" spans="1:8" ht="15.75" x14ac:dyDescent="0.25">
      <c r="A109" s="84"/>
      <c r="B109" s="2">
        <v>45551</v>
      </c>
      <c r="C109" s="3">
        <v>4110765754</v>
      </c>
      <c r="D109" s="3">
        <v>3</v>
      </c>
      <c r="E109" s="4" t="s">
        <v>994</v>
      </c>
      <c r="F109" s="19" t="s">
        <v>1000</v>
      </c>
      <c r="G109" s="5" t="s">
        <v>13</v>
      </c>
      <c r="H109" s="6">
        <v>3600</v>
      </c>
    </row>
    <row r="110" spans="1:8" ht="15.75" x14ac:dyDescent="0.25">
      <c r="A110" s="84"/>
      <c r="B110" s="2">
        <v>45552</v>
      </c>
      <c r="C110" s="3">
        <v>215171303</v>
      </c>
      <c r="D110" s="3">
        <v>1</v>
      </c>
      <c r="E110" s="4" t="s">
        <v>258</v>
      </c>
      <c r="F110" s="19" t="s">
        <v>30</v>
      </c>
      <c r="G110" s="5" t="s">
        <v>7</v>
      </c>
      <c r="H110" s="6">
        <v>1200</v>
      </c>
    </row>
    <row r="111" spans="1:8" ht="15.75" x14ac:dyDescent="0.25">
      <c r="A111" s="84"/>
      <c r="B111" s="2">
        <v>45554</v>
      </c>
      <c r="C111" s="3">
        <v>2768388204</v>
      </c>
      <c r="D111" s="3">
        <v>3</v>
      </c>
      <c r="E111" s="4" t="s">
        <v>457</v>
      </c>
      <c r="F111" s="19" t="s">
        <v>30</v>
      </c>
      <c r="G111" s="5" t="s">
        <v>7</v>
      </c>
      <c r="H111" s="6">
        <v>3600</v>
      </c>
    </row>
    <row r="112" spans="1:8" ht="15.75" x14ac:dyDescent="0.25">
      <c r="A112" s="84"/>
      <c r="B112" s="2">
        <v>45554</v>
      </c>
      <c r="C112" s="3">
        <v>2768388204</v>
      </c>
      <c r="D112" s="3">
        <v>3</v>
      </c>
      <c r="E112" s="4" t="s">
        <v>457</v>
      </c>
      <c r="F112" s="19" t="s">
        <v>1001</v>
      </c>
      <c r="G112" s="5" t="s">
        <v>7</v>
      </c>
      <c r="H112" s="6">
        <v>3600</v>
      </c>
    </row>
    <row r="113" spans="1:8" ht="15.75" x14ac:dyDescent="0.25">
      <c r="A113" s="84"/>
      <c r="B113" s="2">
        <v>45561</v>
      </c>
      <c r="C113" s="3">
        <v>3446163279</v>
      </c>
      <c r="D113" s="3">
        <v>2</v>
      </c>
      <c r="E113" s="4" t="s">
        <v>1002</v>
      </c>
      <c r="F113" s="19" t="s">
        <v>30</v>
      </c>
      <c r="G113" s="5" t="s">
        <v>7</v>
      </c>
      <c r="H113" s="6">
        <v>2466</v>
      </c>
    </row>
    <row r="114" spans="1:8" ht="15.75" x14ac:dyDescent="0.25">
      <c r="A114" s="84"/>
      <c r="B114" s="2">
        <v>45561</v>
      </c>
      <c r="C114" s="3">
        <v>3446163279</v>
      </c>
      <c r="D114" s="3">
        <v>1</v>
      </c>
      <c r="E114" s="4" t="s">
        <v>1002</v>
      </c>
      <c r="F114" s="19" t="s">
        <v>30</v>
      </c>
      <c r="G114" s="5" t="s">
        <v>7</v>
      </c>
      <c r="H114" s="6">
        <v>1234</v>
      </c>
    </row>
    <row r="115" spans="1:8" ht="15.75" x14ac:dyDescent="0.25">
      <c r="A115" s="84"/>
      <c r="B115" s="2">
        <v>45568</v>
      </c>
      <c r="C115" s="3">
        <v>3236253181</v>
      </c>
      <c r="D115" s="3">
        <v>3</v>
      </c>
      <c r="E115" s="4" t="s">
        <v>1037</v>
      </c>
      <c r="F115" s="19" t="s">
        <v>30</v>
      </c>
      <c r="G115" s="5" t="s">
        <v>7</v>
      </c>
      <c r="H115" s="6">
        <v>3360</v>
      </c>
    </row>
    <row r="116" spans="1:8" ht="15.75" x14ac:dyDescent="0.25">
      <c r="A116" s="84"/>
      <c r="B116" s="2">
        <v>45574</v>
      </c>
      <c r="C116" s="3">
        <v>2733592049</v>
      </c>
      <c r="D116" s="3">
        <v>3</v>
      </c>
      <c r="E116" s="4" t="s">
        <v>94</v>
      </c>
      <c r="F116" s="19" t="s">
        <v>30</v>
      </c>
      <c r="G116" s="5" t="s">
        <v>19</v>
      </c>
      <c r="H116" s="6">
        <v>3600</v>
      </c>
    </row>
    <row r="117" spans="1:8" ht="15.75" x14ac:dyDescent="0.25">
      <c r="A117" s="84"/>
      <c r="B117" s="2">
        <v>45575</v>
      </c>
      <c r="C117" s="3">
        <v>4279648327</v>
      </c>
      <c r="D117" s="3">
        <v>1</v>
      </c>
      <c r="E117" s="4" t="s">
        <v>516</v>
      </c>
      <c r="F117" s="19" t="s">
        <v>30</v>
      </c>
      <c r="G117" s="5" t="s">
        <v>13</v>
      </c>
      <c r="H117" s="6">
        <v>800</v>
      </c>
    </row>
    <row r="118" spans="1:8" ht="15.75" x14ac:dyDescent="0.25">
      <c r="A118" s="84"/>
      <c r="B118" s="2">
        <v>45587</v>
      </c>
      <c r="C118" s="3">
        <v>2501066944</v>
      </c>
      <c r="D118" s="3">
        <v>1</v>
      </c>
      <c r="E118" s="4" t="s">
        <v>258</v>
      </c>
      <c r="F118" s="19" t="s">
        <v>30</v>
      </c>
      <c r="G118" s="5" t="s">
        <v>6</v>
      </c>
      <c r="H118" s="6">
        <v>1200</v>
      </c>
    </row>
    <row r="119" spans="1:8" ht="15.75" x14ac:dyDescent="0.25">
      <c r="A119" s="84"/>
      <c r="B119" s="2">
        <v>45596</v>
      </c>
      <c r="C119" s="3">
        <v>1562332847</v>
      </c>
      <c r="D119" s="3">
        <v>1</v>
      </c>
      <c r="E119" s="4" t="s">
        <v>86</v>
      </c>
      <c r="F119" s="19" t="s">
        <v>30</v>
      </c>
      <c r="G119" s="5" t="s">
        <v>10</v>
      </c>
      <c r="H119" s="6">
        <v>1300</v>
      </c>
    </row>
    <row r="120" spans="1:8" ht="15.75" x14ac:dyDescent="0.25">
      <c r="A120" s="84"/>
      <c r="B120" s="2">
        <v>45596</v>
      </c>
      <c r="C120" s="3">
        <v>1544635564</v>
      </c>
      <c r="D120" s="3">
        <v>1</v>
      </c>
      <c r="E120" s="4" t="s">
        <v>1080</v>
      </c>
      <c r="F120" s="19" t="s">
        <v>30</v>
      </c>
      <c r="G120" s="5" t="s">
        <v>19</v>
      </c>
      <c r="H120" s="6">
        <v>1300</v>
      </c>
    </row>
    <row r="121" spans="1:8" ht="15.75" x14ac:dyDescent="0.25">
      <c r="A121" s="84"/>
      <c r="B121" s="2">
        <v>45596</v>
      </c>
      <c r="C121" s="3">
        <v>1485523997</v>
      </c>
      <c r="D121" s="3">
        <v>1</v>
      </c>
      <c r="E121" s="4" t="s">
        <v>1114</v>
      </c>
      <c r="F121" s="19" t="s">
        <v>30</v>
      </c>
      <c r="G121" s="5" t="s">
        <v>19</v>
      </c>
      <c r="H121" s="6">
        <v>1300</v>
      </c>
    </row>
    <row r="122" spans="1:8" ht="15.75" x14ac:dyDescent="0.25">
      <c r="A122" s="84"/>
      <c r="B122" s="2">
        <v>45602</v>
      </c>
      <c r="C122" s="3">
        <v>1281117309</v>
      </c>
      <c r="D122" s="3">
        <v>1</v>
      </c>
      <c r="E122" s="4" t="s">
        <v>1170</v>
      </c>
      <c r="F122" s="19" t="s">
        <v>30</v>
      </c>
      <c r="G122" s="5" t="s">
        <v>7</v>
      </c>
      <c r="H122" s="6">
        <v>1300</v>
      </c>
    </row>
    <row r="123" spans="1:8" ht="15.75" x14ac:dyDescent="0.25">
      <c r="A123" s="84"/>
      <c r="B123" s="2">
        <v>45603</v>
      </c>
      <c r="C123" s="3">
        <v>1717191069</v>
      </c>
      <c r="D123" s="3">
        <v>1</v>
      </c>
      <c r="E123" s="4" t="s">
        <v>1171</v>
      </c>
      <c r="F123" s="19" t="s">
        <v>30</v>
      </c>
      <c r="G123" s="5" t="s">
        <v>11</v>
      </c>
      <c r="H123" s="6">
        <v>1600</v>
      </c>
    </row>
    <row r="124" spans="1:8" ht="15.75" x14ac:dyDescent="0.25">
      <c r="A124" s="84"/>
      <c r="B124" s="2">
        <v>45610</v>
      </c>
      <c r="C124" s="3">
        <v>2837794432</v>
      </c>
      <c r="D124" s="3">
        <v>1</v>
      </c>
      <c r="E124" s="4" t="s">
        <v>350</v>
      </c>
      <c r="F124" s="19" t="s">
        <v>30</v>
      </c>
      <c r="G124" s="5" t="s">
        <v>10</v>
      </c>
      <c r="H124" s="6">
        <v>1300</v>
      </c>
    </row>
    <row r="125" spans="1:8" ht="15.75" x14ac:dyDescent="0.25">
      <c r="A125" s="84"/>
      <c r="B125" s="2">
        <v>45616</v>
      </c>
      <c r="C125" s="3">
        <v>3233040084</v>
      </c>
      <c r="D125" s="3">
        <v>3</v>
      </c>
      <c r="E125" s="4" t="s">
        <v>644</v>
      </c>
      <c r="F125" s="19" t="s">
        <v>30</v>
      </c>
      <c r="G125" s="5" t="s">
        <v>7</v>
      </c>
      <c r="H125" s="6">
        <v>3600</v>
      </c>
    </row>
    <row r="126" spans="1:8" ht="15.75" x14ac:dyDescent="0.25">
      <c r="A126" s="84"/>
      <c r="B126" s="2">
        <v>45617</v>
      </c>
      <c r="C126" s="3">
        <v>3304278976</v>
      </c>
      <c r="D126" s="3">
        <v>1</v>
      </c>
      <c r="E126" s="4" t="s">
        <v>1069</v>
      </c>
      <c r="F126" s="19" t="s">
        <v>30</v>
      </c>
      <c r="G126" s="5" t="s">
        <v>6</v>
      </c>
      <c r="H126" s="6">
        <v>1300</v>
      </c>
    </row>
    <row r="127" spans="1:8" ht="15.75" x14ac:dyDescent="0.25">
      <c r="A127" s="84"/>
      <c r="B127" s="2">
        <v>45617</v>
      </c>
      <c r="C127" s="3">
        <v>2368621450</v>
      </c>
      <c r="D127" s="3">
        <v>2</v>
      </c>
      <c r="E127" s="4" t="s">
        <v>1152</v>
      </c>
      <c r="F127" s="19" t="s">
        <v>30</v>
      </c>
      <c r="G127" s="5" t="s">
        <v>7</v>
      </c>
      <c r="H127" s="6">
        <v>2400</v>
      </c>
    </row>
    <row r="128" spans="1:8" ht="15.75" x14ac:dyDescent="0.25">
      <c r="A128" s="84"/>
      <c r="B128" s="2">
        <v>45621</v>
      </c>
      <c r="C128" s="3">
        <v>1940275425</v>
      </c>
      <c r="D128" s="3">
        <v>1</v>
      </c>
      <c r="E128" s="4" t="s">
        <v>545</v>
      </c>
      <c r="F128" s="19" t="s">
        <v>30</v>
      </c>
      <c r="G128" s="5" t="s">
        <v>19</v>
      </c>
      <c r="H128" s="6">
        <v>1400</v>
      </c>
    </row>
    <row r="129" spans="1:8" ht="15.75" x14ac:dyDescent="0.25">
      <c r="A129" s="84"/>
      <c r="B129" s="2">
        <v>45621</v>
      </c>
      <c r="C129" s="3">
        <v>4127146713</v>
      </c>
      <c r="D129" s="3">
        <v>1</v>
      </c>
      <c r="E129" s="4" t="s">
        <v>1172</v>
      </c>
      <c r="F129" s="19" t="s">
        <v>30</v>
      </c>
      <c r="G129" s="5" t="s">
        <v>19</v>
      </c>
      <c r="H129" s="6">
        <v>1400</v>
      </c>
    </row>
    <row r="130" spans="1:8" ht="15.75" x14ac:dyDescent="0.25">
      <c r="A130" s="84"/>
      <c r="B130" s="2">
        <v>45623</v>
      </c>
      <c r="C130" s="3">
        <v>2567653172</v>
      </c>
      <c r="D130" s="3">
        <v>3</v>
      </c>
      <c r="E130" s="4" t="s">
        <v>368</v>
      </c>
      <c r="F130" s="19" t="s">
        <v>30</v>
      </c>
      <c r="G130" s="5" t="s">
        <v>19</v>
      </c>
      <c r="H130" s="6">
        <v>3600</v>
      </c>
    </row>
    <row r="131" spans="1:8" ht="15.75" x14ac:dyDescent="0.25">
      <c r="A131" s="84"/>
      <c r="B131" s="2">
        <v>45628</v>
      </c>
      <c r="C131" s="3">
        <v>3758244782</v>
      </c>
      <c r="D131" s="3">
        <v>3</v>
      </c>
      <c r="E131" s="4" t="s">
        <v>527</v>
      </c>
      <c r="F131" s="19" t="s">
        <v>30</v>
      </c>
      <c r="G131" s="5" t="s">
        <v>19</v>
      </c>
      <c r="H131" s="6">
        <v>3600</v>
      </c>
    </row>
    <row r="132" spans="1:8" ht="15.75" x14ac:dyDescent="0.25">
      <c r="A132" s="84"/>
      <c r="B132" s="2">
        <v>45628</v>
      </c>
      <c r="C132" s="3">
        <v>1987004504</v>
      </c>
      <c r="D132" s="3">
        <v>1</v>
      </c>
      <c r="E132" s="4" t="s">
        <v>544</v>
      </c>
      <c r="F132" s="19" t="s">
        <v>30</v>
      </c>
      <c r="G132" s="5" t="s">
        <v>10</v>
      </c>
      <c r="H132" s="6">
        <v>1200</v>
      </c>
    </row>
    <row r="133" spans="1:8" ht="15.75" x14ac:dyDescent="0.25">
      <c r="A133" s="84"/>
      <c r="B133" s="2">
        <v>45630</v>
      </c>
      <c r="C133" s="3">
        <v>428034299</v>
      </c>
      <c r="D133" s="3">
        <v>3</v>
      </c>
      <c r="E133" s="4" t="s">
        <v>1264</v>
      </c>
      <c r="F133" s="19" t="s">
        <v>30</v>
      </c>
      <c r="G133" s="5" t="s">
        <v>19</v>
      </c>
      <c r="H133" s="6">
        <v>3600</v>
      </c>
    </row>
    <row r="134" spans="1:8" ht="15.75" x14ac:dyDescent="0.25">
      <c r="A134" s="84"/>
      <c r="B134" s="2">
        <v>45632</v>
      </c>
      <c r="C134" s="3">
        <v>3984083129</v>
      </c>
      <c r="D134" s="3">
        <v>3</v>
      </c>
      <c r="E134" s="4" t="s">
        <v>1261</v>
      </c>
      <c r="F134" s="19" t="s">
        <v>30</v>
      </c>
      <c r="G134" s="5" t="s">
        <v>6</v>
      </c>
      <c r="H134" s="6">
        <v>3600</v>
      </c>
    </row>
    <row r="135" spans="1:8" ht="15.75" x14ac:dyDescent="0.25">
      <c r="A135" s="84"/>
      <c r="B135" s="2">
        <v>45638</v>
      </c>
      <c r="C135" s="3">
        <v>1653688569</v>
      </c>
      <c r="D135" s="3">
        <v>3</v>
      </c>
      <c r="E135" s="4" t="s">
        <v>1265</v>
      </c>
      <c r="F135" s="19" t="s">
        <v>30</v>
      </c>
      <c r="G135" s="5" t="s">
        <v>19</v>
      </c>
      <c r="H135" s="6">
        <v>3600</v>
      </c>
    </row>
    <row r="136" spans="1:8" ht="15.75" x14ac:dyDescent="0.25">
      <c r="A136" s="84"/>
      <c r="B136" s="2">
        <v>45642</v>
      </c>
      <c r="C136" s="3">
        <v>62211375</v>
      </c>
      <c r="D136" s="3">
        <v>3</v>
      </c>
      <c r="E136" s="4" t="s">
        <v>1266</v>
      </c>
      <c r="F136" s="19" t="s">
        <v>30</v>
      </c>
      <c r="G136" s="5" t="s">
        <v>19</v>
      </c>
      <c r="H136" s="6">
        <v>3600</v>
      </c>
    </row>
    <row r="137" spans="1:8" ht="15.75" x14ac:dyDescent="0.25">
      <c r="A137" s="84"/>
      <c r="B137" s="2">
        <v>45642</v>
      </c>
      <c r="C137" s="3">
        <v>62211375</v>
      </c>
      <c r="D137" s="3">
        <v>2</v>
      </c>
      <c r="E137" s="4" t="s">
        <v>1266</v>
      </c>
      <c r="F137" s="19" t="s">
        <v>520</v>
      </c>
      <c r="G137" s="5" t="s">
        <v>19</v>
      </c>
      <c r="H137" s="6">
        <v>1466</v>
      </c>
    </row>
    <row r="138" spans="1:8" ht="15.75" x14ac:dyDescent="0.25">
      <c r="A138" s="84"/>
      <c r="B138" s="2">
        <v>45642</v>
      </c>
      <c r="C138" s="3">
        <v>62211375</v>
      </c>
      <c r="D138" s="3">
        <v>1</v>
      </c>
      <c r="E138" s="4" t="s">
        <v>1266</v>
      </c>
      <c r="F138" s="19" t="s">
        <v>520</v>
      </c>
      <c r="G138" s="5" t="s">
        <v>19</v>
      </c>
      <c r="H138" s="6">
        <v>734</v>
      </c>
    </row>
    <row r="139" spans="1:8" ht="15.75" x14ac:dyDescent="0.25">
      <c r="A139" s="84"/>
      <c r="B139" s="2">
        <v>45642</v>
      </c>
      <c r="C139" s="3">
        <v>1484671211</v>
      </c>
      <c r="D139" s="3">
        <v>6</v>
      </c>
      <c r="E139" s="4" t="s">
        <v>421</v>
      </c>
      <c r="F139" s="19" t="s">
        <v>30</v>
      </c>
      <c r="G139" s="5" t="s">
        <v>6</v>
      </c>
      <c r="H139" s="6">
        <v>7200</v>
      </c>
    </row>
    <row r="140" spans="1:8" ht="15.75" x14ac:dyDescent="0.25">
      <c r="A140" s="84"/>
      <c r="B140" s="2">
        <v>45642</v>
      </c>
      <c r="C140" s="3">
        <v>3632680300</v>
      </c>
      <c r="D140" s="3">
        <v>2</v>
      </c>
      <c r="E140" s="4" t="s">
        <v>1263</v>
      </c>
      <c r="F140" s="19" t="s">
        <v>1267</v>
      </c>
      <c r="G140" s="5" t="s">
        <v>26</v>
      </c>
      <c r="H140" s="6">
        <v>3148</v>
      </c>
    </row>
    <row r="141" spans="1:8" ht="30" x14ac:dyDescent="0.25">
      <c r="A141" s="84"/>
      <c r="B141" s="2">
        <v>45642</v>
      </c>
      <c r="C141" s="3">
        <v>3632680300</v>
      </c>
      <c r="D141" s="3">
        <v>1</v>
      </c>
      <c r="E141" s="4" t="s">
        <v>1263</v>
      </c>
      <c r="F141" s="19" t="s">
        <v>1268</v>
      </c>
      <c r="G141" s="5" t="s">
        <v>7</v>
      </c>
      <c r="H141" s="6">
        <v>452</v>
      </c>
    </row>
    <row r="142" spans="1:8" ht="15.75" x14ac:dyDescent="0.25">
      <c r="A142" s="84"/>
      <c r="B142" s="2">
        <v>45642</v>
      </c>
      <c r="C142" s="3">
        <v>3481029867</v>
      </c>
      <c r="D142" s="3">
        <v>3</v>
      </c>
      <c r="E142" s="4" t="s">
        <v>515</v>
      </c>
      <c r="F142" s="19" t="s">
        <v>30</v>
      </c>
      <c r="G142" s="5" t="s">
        <v>7</v>
      </c>
      <c r="H142" s="6">
        <v>3600</v>
      </c>
    </row>
    <row r="143" spans="1:8" ht="15.75" x14ac:dyDescent="0.25">
      <c r="A143" s="84"/>
      <c r="B143" s="2">
        <v>45642</v>
      </c>
      <c r="C143" s="3">
        <v>4206511124</v>
      </c>
      <c r="D143" s="3">
        <v>3</v>
      </c>
      <c r="E143" s="4" t="s">
        <v>343</v>
      </c>
      <c r="F143" s="19" t="s">
        <v>30</v>
      </c>
      <c r="G143" s="5" t="s">
        <v>7</v>
      </c>
      <c r="H143" s="6">
        <v>3600</v>
      </c>
    </row>
    <row r="144" spans="1:8" ht="15.75" x14ac:dyDescent="0.25">
      <c r="A144" s="84"/>
      <c r="B144" s="2">
        <v>45644</v>
      </c>
      <c r="C144" s="3">
        <v>2315010191</v>
      </c>
      <c r="D144" s="3">
        <v>3</v>
      </c>
      <c r="E144" s="4" t="s">
        <v>1269</v>
      </c>
      <c r="F144" s="19" t="s">
        <v>30</v>
      </c>
      <c r="G144" s="5" t="s">
        <v>19</v>
      </c>
      <c r="H144" s="6">
        <v>3600</v>
      </c>
    </row>
    <row r="145" spans="1:8" ht="16.5" customHeight="1" x14ac:dyDescent="0.25">
      <c r="A145" s="84"/>
      <c r="B145" s="2">
        <v>45645</v>
      </c>
      <c r="C145" s="3">
        <v>3192081100</v>
      </c>
      <c r="D145" s="3">
        <v>3</v>
      </c>
      <c r="E145" s="4" t="s">
        <v>1270</v>
      </c>
      <c r="F145" s="19" t="s">
        <v>30</v>
      </c>
      <c r="G145" s="5" t="s">
        <v>19</v>
      </c>
      <c r="H145" s="6">
        <v>3600</v>
      </c>
    </row>
    <row r="146" spans="1:8" ht="16.5" customHeight="1" x14ac:dyDescent="0.25">
      <c r="A146" s="84"/>
      <c r="B146" s="2">
        <v>45645</v>
      </c>
      <c r="C146" s="3">
        <v>49693094</v>
      </c>
      <c r="D146" s="3">
        <v>3</v>
      </c>
      <c r="E146" s="4" t="s">
        <v>1271</v>
      </c>
      <c r="F146" s="19" t="s">
        <v>30</v>
      </c>
      <c r="G146" s="5" t="s">
        <v>19</v>
      </c>
      <c r="H146" s="6">
        <v>3600</v>
      </c>
    </row>
    <row r="147" spans="1:8" ht="15.75" x14ac:dyDescent="0.25">
      <c r="A147" s="85"/>
      <c r="B147" s="13"/>
      <c r="C147" s="14"/>
      <c r="D147" s="14"/>
      <c r="E147" s="14" t="s">
        <v>5</v>
      </c>
      <c r="F147" s="15"/>
      <c r="G147" s="16"/>
      <c r="H147" s="23">
        <f>SUM(H3:H146)</f>
        <v>304240</v>
      </c>
    </row>
  </sheetData>
  <autoFilter ref="A1:H147" xr:uid="{00000000-0009-0000-0000-000011000000}"/>
  <mergeCells count="8">
    <mergeCell ref="A1:A147"/>
    <mergeCell ref="G1:G2"/>
    <mergeCell ref="H1:H2"/>
    <mergeCell ref="B1:B2"/>
    <mergeCell ref="C1:C2"/>
    <mergeCell ref="D1:D2"/>
    <mergeCell ref="E1:E2"/>
    <mergeCell ref="F1:F2"/>
  </mergeCells>
  <pageMargins left="0.7" right="0.7" top="0.75" bottom="0.75" header="0.3" footer="0.3"/>
  <pageSetup paperSize="9" orientation="portrait" horizontalDpi="120" verticalDpi="72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50"/>
  <sheetViews>
    <sheetView topLeftCell="A34" workbookViewId="0">
      <selection activeCell="F47" sqref="F47"/>
    </sheetView>
  </sheetViews>
  <sheetFormatPr baseColWidth="10" defaultColWidth="9.140625" defaultRowHeight="15" x14ac:dyDescent="0.25"/>
  <cols>
    <col min="1" max="1" width="19.28515625" bestFit="1" customWidth="1"/>
    <col min="2" max="2" width="12.7109375" bestFit="1" customWidth="1"/>
    <col min="3" max="3" width="17.42578125" customWidth="1"/>
    <col min="4" max="4" width="11" customWidth="1"/>
    <col min="5" max="5" width="32.42578125" bestFit="1" customWidth="1"/>
    <col min="6" max="6" width="92.28515625" style="1" bestFit="1" customWidth="1"/>
    <col min="7" max="7" width="16.140625" customWidth="1"/>
    <col min="8" max="8" width="14.28515625" bestFit="1" customWidth="1"/>
  </cols>
  <sheetData>
    <row r="1" spans="1:8" ht="15" customHeight="1" x14ac:dyDescent="0.25">
      <c r="A1" s="83" t="s">
        <v>33</v>
      </c>
      <c r="B1" s="72" t="s">
        <v>0</v>
      </c>
      <c r="C1" s="82" t="s">
        <v>1</v>
      </c>
      <c r="D1" s="82" t="s">
        <v>2</v>
      </c>
      <c r="E1" s="82" t="s">
        <v>3</v>
      </c>
      <c r="F1" s="82" t="s">
        <v>8</v>
      </c>
      <c r="G1" s="79" t="s">
        <v>4</v>
      </c>
      <c r="H1" s="80" t="s">
        <v>5</v>
      </c>
    </row>
    <row r="2" spans="1:8" ht="15" customHeight="1" x14ac:dyDescent="0.25">
      <c r="A2" s="84"/>
      <c r="B2" s="73"/>
      <c r="C2" s="74"/>
      <c r="D2" s="74"/>
      <c r="E2" s="74"/>
      <c r="F2" s="74"/>
      <c r="G2" s="68"/>
      <c r="H2" s="70"/>
    </row>
    <row r="3" spans="1:8" ht="20.100000000000001" customHeight="1" x14ac:dyDescent="0.25">
      <c r="A3" s="84"/>
      <c r="B3" s="2">
        <v>45301</v>
      </c>
      <c r="C3" s="3">
        <v>3935652082</v>
      </c>
      <c r="D3" s="3">
        <v>5</v>
      </c>
      <c r="E3" s="4" t="s">
        <v>114</v>
      </c>
      <c r="F3" s="19" t="s">
        <v>171</v>
      </c>
      <c r="G3" s="10" t="s">
        <v>19</v>
      </c>
      <c r="H3" s="11">
        <v>2915</v>
      </c>
    </row>
    <row r="4" spans="1:8" ht="20.100000000000001" customHeight="1" x14ac:dyDescent="0.25">
      <c r="A4" s="84"/>
      <c r="B4" s="2">
        <v>45301</v>
      </c>
      <c r="C4" s="3">
        <v>3935652082</v>
      </c>
      <c r="D4" s="3">
        <v>1</v>
      </c>
      <c r="E4" s="4" t="s">
        <v>114</v>
      </c>
      <c r="F4" s="19" t="s">
        <v>171</v>
      </c>
      <c r="G4" s="10" t="s">
        <v>19</v>
      </c>
      <c r="H4" s="11">
        <v>585</v>
      </c>
    </row>
    <row r="5" spans="1:8" ht="20.100000000000001" customHeight="1" x14ac:dyDescent="0.25">
      <c r="A5" s="84"/>
      <c r="B5" s="2">
        <v>45301</v>
      </c>
      <c r="C5" s="3">
        <v>2130526838</v>
      </c>
      <c r="D5" s="3">
        <v>6</v>
      </c>
      <c r="E5" s="4" t="s">
        <v>85</v>
      </c>
      <c r="F5" s="19" t="s">
        <v>172</v>
      </c>
      <c r="G5" s="10" t="s">
        <v>10</v>
      </c>
      <c r="H5" s="11">
        <v>3000</v>
      </c>
    </row>
    <row r="6" spans="1:8" ht="20.100000000000001" customHeight="1" x14ac:dyDescent="0.25">
      <c r="A6" s="84"/>
      <c r="B6" s="2">
        <v>45306</v>
      </c>
      <c r="C6" s="3">
        <v>2104511653</v>
      </c>
      <c r="D6" s="3">
        <v>4</v>
      </c>
      <c r="E6" s="4" t="s">
        <v>115</v>
      </c>
      <c r="F6" s="19" t="s">
        <v>173</v>
      </c>
      <c r="G6" s="10" t="s">
        <v>7</v>
      </c>
      <c r="H6" s="11">
        <v>2500</v>
      </c>
    </row>
    <row r="7" spans="1:8" ht="20.100000000000001" customHeight="1" x14ac:dyDescent="0.25">
      <c r="A7" s="84"/>
      <c r="B7" s="2">
        <v>45313</v>
      </c>
      <c r="C7" s="3">
        <v>2294960033</v>
      </c>
      <c r="D7" s="3">
        <v>6</v>
      </c>
      <c r="E7" s="4" t="s">
        <v>174</v>
      </c>
      <c r="F7" s="19" t="s">
        <v>32</v>
      </c>
      <c r="G7" s="10" t="s">
        <v>7</v>
      </c>
      <c r="H7" s="11">
        <v>3000</v>
      </c>
    </row>
    <row r="8" spans="1:8" ht="20.100000000000001" customHeight="1" x14ac:dyDescent="0.25">
      <c r="A8" s="84"/>
      <c r="B8" s="2">
        <v>45315</v>
      </c>
      <c r="C8" s="3">
        <v>193940475</v>
      </c>
      <c r="D8" s="3">
        <v>3</v>
      </c>
      <c r="E8" s="4" t="s">
        <v>97</v>
      </c>
      <c r="F8" s="19" t="s">
        <v>175</v>
      </c>
      <c r="G8" s="10" t="s">
        <v>7</v>
      </c>
      <c r="H8" s="11">
        <v>2670</v>
      </c>
    </row>
    <row r="9" spans="1:8" ht="15.75" x14ac:dyDescent="0.25">
      <c r="A9" s="84"/>
      <c r="B9" s="2">
        <v>45317</v>
      </c>
      <c r="C9" s="3">
        <v>4036968491</v>
      </c>
      <c r="D9" s="3">
        <v>6</v>
      </c>
      <c r="E9" s="4" t="s">
        <v>176</v>
      </c>
      <c r="F9" s="19" t="s">
        <v>32</v>
      </c>
      <c r="G9" s="10" t="s">
        <v>7</v>
      </c>
      <c r="H9" s="11">
        <v>3000</v>
      </c>
    </row>
    <row r="10" spans="1:8" ht="20.100000000000001" customHeight="1" x14ac:dyDescent="0.25">
      <c r="A10" s="84"/>
      <c r="B10" s="2">
        <v>45329</v>
      </c>
      <c r="C10" s="3">
        <v>275990370</v>
      </c>
      <c r="D10" s="3">
        <v>6</v>
      </c>
      <c r="E10" s="4" t="s">
        <v>260</v>
      </c>
      <c r="F10" s="19" t="s">
        <v>261</v>
      </c>
      <c r="G10" s="10" t="s">
        <v>19</v>
      </c>
      <c r="H10" s="11">
        <v>2670</v>
      </c>
    </row>
    <row r="11" spans="1:8" ht="20.100000000000001" customHeight="1" x14ac:dyDescent="0.25">
      <c r="A11" s="84"/>
      <c r="B11" s="2">
        <v>45334</v>
      </c>
      <c r="C11" s="3">
        <v>3163898577</v>
      </c>
      <c r="D11" s="3">
        <v>8</v>
      </c>
      <c r="E11" s="4" t="s">
        <v>103</v>
      </c>
      <c r="F11" s="19" t="s">
        <v>262</v>
      </c>
      <c r="G11" s="10" t="s">
        <v>6</v>
      </c>
      <c r="H11" s="11">
        <v>3600</v>
      </c>
    </row>
    <row r="12" spans="1:8" ht="20.100000000000001" customHeight="1" x14ac:dyDescent="0.25">
      <c r="A12" s="84"/>
      <c r="B12" s="2">
        <v>45342</v>
      </c>
      <c r="C12" s="3">
        <v>1557810442</v>
      </c>
      <c r="D12" s="3">
        <v>5</v>
      </c>
      <c r="E12" s="4" t="s">
        <v>233</v>
      </c>
      <c r="F12" s="19" t="s">
        <v>263</v>
      </c>
      <c r="G12" s="10" t="s">
        <v>7</v>
      </c>
      <c r="H12" s="11">
        <v>4212.9000000000005</v>
      </c>
    </row>
    <row r="13" spans="1:8" ht="20.100000000000001" customHeight="1" x14ac:dyDescent="0.25">
      <c r="A13" s="84"/>
      <c r="B13" s="2">
        <v>45342</v>
      </c>
      <c r="C13" s="3">
        <v>1557810442</v>
      </c>
      <c r="D13" s="3">
        <v>1</v>
      </c>
      <c r="E13" s="4" t="s">
        <v>233</v>
      </c>
      <c r="F13" s="19" t="s">
        <v>263</v>
      </c>
      <c r="G13" s="10" t="s">
        <v>7</v>
      </c>
      <c r="H13" s="11">
        <v>842.6</v>
      </c>
    </row>
    <row r="14" spans="1:8" ht="20.100000000000001" customHeight="1" x14ac:dyDescent="0.25">
      <c r="A14" s="84"/>
      <c r="B14" s="2">
        <v>45355</v>
      </c>
      <c r="C14" s="3">
        <v>1483949969</v>
      </c>
      <c r="D14" s="3">
        <v>4</v>
      </c>
      <c r="E14" s="19" t="s">
        <v>345</v>
      </c>
      <c r="F14" s="19" t="s">
        <v>32</v>
      </c>
      <c r="G14" s="10" t="s">
        <v>10</v>
      </c>
      <c r="H14" s="11">
        <v>1780</v>
      </c>
    </row>
    <row r="15" spans="1:8" ht="20.100000000000001" customHeight="1" x14ac:dyDescent="0.25">
      <c r="A15" s="84"/>
      <c r="B15" s="2">
        <v>45383</v>
      </c>
      <c r="C15" s="3">
        <v>1597392214</v>
      </c>
      <c r="D15" s="3">
        <v>6</v>
      </c>
      <c r="E15" s="19" t="s">
        <v>528</v>
      </c>
      <c r="F15" s="19" t="s">
        <v>529</v>
      </c>
      <c r="G15" s="10" t="s">
        <v>7</v>
      </c>
      <c r="H15" s="11">
        <v>2670</v>
      </c>
    </row>
    <row r="16" spans="1:8" ht="20.100000000000001" customHeight="1" x14ac:dyDescent="0.25">
      <c r="A16" s="84"/>
      <c r="B16" s="2">
        <v>45411</v>
      </c>
      <c r="C16" s="3">
        <v>3358674097</v>
      </c>
      <c r="D16" s="3">
        <v>2</v>
      </c>
      <c r="E16" s="19" t="s">
        <v>497</v>
      </c>
      <c r="F16" s="19" t="s">
        <v>530</v>
      </c>
      <c r="G16" s="10" t="s">
        <v>7</v>
      </c>
      <c r="H16" s="11">
        <v>890</v>
      </c>
    </row>
    <row r="17" spans="1:8" ht="20.100000000000001" customHeight="1" x14ac:dyDescent="0.25">
      <c r="A17" s="84"/>
      <c r="B17" s="2">
        <v>45415</v>
      </c>
      <c r="C17" s="3">
        <v>1836205569</v>
      </c>
      <c r="D17" s="3">
        <v>6</v>
      </c>
      <c r="E17" s="19" t="s">
        <v>622</v>
      </c>
      <c r="F17" s="19" t="s">
        <v>32</v>
      </c>
      <c r="G17" s="10" t="s">
        <v>7</v>
      </c>
      <c r="H17" s="11">
        <v>2640</v>
      </c>
    </row>
    <row r="18" spans="1:8" ht="15.75" x14ac:dyDescent="0.25">
      <c r="A18" s="84"/>
      <c r="B18" s="2">
        <v>45432</v>
      </c>
      <c r="C18" s="3">
        <v>4029893618</v>
      </c>
      <c r="D18" s="3">
        <v>6</v>
      </c>
      <c r="E18" s="19" t="s">
        <v>573</v>
      </c>
      <c r="F18" s="19" t="s">
        <v>32</v>
      </c>
      <c r="G18" s="10" t="s">
        <v>10</v>
      </c>
      <c r="H18" s="11">
        <v>4500</v>
      </c>
    </row>
    <row r="19" spans="1:8" ht="15.75" x14ac:dyDescent="0.25">
      <c r="A19" s="84"/>
      <c r="B19" s="2">
        <v>45432</v>
      </c>
      <c r="C19" s="3">
        <v>3514649232</v>
      </c>
      <c r="D19" s="3">
        <v>6</v>
      </c>
      <c r="E19" s="19" t="s">
        <v>627</v>
      </c>
      <c r="F19" s="19" t="s">
        <v>32</v>
      </c>
      <c r="G19" s="10" t="s">
        <v>10</v>
      </c>
      <c r="H19" s="11">
        <v>4500</v>
      </c>
    </row>
    <row r="20" spans="1:8" ht="20.100000000000001" customHeight="1" x14ac:dyDescent="0.25">
      <c r="A20" s="84"/>
      <c r="B20" s="2">
        <v>45436</v>
      </c>
      <c r="C20" s="3">
        <v>2759872259</v>
      </c>
      <c r="D20" s="3">
        <v>6</v>
      </c>
      <c r="E20" s="19" t="s">
        <v>628</v>
      </c>
      <c r="F20" s="19" t="s">
        <v>32</v>
      </c>
      <c r="G20" s="10" t="s">
        <v>7</v>
      </c>
      <c r="H20" s="11">
        <v>2400</v>
      </c>
    </row>
    <row r="21" spans="1:8" ht="20.100000000000001" customHeight="1" x14ac:dyDescent="0.25">
      <c r="A21" s="84"/>
      <c r="B21" s="2">
        <v>45441</v>
      </c>
      <c r="C21" s="3">
        <v>121195756</v>
      </c>
      <c r="D21" s="3">
        <v>6</v>
      </c>
      <c r="E21" s="19" t="s">
        <v>603</v>
      </c>
      <c r="F21" s="19" t="s">
        <v>32</v>
      </c>
      <c r="G21" s="10" t="s">
        <v>7</v>
      </c>
      <c r="H21" s="11">
        <v>2670</v>
      </c>
    </row>
    <row r="22" spans="1:8" ht="20.100000000000001" customHeight="1" x14ac:dyDescent="0.25">
      <c r="A22" s="84"/>
      <c r="B22" s="2">
        <v>45448</v>
      </c>
      <c r="C22" s="3">
        <v>4090120337</v>
      </c>
      <c r="D22" s="3">
        <v>6</v>
      </c>
      <c r="E22" s="19" t="s">
        <v>704</v>
      </c>
      <c r="F22" s="19" t="s">
        <v>32</v>
      </c>
      <c r="G22" s="10" t="s">
        <v>7</v>
      </c>
      <c r="H22" s="11">
        <v>3738</v>
      </c>
    </row>
    <row r="23" spans="1:8" ht="15.75" x14ac:dyDescent="0.25">
      <c r="A23" s="84"/>
      <c r="B23" s="2">
        <v>45454</v>
      </c>
      <c r="C23" s="3">
        <v>2267170070</v>
      </c>
      <c r="D23" s="3">
        <v>6</v>
      </c>
      <c r="E23" s="19" t="s">
        <v>676</v>
      </c>
      <c r="F23" s="19" t="s">
        <v>32</v>
      </c>
      <c r="G23" s="10" t="s">
        <v>7</v>
      </c>
      <c r="H23" s="11">
        <v>2670</v>
      </c>
    </row>
    <row r="24" spans="1:8" ht="20.100000000000001" customHeight="1" x14ac:dyDescent="0.25">
      <c r="A24" s="84"/>
      <c r="B24" s="2">
        <v>45461</v>
      </c>
      <c r="C24" s="3">
        <v>248532564</v>
      </c>
      <c r="D24" s="3">
        <v>5</v>
      </c>
      <c r="E24" s="19" t="s">
        <v>484</v>
      </c>
      <c r="F24" s="19" t="s">
        <v>529</v>
      </c>
      <c r="G24" s="10" t="s">
        <v>7</v>
      </c>
      <c r="H24" s="11">
        <v>2915</v>
      </c>
    </row>
    <row r="25" spans="1:8" ht="20.100000000000001" customHeight="1" x14ac:dyDescent="0.25">
      <c r="A25" s="84"/>
      <c r="B25" s="2">
        <v>45461</v>
      </c>
      <c r="C25" s="3">
        <v>248532564</v>
      </c>
      <c r="D25" s="3">
        <v>1</v>
      </c>
      <c r="E25" s="19" t="s">
        <v>484</v>
      </c>
      <c r="F25" s="19" t="s">
        <v>529</v>
      </c>
      <c r="G25" s="10" t="s">
        <v>7</v>
      </c>
      <c r="H25" s="11">
        <v>585</v>
      </c>
    </row>
    <row r="26" spans="1:8" ht="15.75" x14ac:dyDescent="0.25">
      <c r="A26" s="84"/>
      <c r="B26" s="2">
        <v>45471</v>
      </c>
      <c r="C26" s="3">
        <v>1220821957</v>
      </c>
      <c r="D26" s="3">
        <v>5</v>
      </c>
      <c r="E26" s="19" t="s">
        <v>718</v>
      </c>
      <c r="F26" s="19" t="s">
        <v>719</v>
      </c>
      <c r="G26" s="10" t="s">
        <v>7</v>
      </c>
      <c r="H26" s="11">
        <v>2915</v>
      </c>
    </row>
    <row r="27" spans="1:8" ht="15.75" x14ac:dyDescent="0.25">
      <c r="A27" s="84"/>
      <c r="B27" s="2">
        <v>45471</v>
      </c>
      <c r="C27" s="3">
        <v>1220821957</v>
      </c>
      <c r="D27" s="3">
        <v>1</v>
      </c>
      <c r="E27" s="19" t="s">
        <v>718</v>
      </c>
      <c r="F27" s="19" t="s">
        <v>719</v>
      </c>
      <c r="G27" s="10" t="s">
        <v>7</v>
      </c>
      <c r="H27" s="11">
        <v>585</v>
      </c>
    </row>
    <row r="28" spans="1:8" ht="20.100000000000001" customHeight="1" x14ac:dyDescent="0.25">
      <c r="A28" s="84"/>
      <c r="B28" s="2">
        <v>45504</v>
      </c>
      <c r="C28" s="3">
        <v>1605715220</v>
      </c>
      <c r="D28" s="3">
        <v>8</v>
      </c>
      <c r="E28" s="4" t="s">
        <v>798</v>
      </c>
      <c r="F28" s="19" t="s">
        <v>261</v>
      </c>
      <c r="G28" s="5" t="s">
        <v>7</v>
      </c>
      <c r="H28" s="6">
        <v>10680</v>
      </c>
    </row>
    <row r="29" spans="1:8" ht="20.100000000000001" customHeight="1" x14ac:dyDescent="0.25">
      <c r="A29" s="84"/>
      <c r="B29" s="2">
        <v>45513</v>
      </c>
      <c r="C29" s="3">
        <v>1987792414</v>
      </c>
      <c r="D29" s="3">
        <v>5</v>
      </c>
      <c r="E29" s="4" t="s">
        <v>757</v>
      </c>
      <c r="F29" s="19" t="s">
        <v>942</v>
      </c>
      <c r="G29" s="5" t="s">
        <v>19</v>
      </c>
      <c r="H29" s="6">
        <v>6165</v>
      </c>
    </row>
    <row r="30" spans="1:8" ht="20.100000000000001" customHeight="1" x14ac:dyDescent="0.25">
      <c r="A30" s="84"/>
      <c r="B30" s="2">
        <v>45513</v>
      </c>
      <c r="C30" s="3">
        <v>1987792414</v>
      </c>
      <c r="D30" s="3">
        <v>1</v>
      </c>
      <c r="E30" s="4" t="s">
        <v>757</v>
      </c>
      <c r="F30" s="19" t="s">
        <v>942</v>
      </c>
      <c r="G30" s="5" t="s">
        <v>19</v>
      </c>
      <c r="H30" s="6">
        <v>1235</v>
      </c>
    </row>
    <row r="31" spans="1:8" ht="20.100000000000001" customHeight="1" x14ac:dyDescent="0.25">
      <c r="A31" s="84"/>
      <c r="B31" s="2">
        <v>45532</v>
      </c>
      <c r="C31" s="3">
        <v>2569158667</v>
      </c>
      <c r="D31" s="3">
        <v>4</v>
      </c>
      <c r="E31" s="4" t="s">
        <v>920</v>
      </c>
      <c r="F31" s="19" t="s">
        <v>32</v>
      </c>
      <c r="G31" s="5" t="s">
        <v>7</v>
      </c>
      <c r="H31" s="6">
        <v>1780</v>
      </c>
    </row>
    <row r="32" spans="1:8" ht="20.100000000000001" customHeight="1" x14ac:dyDescent="0.25">
      <c r="A32" s="84"/>
      <c r="B32" s="2">
        <v>45545</v>
      </c>
      <c r="C32" s="3">
        <v>3731310096</v>
      </c>
      <c r="D32" s="3">
        <v>2</v>
      </c>
      <c r="E32" s="4" t="s">
        <v>264</v>
      </c>
      <c r="F32" s="19" t="s">
        <v>1003</v>
      </c>
      <c r="G32" s="5" t="s">
        <v>7</v>
      </c>
      <c r="H32" s="6">
        <v>1000</v>
      </c>
    </row>
    <row r="33" spans="1:8" ht="20.100000000000001" customHeight="1" x14ac:dyDescent="0.25">
      <c r="A33" s="84"/>
      <c r="B33" s="2">
        <v>45548</v>
      </c>
      <c r="C33" s="3">
        <v>878003959</v>
      </c>
      <c r="D33" s="3">
        <v>6</v>
      </c>
      <c r="E33" s="4" t="s">
        <v>493</v>
      </c>
      <c r="F33" s="19" t="s">
        <v>1004</v>
      </c>
      <c r="G33" s="5" t="s">
        <v>7</v>
      </c>
      <c r="H33" s="6">
        <v>2700</v>
      </c>
    </row>
    <row r="34" spans="1:8" ht="20.100000000000001" customHeight="1" x14ac:dyDescent="0.25">
      <c r="A34" s="84"/>
      <c r="B34" s="2">
        <v>45576</v>
      </c>
      <c r="C34" s="3">
        <v>1225213336</v>
      </c>
      <c r="D34" s="3">
        <v>5</v>
      </c>
      <c r="E34" s="4" t="s">
        <v>1081</v>
      </c>
      <c r="F34" s="19" t="s">
        <v>1083</v>
      </c>
      <c r="G34" s="5" t="s">
        <v>7</v>
      </c>
      <c r="H34" s="6">
        <v>7080</v>
      </c>
    </row>
    <row r="35" spans="1:8" ht="20.100000000000001" customHeight="1" x14ac:dyDescent="0.25">
      <c r="A35" s="84"/>
      <c r="B35" s="2">
        <v>45576</v>
      </c>
      <c r="C35" s="3">
        <v>1225213336</v>
      </c>
      <c r="D35" s="3">
        <v>1</v>
      </c>
      <c r="E35" s="4" t="s">
        <v>1081</v>
      </c>
      <c r="F35" s="19" t="s">
        <v>1083</v>
      </c>
      <c r="G35" s="5" t="s">
        <v>7</v>
      </c>
      <c r="H35" s="6">
        <v>1420</v>
      </c>
    </row>
    <row r="36" spans="1:8" ht="20.100000000000001" customHeight="1" x14ac:dyDescent="0.25">
      <c r="A36" s="84"/>
      <c r="B36" s="2">
        <v>45576</v>
      </c>
      <c r="C36" s="3">
        <v>66551850</v>
      </c>
      <c r="D36" s="3">
        <v>6</v>
      </c>
      <c r="E36" s="4" t="s">
        <v>1082</v>
      </c>
      <c r="F36" s="19" t="s">
        <v>32</v>
      </c>
      <c r="G36" s="5" t="s">
        <v>19</v>
      </c>
      <c r="H36" s="6">
        <v>2670</v>
      </c>
    </row>
    <row r="37" spans="1:8" ht="15.75" x14ac:dyDescent="0.25">
      <c r="A37" s="84"/>
      <c r="B37" s="2">
        <v>45579</v>
      </c>
      <c r="C37" s="3">
        <v>3141288285</v>
      </c>
      <c r="D37" s="3">
        <v>8</v>
      </c>
      <c r="E37" s="4" t="s">
        <v>1054</v>
      </c>
      <c r="F37" s="19" t="s">
        <v>1084</v>
      </c>
      <c r="G37" s="5" t="s">
        <v>10</v>
      </c>
      <c r="H37" s="6">
        <v>12816</v>
      </c>
    </row>
    <row r="38" spans="1:8" ht="20.100000000000001" customHeight="1" x14ac:dyDescent="0.25">
      <c r="A38" s="84"/>
      <c r="B38" s="2">
        <v>45580</v>
      </c>
      <c r="C38" s="3">
        <v>1319453090</v>
      </c>
      <c r="D38" s="3">
        <v>6</v>
      </c>
      <c r="E38" s="4" t="s">
        <v>464</v>
      </c>
      <c r="F38" s="19" t="s">
        <v>1085</v>
      </c>
      <c r="G38" s="5" t="s">
        <v>7</v>
      </c>
      <c r="H38" s="6">
        <v>6000</v>
      </c>
    </row>
    <row r="39" spans="1:8" ht="20.100000000000001" customHeight="1" x14ac:dyDescent="0.25">
      <c r="A39" s="84"/>
      <c r="B39" s="2">
        <v>45589</v>
      </c>
      <c r="C39" s="3">
        <v>2583315675</v>
      </c>
      <c r="D39" s="3">
        <v>8</v>
      </c>
      <c r="E39" s="4" t="s">
        <v>1074</v>
      </c>
      <c r="F39" s="19" t="s">
        <v>1086</v>
      </c>
      <c r="G39" s="5" t="s">
        <v>7</v>
      </c>
      <c r="H39" s="6">
        <v>7120</v>
      </c>
    </row>
    <row r="40" spans="1:8" ht="20.100000000000001" customHeight="1" x14ac:dyDescent="0.25">
      <c r="A40" s="84"/>
      <c r="B40" s="2">
        <v>45590</v>
      </c>
      <c r="C40" s="3">
        <v>2175946285</v>
      </c>
      <c r="D40" s="3">
        <v>6</v>
      </c>
      <c r="E40" s="4" t="s">
        <v>1066</v>
      </c>
      <c r="F40" s="19" t="s">
        <v>32</v>
      </c>
      <c r="G40" s="5" t="s">
        <v>19</v>
      </c>
      <c r="H40" s="6">
        <v>2670</v>
      </c>
    </row>
    <row r="41" spans="1:8" ht="20.100000000000001" customHeight="1" x14ac:dyDescent="0.25">
      <c r="A41" s="84"/>
      <c r="B41" s="2">
        <v>45608</v>
      </c>
      <c r="C41" s="3">
        <v>311117115</v>
      </c>
      <c r="D41" s="3">
        <v>6</v>
      </c>
      <c r="E41" s="4" t="s">
        <v>1121</v>
      </c>
      <c r="F41" s="19" t="s">
        <v>1173</v>
      </c>
      <c r="G41" s="5" t="s">
        <v>7</v>
      </c>
      <c r="H41" s="6">
        <v>6000</v>
      </c>
    </row>
    <row r="42" spans="1:8" ht="20.100000000000001" customHeight="1" x14ac:dyDescent="0.25">
      <c r="A42" s="84"/>
      <c r="B42" s="2">
        <v>45614</v>
      </c>
      <c r="C42" s="3">
        <v>1726759852</v>
      </c>
      <c r="D42" s="3">
        <v>5</v>
      </c>
      <c r="E42" s="4" t="s">
        <v>704</v>
      </c>
      <c r="F42" s="19" t="s">
        <v>32</v>
      </c>
      <c r="G42" s="5" t="s">
        <v>7</v>
      </c>
      <c r="H42" s="6">
        <v>2415</v>
      </c>
    </row>
    <row r="43" spans="1:8" ht="20.100000000000001" customHeight="1" x14ac:dyDescent="0.25">
      <c r="A43" s="84"/>
      <c r="B43" s="2">
        <v>45614</v>
      </c>
      <c r="C43" s="3">
        <v>1726759852</v>
      </c>
      <c r="D43" s="3">
        <v>1</v>
      </c>
      <c r="E43" s="4" t="s">
        <v>704</v>
      </c>
      <c r="F43" s="19" t="s">
        <v>32</v>
      </c>
      <c r="G43" s="5" t="s">
        <v>7</v>
      </c>
      <c r="H43" s="6">
        <v>485</v>
      </c>
    </row>
    <row r="44" spans="1:8" ht="20.100000000000001" customHeight="1" x14ac:dyDescent="0.25">
      <c r="A44" s="84"/>
      <c r="B44" s="2">
        <v>45628</v>
      </c>
      <c r="C44" s="3">
        <v>2516992312</v>
      </c>
      <c r="D44" s="3">
        <v>5</v>
      </c>
      <c r="E44" s="4" t="s">
        <v>1081</v>
      </c>
      <c r="F44" s="19" t="s">
        <v>1272</v>
      </c>
      <c r="G44" s="5" t="s">
        <v>6</v>
      </c>
      <c r="H44" s="6">
        <v>2165</v>
      </c>
    </row>
    <row r="45" spans="1:8" ht="20.100000000000001" customHeight="1" x14ac:dyDescent="0.25">
      <c r="A45" s="84"/>
      <c r="B45" s="2">
        <v>45628</v>
      </c>
      <c r="C45" s="3">
        <v>2516992312</v>
      </c>
      <c r="D45" s="3">
        <v>1</v>
      </c>
      <c r="E45" s="4" t="s">
        <v>1081</v>
      </c>
      <c r="F45" s="19" t="s">
        <v>1272</v>
      </c>
      <c r="G45" s="5" t="s">
        <v>6</v>
      </c>
      <c r="H45" s="6">
        <v>435</v>
      </c>
    </row>
    <row r="46" spans="1:8" ht="20.100000000000001" customHeight="1" x14ac:dyDescent="0.25">
      <c r="A46" s="84"/>
      <c r="B46" s="2">
        <v>45630</v>
      </c>
      <c r="C46" s="3">
        <v>428034299</v>
      </c>
      <c r="D46" s="3">
        <v>6</v>
      </c>
      <c r="E46" s="4" t="s">
        <v>1264</v>
      </c>
      <c r="F46" s="19" t="s">
        <v>1273</v>
      </c>
      <c r="G46" s="5" t="s">
        <v>19</v>
      </c>
      <c r="H46" s="6">
        <v>3000</v>
      </c>
    </row>
    <row r="47" spans="1:8" ht="20.100000000000001" customHeight="1" x14ac:dyDescent="0.25">
      <c r="A47" s="84"/>
      <c r="B47" s="2">
        <v>45631</v>
      </c>
      <c r="C47" s="3">
        <v>2499756159</v>
      </c>
      <c r="D47" s="3">
        <v>8</v>
      </c>
      <c r="E47" s="4" t="s">
        <v>362</v>
      </c>
      <c r="F47" s="19" t="s">
        <v>1274</v>
      </c>
      <c r="G47" s="5" t="s">
        <v>6</v>
      </c>
      <c r="H47" s="6">
        <v>5700</v>
      </c>
    </row>
    <row r="48" spans="1:8" ht="20.100000000000001" customHeight="1" x14ac:dyDescent="0.25">
      <c r="A48" s="84"/>
      <c r="B48" s="2">
        <v>45632</v>
      </c>
      <c r="C48" s="3">
        <v>2362330854</v>
      </c>
      <c r="D48" s="3">
        <v>6</v>
      </c>
      <c r="E48" s="4" t="s">
        <v>1098</v>
      </c>
      <c r="F48" s="19" t="s">
        <v>33</v>
      </c>
      <c r="G48" s="5" t="s">
        <v>19</v>
      </c>
      <c r="H48" s="6">
        <v>3000</v>
      </c>
    </row>
    <row r="49" spans="1:8" ht="20.100000000000001" customHeight="1" x14ac:dyDescent="0.25">
      <c r="A49" s="84"/>
      <c r="B49" s="2">
        <v>45643</v>
      </c>
      <c r="C49" s="3">
        <v>3553053345</v>
      </c>
      <c r="D49" s="3">
        <v>6</v>
      </c>
      <c r="E49" s="4" t="s">
        <v>248</v>
      </c>
      <c r="F49" s="19" t="s">
        <v>261</v>
      </c>
      <c r="G49" s="5" t="s">
        <v>19</v>
      </c>
      <c r="H49" s="6">
        <v>6300</v>
      </c>
    </row>
    <row r="50" spans="1:8" ht="15.75" x14ac:dyDescent="0.25">
      <c r="A50" s="85"/>
      <c r="B50" s="13"/>
      <c r="C50" s="14"/>
      <c r="D50" s="14"/>
      <c r="E50" s="14" t="s">
        <v>5</v>
      </c>
      <c r="F50" s="15"/>
      <c r="G50" s="16"/>
      <c r="H50" s="23">
        <f>SUM(H3:H49)</f>
        <v>157289.5</v>
      </c>
    </row>
  </sheetData>
  <autoFilter ref="B1:H50" xr:uid="{00000000-0009-0000-0000-000012000000}"/>
  <mergeCells count="8">
    <mergeCell ref="A1:A50"/>
    <mergeCell ref="H1:H2"/>
    <mergeCell ref="B1:B2"/>
    <mergeCell ref="C1:C2"/>
    <mergeCell ref="D1:D2"/>
    <mergeCell ref="E1:E2"/>
    <mergeCell ref="F1:F2"/>
    <mergeCell ref="G1:G2"/>
  </mergeCells>
  <pageMargins left="0.7" right="0.7" top="0.75" bottom="0.75" header="0.3" footer="0.3"/>
  <pageSetup paperSize="9" orientation="portrait" horizontalDpi="120" verticalDpi="72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18"/>
  <sheetViews>
    <sheetView topLeftCell="A8" workbookViewId="0">
      <selection activeCell="F26" sqref="F26"/>
    </sheetView>
  </sheetViews>
  <sheetFormatPr baseColWidth="10" defaultColWidth="9.140625" defaultRowHeight="15" x14ac:dyDescent="0.25"/>
  <cols>
    <col min="1" max="1" width="20.28515625" bestFit="1" customWidth="1"/>
    <col min="2" max="2" width="12.7109375" bestFit="1" customWidth="1"/>
    <col min="3" max="3" width="17.42578125" customWidth="1"/>
    <col min="4" max="4" width="11" customWidth="1"/>
    <col min="5" max="5" width="32.42578125" bestFit="1" customWidth="1"/>
    <col min="6" max="6" width="55.7109375" style="1" bestFit="1" customWidth="1"/>
    <col min="7" max="7" width="16.140625" customWidth="1"/>
    <col min="8" max="8" width="14.28515625" bestFit="1" customWidth="1"/>
  </cols>
  <sheetData>
    <row r="1" spans="1:8" ht="15" customHeight="1" x14ac:dyDescent="0.25">
      <c r="A1" s="83" t="s">
        <v>34</v>
      </c>
      <c r="B1" s="72" t="s">
        <v>0</v>
      </c>
      <c r="C1" s="74" t="s">
        <v>1</v>
      </c>
      <c r="D1" s="74" t="s">
        <v>2</v>
      </c>
      <c r="E1" s="74" t="s">
        <v>3</v>
      </c>
      <c r="F1" s="74" t="s">
        <v>8</v>
      </c>
      <c r="G1" s="68" t="s">
        <v>4</v>
      </c>
      <c r="H1" s="70" t="s">
        <v>5</v>
      </c>
    </row>
    <row r="2" spans="1:8" ht="15" customHeight="1" x14ac:dyDescent="0.25">
      <c r="A2" s="84"/>
      <c r="B2" s="73"/>
      <c r="C2" s="75"/>
      <c r="D2" s="75"/>
      <c r="E2" s="75"/>
      <c r="F2" s="75"/>
      <c r="G2" s="69"/>
      <c r="H2" s="71"/>
    </row>
    <row r="3" spans="1:8" ht="20.100000000000001" customHeight="1" x14ac:dyDescent="0.25">
      <c r="A3" s="84"/>
      <c r="B3" s="2">
        <v>45313</v>
      </c>
      <c r="C3" s="3">
        <v>2787788939</v>
      </c>
      <c r="D3" s="3">
        <v>10</v>
      </c>
      <c r="E3" s="4" t="s">
        <v>104</v>
      </c>
      <c r="F3" s="19" t="s">
        <v>34</v>
      </c>
      <c r="G3" s="10" t="s">
        <v>6</v>
      </c>
      <c r="H3" s="11">
        <v>1800</v>
      </c>
    </row>
    <row r="4" spans="1:8" ht="20.100000000000001" customHeight="1" x14ac:dyDescent="0.25">
      <c r="A4" s="84"/>
      <c r="B4" s="2">
        <v>45314</v>
      </c>
      <c r="C4" s="3">
        <v>2387298960</v>
      </c>
      <c r="D4" s="3">
        <v>5</v>
      </c>
      <c r="E4" s="4" t="s">
        <v>78</v>
      </c>
      <c r="F4" s="19" t="s">
        <v>34</v>
      </c>
      <c r="G4" s="10" t="s">
        <v>6</v>
      </c>
      <c r="H4" s="11">
        <v>900</v>
      </c>
    </row>
    <row r="5" spans="1:8" ht="20.100000000000001" customHeight="1" x14ac:dyDescent="0.25">
      <c r="A5" s="84"/>
      <c r="B5" s="2">
        <v>45328</v>
      </c>
      <c r="C5" s="3">
        <v>4099755301</v>
      </c>
      <c r="D5" s="3">
        <v>5</v>
      </c>
      <c r="E5" s="4" t="s">
        <v>264</v>
      </c>
      <c r="F5" s="19" t="s">
        <v>34</v>
      </c>
      <c r="G5" s="10" t="s">
        <v>6</v>
      </c>
      <c r="H5" s="11">
        <v>1800</v>
      </c>
    </row>
    <row r="6" spans="1:8" ht="20.100000000000001" customHeight="1" x14ac:dyDescent="0.25">
      <c r="A6" s="84"/>
      <c r="B6" s="2">
        <v>45331</v>
      </c>
      <c r="C6" s="3">
        <v>2547664007</v>
      </c>
      <c r="D6" s="3">
        <v>10</v>
      </c>
      <c r="E6" s="4" t="s">
        <v>242</v>
      </c>
      <c r="F6" s="19" t="s">
        <v>34</v>
      </c>
      <c r="G6" s="10" t="s">
        <v>7</v>
      </c>
      <c r="H6" s="11">
        <v>1800</v>
      </c>
    </row>
    <row r="7" spans="1:8" ht="20.100000000000001" customHeight="1" x14ac:dyDescent="0.25">
      <c r="A7" s="84"/>
      <c r="B7" s="2">
        <v>45334</v>
      </c>
      <c r="C7" s="3">
        <v>4251338516</v>
      </c>
      <c r="D7" s="3">
        <v>10</v>
      </c>
      <c r="E7" s="4" t="s">
        <v>243</v>
      </c>
      <c r="F7" s="19" t="s">
        <v>34</v>
      </c>
      <c r="G7" s="10" t="s">
        <v>10</v>
      </c>
      <c r="H7" s="11">
        <v>1800</v>
      </c>
    </row>
    <row r="8" spans="1:8" ht="20.100000000000001" customHeight="1" x14ac:dyDescent="0.25">
      <c r="A8" s="84"/>
      <c r="B8" s="2">
        <v>45358</v>
      </c>
      <c r="C8" s="3">
        <v>2771863235</v>
      </c>
      <c r="D8" s="3">
        <v>5</v>
      </c>
      <c r="E8" s="19" t="s">
        <v>346</v>
      </c>
      <c r="F8" s="19" t="s">
        <v>34</v>
      </c>
      <c r="G8" s="10" t="s">
        <v>7</v>
      </c>
      <c r="H8" s="11">
        <v>900</v>
      </c>
    </row>
    <row r="9" spans="1:8" ht="20.100000000000001" customHeight="1" x14ac:dyDescent="0.25">
      <c r="A9" s="84"/>
      <c r="B9" s="2">
        <v>45383</v>
      </c>
      <c r="C9" s="3">
        <v>3775745118</v>
      </c>
      <c r="D9" s="3">
        <v>10</v>
      </c>
      <c r="E9" s="19" t="s">
        <v>531</v>
      </c>
      <c r="F9" s="19" t="s">
        <v>34</v>
      </c>
      <c r="G9" s="10" t="s">
        <v>19</v>
      </c>
      <c r="H9" s="11">
        <v>1800</v>
      </c>
    </row>
    <row r="10" spans="1:8" ht="20.100000000000001" customHeight="1" x14ac:dyDescent="0.25">
      <c r="A10" s="84"/>
      <c r="B10" s="2">
        <v>45397</v>
      </c>
      <c r="C10" s="3">
        <v>3227928430</v>
      </c>
      <c r="D10" s="3">
        <v>5</v>
      </c>
      <c r="E10" s="19" t="s">
        <v>100</v>
      </c>
      <c r="F10" s="19" t="s">
        <v>34</v>
      </c>
      <c r="G10" s="10" t="s">
        <v>7</v>
      </c>
      <c r="H10" s="11">
        <v>900</v>
      </c>
    </row>
    <row r="11" spans="1:8" ht="20.100000000000001" customHeight="1" x14ac:dyDescent="0.25">
      <c r="A11" s="84"/>
      <c r="B11" s="2">
        <v>45418</v>
      </c>
      <c r="C11" s="3">
        <v>3108717436</v>
      </c>
      <c r="D11" s="3">
        <v>10</v>
      </c>
      <c r="E11" s="19" t="s">
        <v>613</v>
      </c>
      <c r="F11" s="19" t="s">
        <v>34</v>
      </c>
      <c r="G11" s="10" t="s">
        <v>19</v>
      </c>
      <c r="H11" s="11">
        <v>1800</v>
      </c>
    </row>
    <row r="12" spans="1:8" ht="30" x14ac:dyDescent="0.25">
      <c r="A12" s="84"/>
      <c r="B12" s="2">
        <v>45420</v>
      </c>
      <c r="C12" s="3">
        <v>1550336626</v>
      </c>
      <c r="D12" s="3">
        <v>10</v>
      </c>
      <c r="E12" s="19" t="s">
        <v>614</v>
      </c>
      <c r="F12" s="19" t="s">
        <v>34</v>
      </c>
      <c r="G12" s="10" t="s">
        <v>19</v>
      </c>
      <c r="H12" s="11">
        <v>1800</v>
      </c>
    </row>
    <row r="13" spans="1:8" ht="20.100000000000001" customHeight="1" x14ac:dyDescent="0.25">
      <c r="A13" s="84"/>
      <c r="B13" s="2">
        <v>45439</v>
      </c>
      <c r="C13" s="3">
        <v>3690483684</v>
      </c>
      <c r="D13" s="3">
        <v>6</v>
      </c>
      <c r="E13" s="19" t="s">
        <v>329</v>
      </c>
      <c r="F13" s="19" t="s">
        <v>34</v>
      </c>
      <c r="G13" s="10" t="s">
        <v>7</v>
      </c>
      <c r="H13" s="11">
        <v>1080</v>
      </c>
    </row>
    <row r="14" spans="1:8" ht="20.100000000000001" customHeight="1" x14ac:dyDescent="0.25">
      <c r="A14" s="84"/>
      <c r="B14" s="2">
        <v>45483</v>
      </c>
      <c r="C14" s="3">
        <v>3958067078</v>
      </c>
      <c r="D14" s="3">
        <v>6</v>
      </c>
      <c r="E14" s="4" t="s">
        <v>876</v>
      </c>
      <c r="F14" s="19" t="s">
        <v>34</v>
      </c>
      <c r="G14" s="5" t="s">
        <v>6</v>
      </c>
      <c r="H14" s="6">
        <v>1200</v>
      </c>
    </row>
    <row r="15" spans="1:8" ht="15.75" x14ac:dyDescent="0.25">
      <c r="A15" s="84"/>
      <c r="B15" s="2">
        <v>45590</v>
      </c>
      <c r="C15" s="3">
        <v>413425</v>
      </c>
      <c r="D15" s="3">
        <v>10</v>
      </c>
      <c r="E15" s="4" t="s">
        <v>1087</v>
      </c>
      <c r="F15" s="19" t="s">
        <v>34</v>
      </c>
      <c r="G15" s="5" t="s">
        <v>7</v>
      </c>
      <c r="H15" s="6">
        <v>1800</v>
      </c>
    </row>
    <row r="16" spans="1:8" ht="20.100000000000001" customHeight="1" x14ac:dyDescent="0.25">
      <c r="A16" s="84"/>
      <c r="B16" s="2">
        <v>45603</v>
      </c>
      <c r="C16" s="3">
        <v>1265715069</v>
      </c>
      <c r="D16" s="3">
        <v>5</v>
      </c>
      <c r="E16" s="4" t="s">
        <v>1163</v>
      </c>
      <c r="F16" s="19" t="s">
        <v>34</v>
      </c>
      <c r="G16" s="5" t="s">
        <v>7</v>
      </c>
      <c r="H16" s="6">
        <v>900</v>
      </c>
    </row>
    <row r="17" spans="1:8" ht="20.100000000000001" customHeight="1" x14ac:dyDescent="0.25">
      <c r="A17" s="84"/>
      <c r="B17" s="2">
        <v>45639</v>
      </c>
      <c r="C17" s="3">
        <v>1679770480</v>
      </c>
      <c r="D17" s="3">
        <v>8</v>
      </c>
      <c r="E17" s="4" t="s">
        <v>1275</v>
      </c>
      <c r="F17" s="19" t="s">
        <v>34</v>
      </c>
      <c r="G17" s="5" t="s">
        <v>7</v>
      </c>
      <c r="H17" s="6">
        <v>1440</v>
      </c>
    </row>
    <row r="18" spans="1:8" ht="15.75" x14ac:dyDescent="0.25">
      <c r="A18" s="85"/>
      <c r="B18" s="13"/>
      <c r="C18" s="14"/>
      <c r="D18" s="14"/>
      <c r="E18" s="14" t="s">
        <v>5</v>
      </c>
      <c r="F18" s="15"/>
      <c r="G18" s="16"/>
      <c r="H18" s="23">
        <f>SUM(H3:H17)</f>
        <v>21720</v>
      </c>
    </row>
  </sheetData>
  <autoFilter ref="A1:H18" xr:uid="{00000000-0009-0000-0000-000013000000}"/>
  <mergeCells count="8">
    <mergeCell ref="F1:F2"/>
    <mergeCell ref="G1:G2"/>
    <mergeCell ref="H1:H2"/>
    <mergeCell ref="A1:A18"/>
    <mergeCell ref="B1:B2"/>
    <mergeCell ref="C1:C2"/>
    <mergeCell ref="D1:D2"/>
    <mergeCell ref="E1:E2"/>
  </mergeCells>
  <pageMargins left="0.7" right="0.7" top="0.75" bottom="0.75" header="0.3" footer="0.3"/>
  <pageSetup paperSize="9" orientation="portrait" horizontalDpi="120" verticalDpi="72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5"/>
  <sheetViews>
    <sheetView workbookViewId="0">
      <selection activeCell="E16" sqref="E16"/>
    </sheetView>
  </sheetViews>
  <sheetFormatPr baseColWidth="10" defaultColWidth="9.140625" defaultRowHeight="15" x14ac:dyDescent="0.25"/>
  <cols>
    <col min="1" max="1" width="16" bestFit="1" customWidth="1"/>
    <col min="2" max="2" width="12.7109375" bestFit="1" customWidth="1"/>
    <col min="3" max="3" width="17.42578125" customWidth="1"/>
    <col min="4" max="4" width="11" customWidth="1"/>
    <col min="5" max="5" width="32.42578125" bestFit="1" customWidth="1"/>
    <col min="6" max="6" width="42.85546875" style="1" customWidth="1"/>
    <col min="7" max="7" width="16.140625" customWidth="1"/>
    <col min="8" max="8" width="14.28515625" bestFit="1" customWidth="1"/>
  </cols>
  <sheetData>
    <row r="1" spans="1:8" ht="15" customHeight="1" x14ac:dyDescent="0.25">
      <c r="A1" s="83" t="s">
        <v>35</v>
      </c>
      <c r="B1" s="72" t="s">
        <v>0</v>
      </c>
      <c r="C1" s="74" t="s">
        <v>1</v>
      </c>
      <c r="D1" s="74" t="s">
        <v>2</v>
      </c>
      <c r="E1" s="74" t="s">
        <v>3</v>
      </c>
      <c r="F1" s="74" t="s">
        <v>8</v>
      </c>
      <c r="G1" s="68" t="s">
        <v>4</v>
      </c>
      <c r="H1" s="70" t="s">
        <v>5</v>
      </c>
    </row>
    <row r="2" spans="1:8" ht="15" customHeight="1" x14ac:dyDescent="0.25">
      <c r="A2" s="84"/>
      <c r="B2" s="73"/>
      <c r="C2" s="75"/>
      <c r="D2" s="75"/>
      <c r="E2" s="75"/>
      <c r="F2" s="75"/>
      <c r="G2" s="69"/>
      <c r="H2" s="71"/>
    </row>
    <row r="3" spans="1:8" ht="20.100000000000001" customHeight="1" x14ac:dyDescent="0.25">
      <c r="A3" s="84"/>
      <c r="B3" s="2">
        <v>45643</v>
      </c>
      <c r="C3" s="3">
        <v>138497865</v>
      </c>
      <c r="D3" s="3">
        <v>1</v>
      </c>
      <c r="E3" s="4" t="s">
        <v>123</v>
      </c>
      <c r="F3" s="3" t="s">
        <v>35</v>
      </c>
      <c r="G3" s="10" t="s">
        <v>6</v>
      </c>
      <c r="H3" s="11">
        <v>650</v>
      </c>
    </row>
    <row r="4" spans="1:8" ht="20.100000000000001" customHeight="1" x14ac:dyDescent="0.25">
      <c r="A4" s="84"/>
      <c r="B4" s="2">
        <v>45645</v>
      </c>
      <c r="C4" s="3">
        <v>140536065</v>
      </c>
      <c r="D4" s="3">
        <v>1</v>
      </c>
      <c r="E4" s="4" t="s">
        <v>515</v>
      </c>
      <c r="F4" s="3" t="s">
        <v>35</v>
      </c>
      <c r="G4" s="10" t="s">
        <v>6</v>
      </c>
      <c r="H4" s="11">
        <v>650</v>
      </c>
    </row>
    <row r="5" spans="1:8" ht="15.75" x14ac:dyDescent="0.25">
      <c r="A5" s="85"/>
      <c r="B5" s="13"/>
      <c r="C5" s="14"/>
      <c r="D5" s="14"/>
      <c r="E5" s="14" t="s">
        <v>5</v>
      </c>
      <c r="F5" s="15"/>
      <c r="G5" s="16"/>
      <c r="H5" s="23">
        <f>SUM(H3:H4)</f>
        <v>1300</v>
      </c>
    </row>
  </sheetData>
  <mergeCells count="8">
    <mergeCell ref="A1:A5"/>
    <mergeCell ref="F1:F2"/>
    <mergeCell ref="G1:G2"/>
    <mergeCell ref="H1:H2"/>
    <mergeCell ref="B1:B2"/>
    <mergeCell ref="C1:C2"/>
    <mergeCell ref="D1:D2"/>
    <mergeCell ref="E1:E2"/>
  </mergeCells>
  <pageMargins left="0.7" right="0.7" top="0.75" bottom="0.75" header="0.3" footer="0.3"/>
  <pageSetup paperSize="9" orientation="portrait" horizontalDpi="120" verticalDpi="72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28"/>
  <sheetViews>
    <sheetView workbookViewId="0">
      <selection activeCell="G12" sqref="G12"/>
    </sheetView>
  </sheetViews>
  <sheetFormatPr baseColWidth="10" defaultColWidth="9.140625" defaultRowHeight="15" x14ac:dyDescent="0.25"/>
  <cols>
    <col min="1" max="1" width="7.42578125" bestFit="1" customWidth="1"/>
    <col min="2" max="2" width="12.7109375" bestFit="1" customWidth="1"/>
    <col min="3" max="3" width="17.42578125" customWidth="1"/>
    <col min="4" max="4" width="11" customWidth="1"/>
    <col min="5" max="5" width="32.42578125" bestFit="1" customWidth="1"/>
    <col min="6" max="6" width="46.28515625" style="1" customWidth="1"/>
    <col min="7" max="7" width="16.140625" customWidth="1"/>
    <col min="8" max="8" width="14.28515625" bestFit="1" customWidth="1"/>
  </cols>
  <sheetData>
    <row r="1" spans="1:8" ht="15" customHeight="1" x14ac:dyDescent="0.25">
      <c r="A1" s="83" t="s">
        <v>36</v>
      </c>
      <c r="B1" s="72" t="s">
        <v>0</v>
      </c>
      <c r="C1" s="74" t="s">
        <v>1</v>
      </c>
      <c r="D1" s="74" t="s">
        <v>2</v>
      </c>
      <c r="E1" s="74" t="s">
        <v>3</v>
      </c>
      <c r="F1" s="74" t="s">
        <v>8</v>
      </c>
      <c r="G1" s="68" t="s">
        <v>4</v>
      </c>
      <c r="H1" s="70" t="s">
        <v>5</v>
      </c>
    </row>
    <row r="2" spans="1:8" ht="15" customHeight="1" x14ac:dyDescent="0.25">
      <c r="A2" s="84"/>
      <c r="B2" s="73"/>
      <c r="C2" s="75"/>
      <c r="D2" s="75"/>
      <c r="E2" s="75"/>
      <c r="F2" s="75"/>
      <c r="G2" s="69"/>
      <c r="H2" s="71"/>
    </row>
    <row r="3" spans="1:8" ht="15" customHeight="1" x14ac:dyDescent="0.25">
      <c r="A3" s="84"/>
      <c r="B3" s="2">
        <v>45364</v>
      </c>
      <c r="C3" s="3">
        <v>3967897459</v>
      </c>
      <c r="D3" s="3">
        <v>8</v>
      </c>
      <c r="E3" s="19" t="s">
        <v>318</v>
      </c>
      <c r="F3" s="19" t="s">
        <v>347</v>
      </c>
      <c r="G3" s="10" t="s">
        <v>7</v>
      </c>
      <c r="H3" s="11">
        <v>3500</v>
      </c>
    </row>
    <row r="4" spans="1:8" ht="15" customHeight="1" x14ac:dyDescent="0.25">
      <c r="A4" s="84"/>
      <c r="B4" s="2">
        <v>45414</v>
      </c>
      <c r="C4" s="3">
        <v>606227387</v>
      </c>
      <c r="D4" s="3">
        <v>8</v>
      </c>
      <c r="E4" s="19" t="s">
        <v>584</v>
      </c>
      <c r="F4" s="19" t="s">
        <v>629</v>
      </c>
      <c r="G4" s="10" t="s">
        <v>7</v>
      </c>
      <c r="H4" s="11">
        <v>3000</v>
      </c>
    </row>
    <row r="5" spans="1:8" ht="15" customHeight="1" x14ac:dyDescent="0.25">
      <c r="A5" s="84"/>
      <c r="B5" s="2">
        <v>45426</v>
      </c>
      <c r="C5" s="3">
        <v>1132217046</v>
      </c>
      <c r="D5" s="3">
        <v>8</v>
      </c>
      <c r="E5" s="19" t="s">
        <v>587</v>
      </c>
      <c r="F5" s="19" t="s">
        <v>630</v>
      </c>
      <c r="G5" s="10" t="s">
        <v>19</v>
      </c>
      <c r="H5" s="11">
        <v>3040</v>
      </c>
    </row>
    <row r="6" spans="1:8" ht="15" customHeight="1" x14ac:dyDescent="0.25">
      <c r="A6" s="84"/>
      <c r="B6" s="2">
        <v>45436</v>
      </c>
      <c r="C6" s="3">
        <v>939343978</v>
      </c>
      <c r="D6" s="3">
        <v>8</v>
      </c>
      <c r="E6" s="19" t="s">
        <v>631</v>
      </c>
      <c r="F6" s="19" t="s">
        <v>632</v>
      </c>
      <c r="G6" s="10" t="s">
        <v>6</v>
      </c>
      <c r="H6" s="11">
        <v>3000</v>
      </c>
    </row>
    <row r="7" spans="1:8" ht="15" customHeight="1" x14ac:dyDescent="0.25">
      <c r="A7" s="84"/>
      <c r="B7" s="2">
        <v>45460</v>
      </c>
      <c r="C7" s="3">
        <v>2626440107</v>
      </c>
      <c r="D7" s="3">
        <v>8</v>
      </c>
      <c r="E7" s="19" t="s">
        <v>685</v>
      </c>
      <c r="F7" s="19" t="s">
        <v>720</v>
      </c>
      <c r="G7" s="10" t="s">
        <v>19</v>
      </c>
      <c r="H7" s="11">
        <v>2998</v>
      </c>
    </row>
    <row r="8" spans="1:8" ht="15" customHeight="1" x14ac:dyDescent="0.25">
      <c r="A8" s="84"/>
      <c r="B8" s="2">
        <v>45463</v>
      </c>
      <c r="C8" s="3">
        <v>1871267445</v>
      </c>
      <c r="D8" s="3">
        <v>8</v>
      </c>
      <c r="E8" s="19" t="s">
        <v>680</v>
      </c>
      <c r="F8" s="19" t="s">
        <v>721</v>
      </c>
      <c r="G8" s="10" t="s">
        <v>7</v>
      </c>
      <c r="H8" s="11">
        <v>2000</v>
      </c>
    </row>
    <row r="9" spans="1:8" ht="15" customHeight="1" x14ac:dyDescent="0.25">
      <c r="A9" s="84"/>
      <c r="B9" s="2">
        <v>45471</v>
      </c>
      <c r="C9" s="3">
        <v>4109845121</v>
      </c>
      <c r="D9" s="3">
        <v>8</v>
      </c>
      <c r="E9" s="19" t="s">
        <v>683</v>
      </c>
      <c r="F9" s="19" t="s">
        <v>722</v>
      </c>
      <c r="G9" s="10" t="s">
        <v>10</v>
      </c>
      <c r="H9" s="11">
        <v>2912</v>
      </c>
    </row>
    <row r="10" spans="1:8" ht="15.75" x14ac:dyDescent="0.25">
      <c r="A10" s="85"/>
      <c r="B10" s="13"/>
      <c r="C10" s="14"/>
      <c r="D10" s="14"/>
      <c r="E10" s="14" t="s">
        <v>5</v>
      </c>
      <c r="F10" s="15"/>
      <c r="G10" s="16"/>
      <c r="H10" s="23">
        <f>SUM(H3:H9)</f>
        <v>20450</v>
      </c>
    </row>
    <row r="28" spans="4:4" x14ac:dyDescent="0.25">
      <c r="D28" s="33"/>
    </row>
  </sheetData>
  <mergeCells count="8">
    <mergeCell ref="A1:A10"/>
    <mergeCell ref="G1:G2"/>
    <mergeCell ref="H1:H2"/>
    <mergeCell ref="B1:B2"/>
    <mergeCell ref="C1:C2"/>
    <mergeCell ref="D1:D2"/>
    <mergeCell ref="E1:E2"/>
    <mergeCell ref="F1:F2"/>
  </mergeCells>
  <pageMargins left="0.7" right="0.7" top="0.75" bottom="0.75" header="0.3" footer="0.3"/>
  <pageSetup paperSize="9" orientation="portrait" horizontalDpi="120" verticalDpi="72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146"/>
  <sheetViews>
    <sheetView topLeftCell="A126" workbookViewId="0">
      <selection activeCell="J144" sqref="J144"/>
    </sheetView>
  </sheetViews>
  <sheetFormatPr baseColWidth="10" defaultColWidth="9.140625" defaultRowHeight="15" x14ac:dyDescent="0.25"/>
  <cols>
    <col min="1" max="1" width="19.5703125" customWidth="1"/>
    <col min="2" max="2" width="14" bestFit="1" customWidth="1"/>
    <col min="3" max="3" width="17.42578125" customWidth="1"/>
    <col min="4" max="4" width="11" customWidth="1"/>
    <col min="5" max="5" width="32.42578125" bestFit="1" customWidth="1"/>
    <col min="6" max="6" width="51.7109375" style="1" bestFit="1" customWidth="1"/>
    <col min="7" max="7" width="16.140625" customWidth="1"/>
    <col min="8" max="8" width="14.28515625" bestFit="1" customWidth="1"/>
  </cols>
  <sheetData>
    <row r="1" spans="1:8" ht="15" customHeight="1" x14ac:dyDescent="0.25">
      <c r="A1" s="83" t="s">
        <v>37</v>
      </c>
      <c r="B1" s="72" t="s">
        <v>0</v>
      </c>
      <c r="C1" s="74" t="s">
        <v>1</v>
      </c>
      <c r="D1" s="74" t="s">
        <v>2</v>
      </c>
      <c r="E1" s="74" t="s">
        <v>3</v>
      </c>
      <c r="F1" s="74" t="s">
        <v>8</v>
      </c>
      <c r="G1" s="68" t="s">
        <v>4</v>
      </c>
      <c r="H1" s="70" t="s">
        <v>5</v>
      </c>
    </row>
    <row r="2" spans="1:8" ht="15" customHeight="1" x14ac:dyDescent="0.25">
      <c r="A2" s="84"/>
      <c r="B2" s="73"/>
      <c r="C2" s="75"/>
      <c r="D2" s="75"/>
      <c r="E2" s="75"/>
      <c r="F2" s="75"/>
      <c r="G2" s="69"/>
      <c r="H2" s="71"/>
    </row>
    <row r="3" spans="1:8" ht="20.100000000000001" customHeight="1" x14ac:dyDescent="0.25">
      <c r="A3" s="84"/>
      <c r="B3" s="2">
        <v>45300</v>
      </c>
      <c r="C3" s="3">
        <v>917458477</v>
      </c>
      <c r="D3" s="3">
        <v>1</v>
      </c>
      <c r="E3" s="4" t="s">
        <v>177</v>
      </c>
      <c r="F3" s="19" t="s">
        <v>80</v>
      </c>
      <c r="G3" s="10" t="s">
        <v>6</v>
      </c>
      <c r="H3" s="11">
        <v>535</v>
      </c>
    </row>
    <row r="4" spans="1:8" ht="20.100000000000001" customHeight="1" x14ac:dyDescent="0.25">
      <c r="A4" s="84"/>
      <c r="B4" s="2">
        <v>45300</v>
      </c>
      <c r="C4" s="3">
        <v>917458477</v>
      </c>
      <c r="D4" s="3">
        <v>1</v>
      </c>
      <c r="E4" s="4" t="s">
        <v>178</v>
      </c>
      <c r="F4" s="19" t="s">
        <v>80</v>
      </c>
      <c r="G4" s="10" t="s">
        <v>6</v>
      </c>
      <c r="H4" s="11">
        <v>535</v>
      </c>
    </row>
    <row r="5" spans="1:8" ht="20.100000000000001" customHeight="1" x14ac:dyDescent="0.25">
      <c r="A5" s="84"/>
      <c r="B5" s="2">
        <v>45300</v>
      </c>
      <c r="C5" s="3">
        <v>4234036202</v>
      </c>
      <c r="D5" s="3">
        <v>3</v>
      </c>
      <c r="E5" s="4" t="s">
        <v>179</v>
      </c>
      <c r="F5" s="19" t="s">
        <v>80</v>
      </c>
      <c r="G5" s="10" t="s">
        <v>7</v>
      </c>
      <c r="H5" s="11">
        <v>1605</v>
      </c>
    </row>
    <row r="6" spans="1:8" ht="20.100000000000001" customHeight="1" x14ac:dyDescent="0.25">
      <c r="A6" s="84"/>
      <c r="B6" s="2">
        <v>45301</v>
      </c>
      <c r="C6" s="3">
        <v>4269949891</v>
      </c>
      <c r="D6" s="3">
        <v>3</v>
      </c>
      <c r="E6" s="4" t="s">
        <v>114</v>
      </c>
      <c r="F6" s="19" t="s">
        <v>80</v>
      </c>
      <c r="G6" s="10" t="s">
        <v>10</v>
      </c>
      <c r="H6" s="11">
        <v>1605</v>
      </c>
    </row>
    <row r="7" spans="1:8" ht="20.100000000000001" customHeight="1" x14ac:dyDescent="0.25">
      <c r="A7" s="84"/>
      <c r="B7" s="2">
        <v>45302</v>
      </c>
      <c r="C7" s="3">
        <v>1706053159</v>
      </c>
      <c r="D7" s="3">
        <v>1</v>
      </c>
      <c r="E7" s="4" t="s">
        <v>94</v>
      </c>
      <c r="F7" s="19" t="s">
        <v>80</v>
      </c>
      <c r="G7" s="10" t="s">
        <v>7</v>
      </c>
      <c r="H7" s="11">
        <v>535</v>
      </c>
    </row>
    <row r="8" spans="1:8" ht="20.100000000000001" customHeight="1" x14ac:dyDescent="0.25">
      <c r="A8" s="84"/>
      <c r="B8" s="2">
        <v>45306</v>
      </c>
      <c r="C8" s="3">
        <v>1529234300</v>
      </c>
      <c r="D8" s="3">
        <v>1</v>
      </c>
      <c r="E8" s="4" t="s">
        <v>180</v>
      </c>
      <c r="F8" s="19" t="s">
        <v>80</v>
      </c>
      <c r="G8" s="10" t="s">
        <v>6</v>
      </c>
      <c r="H8" s="11">
        <v>535</v>
      </c>
    </row>
    <row r="9" spans="1:8" ht="20.100000000000001" customHeight="1" x14ac:dyDescent="0.25">
      <c r="A9" s="84"/>
      <c r="B9" s="2">
        <v>45306</v>
      </c>
      <c r="C9" s="3">
        <v>650068699</v>
      </c>
      <c r="D9" s="3">
        <v>1</v>
      </c>
      <c r="E9" s="4" t="s">
        <v>181</v>
      </c>
      <c r="F9" s="19" t="s">
        <v>80</v>
      </c>
      <c r="G9" s="10" t="s">
        <v>11</v>
      </c>
      <c r="H9" s="11">
        <v>535</v>
      </c>
    </row>
    <row r="10" spans="1:8" ht="20.100000000000001" customHeight="1" x14ac:dyDescent="0.25">
      <c r="A10" s="84"/>
      <c r="B10" s="2">
        <v>45306</v>
      </c>
      <c r="C10" s="3">
        <v>650068699</v>
      </c>
      <c r="D10" s="3">
        <v>1</v>
      </c>
      <c r="E10" s="4" t="s">
        <v>182</v>
      </c>
      <c r="F10" s="19" t="s">
        <v>80</v>
      </c>
      <c r="G10" s="10" t="s">
        <v>11</v>
      </c>
      <c r="H10" s="11">
        <v>535</v>
      </c>
    </row>
    <row r="11" spans="1:8" ht="20.100000000000001" customHeight="1" x14ac:dyDescent="0.25">
      <c r="A11" s="84"/>
      <c r="B11" s="2">
        <v>45310</v>
      </c>
      <c r="C11" s="3">
        <v>1306282846</v>
      </c>
      <c r="D11" s="3">
        <v>3</v>
      </c>
      <c r="E11" s="4" t="s">
        <v>183</v>
      </c>
      <c r="F11" s="19" t="s">
        <v>80</v>
      </c>
      <c r="G11" s="10" t="s">
        <v>19</v>
      </c>
      <c r="H11" s="11">
        <v>1605</v>
      </c>
    </row>
    <row r="12" spans="1:8" ht="20.100000000000001" customHeight="1" x14ac:dyDescent="0.25">
      <c r="A12" s="84"/>
      <c r="B12" s="2">
        <v>45310</v>
      </c>
      <c r="C12" s="3">
        <v>1306282846</v>
      </c>
      <c r="D12" s="3">
        <v>3</v>
      </c>
      <c r="E12" s="4" t="s">
        <v>143</v>
      </c>
      <c r="F12" s="19" t="s">
        <v>80</v>
      </c>
      <c r="G12" s="10" t="s">
        <v>19</v>
      </c>
      <c r="H12" s="11">
        <v>1605</v>
      </c>
    </row>
    <row r="13" spans="1:8" ht="20.100000000000001" customHeight="1" x14ac:dyDescent="0.25">
      <c r="A13" s="84"/>
      <c r="B13" s="2">
        <v>45315</v>
      </c>
      <c r="C13" s="3">
        <v>1995916393</v>
      </c>
      <c r="D13" s="3">
        <v>3</v>
      </c>
      <c r="E13" s="4" t="s">
        <v>123</v>
      </c>
      <c r="F13" s="19" t="s">
        <v>80</v>
      </c>
      <c r="G13" s="10" t="s">
        <v>7</v>
      </c>
      <c r="H13" s="11">
        <v>1605</v>
      </c>
    </row>
    <row r="14" spans="1:8" ht="20.100000000000001" customHeight="1" x14ac:dyDescent="0.25">
      <c r="A14" s="84"/>
      <c r="B14" s="2">
        <v>45316</v>
      </c>
      <c r="C14" s="3">
        <v>1235308280</v>
      </c>
      <c r="D14" s="3">
        <v>3</v>
      </c>
      <c r="E14" s="4" t="s">
        <v>184</v>
      </c>
      <c r="F14" s="19" t="s">
        <v>80</v>
      </c>
      <c r="G14" s="10" t="s">
        <v>6</v>
      </c>
      <c r="H14" s="11">
        <v>1605</v>
      </c>
    </row>
    <row r="15" spans="1:8" ht="20.100000000000001" customHeight="1" x14ac:dyDescent="0.25">
      <c r="A15" s="84"/>
      <c r="B15" s="2">
        <v>45323</v>
      </c>
      <c r="C15" s="3">
        <v>706495947</v>
      </c>
      <c r="D15" s="3">
        <v>3</v>
      </c>
      <c r="E15" s="4" t="s">
        <v>265</v>
      </c>
      <c r="F15" s="19" t="s">
        <v>266</v>
      </c>
      <c r="G15" s="10" t="s">
        <v>19</v>
      </c>
      <c r="H15" s="11">
        <v>1605</v>
      </c>
    </row>
    <row r="16" spans="1:8" ht="20.100000000000001" customHeight="1" x14ac:dyDescent="0.25">
      <c r="A16" s="84"/>
      <c r="B16" s="2">
        <v>45323</v>
      </c>
      <c r="C16" s="3">
        <v>165691819</v>
      </c>
      <c r="D16" s="3">
        <v>1</v>
      </c>
      <c r="E16" s="4" t="s">
        <v>254</v>
      </c>
      <c r="F16" s="19" t="s">
        <v>266</v>
      </c>
      <c r="G16" s="10" t="s">
        <v>13</v>
      </c>
      <c r="H16" s="11">
        <v>376</v>
      </c>
    </row>
    <row r="17" spans="1:8" ht="20.100000000000001" customHeight="1" x14ac:dyDescent="0.25">
      <c r="A17" s="84"/>
      <c r="B17" s="2">
        <v>45328</v>
      </c>
      <c r="C17" s="3">
        <v>4099755301</v>
      </c>
      <c r="D17" s="3">
        <v>1</v>
      </c>
      <c r="E17" s="4" t="s">
        <v>264</v>
      </c>
      <c r="F17" s="19" t="s">
        <v>266</v>
      </c>
      <c r="G17" s="10" t="s">
        <v>6</v>
      </c>
      <c r="H17" s="11">
        <v>535</v>
      </c>
    </row>
    <row r="18" spans="1:8" ht="20.100000000000001" customHeight="1" x14ac:dyDescent="0.25">
      <c r="A18" s="84"/>
      <c r="B18" s="2">
        <v>45328</v>
      </c>
      <c r="C18" s="3">
        <v>661602431</v>
      </c>
      <c r="D18" s="3">
        <v>3</v>
      </c>
      <c r="E18" s="4" t="s">
        <v>267</v>
      </c>
      <c r="F18" s="19" t="s">
        <v>266</v>
      </c>
      <c r="G18" s="10" t="s">
        <v>10</v>
      </c>
      <c r="H18" s="11">
        <v>1605</v>
      </c>
    </row>
    <row r="19" spans="1:8" ht="20.100000000000001" customHeight="1" x14ac:dyDescent="0.25">
      <c r="A19" s="84"/>
      <c r="B19" s="2">
        <v>45329</v>
      </c>
      <c r="C19" s="3">
        <v>3749792411</v>
      </c>
      <c r="D19" s="3">
        <v>3</v>
      </c>
      <c r="E19" s="4" t="s">
        <v>246</v>
      </c>
      <c r="F19" s="19" t="s">
        <v>266</v>
      </c>
      <c r="G19" s="10" t="s">
        <v>7</v>
      </c>
      <c r="H19" s="11">
        <v>1605</v>
      </c>
    </row>
    <row r="20" spans="1:8" ht="15.75" x14ac:dyDescent="0.25">
      <c r="A20" s="84"/>
      <c r="B20" s="2">
        <v>45331</v>
      </c>
      <c r="C20" s="3">
        <v>2752728684</v>
      </c>
      <c r="D20" s="3">
        <v>3</v>
      </c>
      <c r="E20" s="4" t="s">
        <v>268</v>
      </c>
      <c r="F20" s="19" t="s">
        <v>266</v>
      </c>
      <c r="G20" s="10" t="s">
        <v>7</v>
      </c>
      <c r="H20" s="11">
        <v>1605</v>
      </c>
    </row>
    <row r="21" spans="1:8" ht="15.75" x14ac:dyDescent="0.25">
      <c r="A21" s="84"/>
      <c r="B21" s="2">
        <v>45334</v>
      </c>
      <c r="C21" s="3">
        <v>3163898577</v>
      </c>
      <c r="D21" s="3">
        <v>3</v>
      </c>
      <c r="E21" s="4" t="s">
        <v>103</v>
      </c>
      <c r="F21" s="19" t="s">
        <v>266</v>
      </c>
      <c r="G21" s="10" t="s">
        <v>6</v>
      </c>
      <c r="H21" s="11">
        <v>1605</v>
      </c>
    </row>
    <row r="22" spans="1:8" ht="15.75" x14ac:dyDescent="0.25">
      <c r="A22" s="84"/>
      <c r="B22" s="2">
        <v>45337</v>
      </c>
      <c r="C22" s="3">
        <v>4088024031</v>
      </c>
      <c r="D22" s="3">
        <v>3</v>
      </c>
      <c r="E22" s="4" t="s">
        <v>269</v>
      </c>
      <c r="F22" s="19" t="s">
        <v>266</v>
      </c>
      <c r="G22" s="10" t="s">
        <v>7</v>
      </c>
      <c r="H22" s="11">
        <v>1605</v>
      </c>
    </row>
    <row r="23" spans="1:8" ht="20.100000000000001" customHeight="1" x14ac:dyDescent="0.25">
      <c r="A23" s="84"/>
      <c r="B23" s="2">
        <v>45341</v>
      </c>
      <c r="C23" s="3">
        <v>2271824150</v>
      </c>
      <c r="D23" s="3">
        <v>3</v>
      </c>
      <c r="E23" s="4" t="s">
        <v>270</v>
      </c>
      <c r="F23" s="19" t="s">
        <v>266</v>
      </c>
      <c r="G23" s="10" t="s">
        <v>7</v>
      </c>
      <c r="H23" s="11">
        <v>1605</v>
      </c>
    </row>
    <row r="24" spans="1:8" ht="20.100000000000001" customHeight="1" x14ac:dyDescent="0.25">
      <c r="A24" s="84"/>
      <c r="B24" s="2">
        <v>45341</v>
      </c>
      <c r="C24" s="3">
        <v>3320006423</v>
      </c>
      <c r="D24" s="3">
        <v>1</v>
      </c>
      <c r="E24" s="4" t="s">
        <v>219</v>
      </c>
      <c r="F24" s="19" t="s">
        <v>266</v>
      </c>
      <c r="G24" s="10" t="s">
        <v>6</v>
      </c>
      <c r="H24" s="11">
        <v>635</v>
      </c>
    </row>
    <row r="25" spans="1:8" ht="20.100000000000001" customHeight="1" x14ac:dyDescent="0.25">
      <c r="A25" s="84"/>
      <c r="B25" s="2">
        <v>45349</v>
      </c>
      <c r="C25" s="3">
        <v>3872149318</v>
      </c>
      <c r="D25" s="3">
        <v>1</v>
      </c>
      <c r="E25" s="4" t="s">
        <v>271</v>
      </c>
      <c r="F25" s="19" t="s">
        <v>266</v>
      </c>
      <c r="G25" s="10" t="s">
        <v>7</v>
      </c>
      <c r="H25" s="11">
        <v>535</v>
      </c>
    </row>
    <row r="26" spans="1:8" ht="20.100000000000001" customHeight="1" x14ac:dyDescent="0.25">
      <c r="A26" s="84"/>
      <c r="B26" s="2">
        <v>45355</v>
      </c>
      <c r="C26" s="3">
        <v>1405176394</v>
      </c>
      <c r="D26" s="3">
        <v>3</v>
      </c>
      <c r="E26" s="4" t="s">
        <v>264</v>
      </c>
      <c r="F26" s="19" t="s">
        <v>80</v>
      </c>
      <c r="G26" s="10" t="s">
        <v>7</v>
      </c>
      <c r="H26" s="11">
        <v>1605</v>
      </c>
    </row>
    <row r="27" spans="1:8" ht="20.100000000000001" customHeight="1" x14ac:dyDescent="0.25">
      <c r="A27" s="84"/>
      <c r="B27" s="2">
        <v>45356</v>
      </c>
      <c r="C27" s="3">
        <v>3577759707</v>
      </c>
      <c r="D27" s="3">
        <v>3</v>
      </c>
      <c r="E27" s="4" t="s">
        <v>344</v>
      </c>
      <c r="F27" s="19" t="s">
        <v>80</v>
      </c>
      <c r="G27" s="10" t="s">
        <v>10</v>
      </c>
      <c r="H27" s="11">
        <v>1605</v>
      </c>
    </row>
    <row r="28" spans="1:8" ht="20.100000000000001" customHeight="1" x14ac:dyDescent="0.25">
      <c r="A28" s="84"/>
      <c r="B28" s="2">
        <v>45356</v>
      </c>
      <c r="C28" s="3">
        <v>993742783</v>
      </c>
      <c r="D28" s="3">
        <v>3</v>
      </c>
      <c r="E28" s="4" t="s">
        <v>348</v>
      </c>
      <c r="F28" s="19" t="s">
        <v>80</v>
      </c>
      <c r="G28" s="10" t="s">
        <v>6</v>
      </c>
      <c r="H28" s="11">
        <v>1605</v>
      </c>
    </row>
    <row r="29" spans="1:8" ht="20.100000000000001" customHeight="1" x14ac:dyDescent="0.25">
      <c r="A29" s="84"/>
      <c r="B29" s="2">
        <v>45364</v>
      </c>
      <c r="C29" s="3">
        <v>2314817074</v>
      </c>
      <c r="D29" s="3">
        <v>1</v>
      </c>
      <c r="E29" s="4" t="s">
        <v>349</v>
      </c>
      <c r="F29" s="19" t="s">
        <v>80</v>
      </c>
      <c r="G29" s="10" t="s">
        <v>7</v>
      </c>
      <c r="H29" s="11">
        <v>535</v>
      </c>
    </row>
    <row r="30" spans="1:8" ht="20.100000000000001" customHeight="1" x14ac:dyDescent="0.25">
      <c r="A30" s="84"/>
      <c r="B30" s="2">
        <v>45370</v>
      </c>
      <c r="C30" s="3">
        <v>2318156781</v>
      </c>
      <c r="D30" s="3">
        <v>1</v>
      </c>
      <c r="E30" s="4" t="s">
        <v>350</v>
      </c>
      <c r="F30" s="19" t="s">
        <v>80</v>
      </c>
      <c r="G30" s="10" t="s">
        <v>11</v>
      </c>
      <c r="H30" s="11">
        <v>535</v>
      </c>
    </row>
    <row r="31" spans="1:8" ht="20.100000000000001" customHeight="1" x14ac:dyDescent="0.25">
      <c r="A31" s="84"/>
      <c r="B31" s="2">
        <v>45380</v>
      </c>
      <c r="C31" s="3">
        <v>1403798022</v>
      </c>
      <c r="D31" s="3">
        <v>1</v>
      </c>
      <c r="E31" s="4" t="s">
        <v>351</v>
      </c>
      <c r="F31" s="19" t="s">
        <v>80</v>
      </c>
      <c r="G31" s="10" t="s">
        <v>10</v>
      </c>
      <c r="H31" s="11">
        <v>400</v>
      </c>
    </row>
    <row r="32" spans="1:8" ht="20.100000000000001" customHeight="1" x14ac:dyDescent="0.25">
      <c r="A32" s="84"/>
      <c r="B32" s="2">
        <v>45383</v>
      </c>
      <c r="C32" s="3">
        <v>1597392214</v>
      </c>
      <c r="D32" s="3">
        <v>3</v>
      </c>
      <c r="E32" s="4" t="s">
        <v>528</v>
      </c>
      <c r="F32" s="19" t="s">
        <v>80</v>
      </c>
      <c r="G32" s="10" t="s">
        <v>7</v>
      </c>
      <c r="H32" s="11">
        <v>1605</v>
      </c>
    </row>
    <row r="33" spans="1:8" ht="20.100000000000001" customHeight="1" x14ac:dyDescent="0.25">
      <c r="A33" s="84"/>
      <c r="B33" s="2">
        <v>45384</v>
      </c>
      <c r="C33" s="3">
        <v>173884984</v>
      </c>
      <c r="D33" s="3">
        <v>1</v>
      </c>
      <c r="E33" s="4" t="s">
        <v>457</v>
      </c>
      <c r="F33" s="19" t="s">
        <v>80</v>
      </c>
      <c r="G33" s="10" t="s">
        <v>7</v>
      </c>
      <c r="H33" s="11">
        <v>535</v>
      </c>
    </row>
    <row r="34" spans="1:8" ht="20.100000000000001" customHeight="1" x14ac:dyDescent="0.25">
      <c r="A34" s="84"/>
      <c r="B34" s="2">
        <v>45385</v>
      </c>
      <c r="C34" s="3">
        <v>2392803424</v>
      </c>
      <c r="D34" s="3">
        <v>1</v>
      </c>
      <c r="E34" s="4" t="s">
        <v>513</v>
      </c>
      <c r="F34" s="19" t="s">
        <v>80</v>
      </c>
      <c r="G34" s="10" t="s">
        <v>10</v>
      </c>
      <c r="H34" s="11">
        <v>535</v>
      </c>
    </row>
    <row r="35" spans="1:8" ht="20.100000000000001" customHeight="1" x14ac:dyDescent="0.25">
      <c r="A35" s="84"/>
      <c r="B35" s="2">
        <v>45385</v>
      </c>
      <c r="C35" s="3">
        <v>3584901519</v>
      </c>
      <c r="D35" s="3">
        <v>2</v>
      </c>
      <c r="E35" s="4" t="s">
        <v>532</v>
      </c>
      <c r="F35" s="19" t="s">
        <v>80</v>
      </c>
      <c r="G35" s="10" t="s">
        <v>7</v>
      </c>
      <c r="H35" s="11">
        <v>1070</v>
      </c>
    </row>
    <row r="36" spans="1:8" ht="20.100000000000001" customHeight="1" x14ac:dyDescent="0.25">
      <c r="A36" s="84"/>
      <c r="B36" s="2">
        <v>45386</v>
      </c>
      <c r="C36" s="3">
        <v>3197715072</v>
      </c>
      <c r="D36" s="3">
        <v>1</v>
      </c>
      <c r="E36" s="4" t="s">
        <v>533</v>
      </c>
      <c r="F36" s="19" t="s">
        <v>80</v>
      </c>
      <c r="G36" s="10" t="s">
        <v>11</v>
      </c>
      <c r="H36" s="11">
        <v>535</v>
      </c>
    </row>
    <row r="37" spans="1:8" ht="20.100000000000001" customHeight="1" x14ac:dyDescent="0.25">
      <c r="A37" s="84"/>
      <c r="B37" s="2">
        <v>45387</v>
      </c>
      <c r="C37" s="3">
        <v>1457213430</v>
      </c>
      <c r="D37" s="3">
        <v>3</v>
      </c>
      <c r="E37" s="4" t="s">
        <v>461</v>
      </c>
      <c r="F37" s="19" t="s">
        <v>80</v>
      </c>
      <c r="G37" s="10" t="s">
        <v>7</v>
      </c>
      <c r="H37" s="11">
        <v>1605</v>
      </c>
    </row>
    <row r="38" spans="1:8" ht="20.100000000000001" customHeight="1" x14ac:dyDescent="0.25">
      <c r="A38" s="84"/>
      <c r="B38" s="2">
        <v>45391</v>
      </c>
      <c r="C38" s="3">
        <v>564873410</v>
      </c>
      <c r="D38" s="3">
        <v>1</v>
      </c>
      <c r="E38" s="4" t="s">
        <v>515</v>
      </c>
      <c r="F38" s="19" t="s">
        <v>80</v>
      </c>
      <c r="G38" s="10" t="s">
        <v>7</v>
      </c>
      <c r="H38" s="11">
        <v>535</v>
      </c>
    </row>
    <row r="39" spans="1:8" ht="20.100000000000001" customHeight="1" x14ac:dyDescent="0.25">
      <c r="A39" s="84"/>
      <c r="B39" s="2">
        <v>45393</v>
      </c>
      <c r="C39" s="3">
        <v>3846786169</v>
      </c>
      <c r="D39" s="3">
        <v>1</v>
      </c>
      <c r="E39" s="4" t="s">
        <v>516</v>
      </c>
      <c r="F39" s="19" t="s">
        <v>80</v>
      </c>
      <c r="G39" s="10" t="s">
        <v>13</v>
      </c>
      <c r="H39" s="11">
        <v>376</v>
      </c>
    </row>
    <row r="40" spans="1:8" ht="20.100000000000001" customHeight="1" x14ac:dyDescent="0.25">
      <c r="A40" s="84"/>
      <c r="B40" s="2">
        <v>45394</v>
      </c>
      <c r="C40" s="3">
        <v>80545614</v>
      </c>
      <c r="D40" s="3">
        <v>4</v>
      </c>
      <c r="E40" s="4" t="s">
        <v>417</v>
      </c>
      <c r="F40" s="19" t="s">
        <v>80</v>
      </c>
      <c r="G40" s="10" t="s">
        <v>7</v>
      </c>
      <c r="H40" s="11">
        <v>2140</v>
      </c>
    </row>
    <row r="41" spans="1:8" ht="20.100000000000001" customHeight="1" x14ac:dyDescent="0.25">
      <c r="A41" s="84"/>
      <c r="B41" s="2">
        <v>45399</v>
      </c>
      <c r="C41" s="3">
        <v>2952613093</v>
      </c>
      <c r="D41" s="3">
        <v>1</v>
      </c>
      <c r="E41" s="4" t="s">
        <v>519</v>
      </c>
      <c r="F41" s="19" t="s">
        <v>80</v>
      </c>
      <c r="G41" s="10" t="s">
        <v>7</v>
      </c>
      <c r="H41" s="11">
        <v>535</v>
      </c>
    </row>
    <row r="42" spans="1:8" ht="20.100000000000001" customHeight="1" x14ac:dyDescent="0.25">
      <c r="A42" s="84"/>
      <c r="B42" s="2">
        <v>45400</v>
      </c>
      <c r="C42" s="3">
        <v>3909632328</v>
      </c>
      <c r="D42" s="3">
        <v>1</v>
      </c>
      <c r="E42" s="4" t="s">
        <v>534</v>
      </c>
      <c r="F42" s="19" t="s">
        <v>80</v>
      </c>
      <c r="G42" s="10" t="s">
        <v>6</v>
      </c>
      <c r="H42" s="11">
        <v>535</v>
      </c>
    </row>
    <row r="43" spans="1:8" ht="20.100000000000001" customHeight="1" x14ac:dyDescent="0.25">
      <c r="A43" s="84"/>
      <c r="B43" s="2">
        <v>45400</v>
      </c>
      <c r="C43" s="3">
        <v>1558597325</v>
      </c>
      <c r="D43" s="3">
        <v>3</v>
      </c>
      <c r="E43" s="4" t="s">
        <v>535</v>
      </c>
      <c r="F43" s="19" t="s">
        <v>80</v>
      </c>
      <c r="G43" s="10" t="s">
        <v>6</v>
      </c>
      <c r="H43" s="11">
        <v>1605</v>
      </c>
    </row>
    <row r="44" spans="1:8" ht="20.100000000000001" customHeight="1" x14ac:dyDescent="0.25">
      <c r="A44" s="84"/>
      <c r="B44" s="2">
        <v>45400</v>
      </c>
      <c r="C44" s="3">
        <v>909198217</v>
      </c>
      <c r="D44" s="3">
        <v>1</v>
      </c>
      <c r="E44" s="4" t="s">
        <v>536</v>
      </c>
      <c r="F44" s="19" t="s">
        <v>80</v>
      </c>
      <c r="G44" s="10" t="s">
        <v>6</v>
      </c>
      <c r="H44" s="11">
        <v>535</v>
      </c>
    </row>
    <row r="45" spans="1:8" ht="20.100000000000001" customHeight="1" x14ac:dyDescent="0.25">
      <c r="A45" s="84"/>
      <c r="B45" s="2">
        <v>45400</v>
      </c>
      <c r="C45" s="3">
        <v>909198217</v>
      </c>
      <c r="D45" s="3">
        <v>1</v>
      </c>
      <c r="E45" s="4" t="s">
        <v>537</v>
      </c>
      <c r="F45" s="19" t="s">
        <v>80</v>
      </c>
      <c r="G45" s="10" t="s">
        <v>6</v>
      </c>
      <c r="H45" s="11">
        <v>535</v>
      </c>
    </row>
    <row r="46" spans="1:8" ht="20.100000000000001" customHeight="1" x14ac:dyDescent="0.25">
      <c r="A46" s="84"/>
      <c r="B46" s="2">
        <v>45400</v>
      </c>
      <c r="C46" s="3">
        <v>909198217</v>
      </c>
      <c r="D46" s="3">
        <v>1</v>
      </c>
      <c r="E46" s="4" t="s">
        <v>538</v>
      </c>
      <c r="F46" s="19" t="s">
        <v>80</v>
      </c>
      <c r="G46" s="10" t="s">
        <v>6</v>
      </c>
      <c r="H46" s="11">
        <v>535</v>
      </c>
    </row>
    <row r="47" spans="1:8" ht="20.100000000000001" customHeight="1" x14ac:dyDescent="0.25">
      <c r="A47" s="84"/>
      <c r="B47" s="2">
        <v>45400</v>
      </c>
      <c r="C47" s="3">
        <v>909198217</v>
      </c>
      <c r="D47" s="3">
        <v>1</v>
      </c>
      <c r="E47" s="4" t="s">
        <v>181</v>
      </c>
      <c r="F47" s="19" t="s">
        <v>80</v>
      </c>
      <c r="G47" s="10" t="s">
        <v>6</v>
      </c>
      <c r="H47" s="11">
        <v>535</v>
      </c>
    </row>
    <row r="48" spans="1:8" ht="20.100000000000001" customHeight="1" x14ac:dyDescent="0.25">
      <c r="A48" s="84"/>
      <c r="B48" s="2">
        <v>45400</v>
      </c>
      <c r="C48" s="3">
        <v>2878947999</v>
      </c>
      <c r="D48" s="3">
        <v>3</v>
      </c>
      <c r="E48" s="4" t="s">
        <v>468</v>
      </c>
      <c r="F48" s="19" t="s">
        <v>80</v>
      </c>
      <c r="G48" s="10" t="s">
        <v>7</v>
      </c>
      <c r="H48" s="11">
        <v>1605</v>
      </c>
    </row>
    <row r="49" spans="1:8" ht="20.100000000000001" customHeight="1" x14ac:dyDescent="0.25">
      <c r="A49" s="84"/>
      <c r="B49" s="2">
        <v>45404</v>
      </c>
      <c r="C49" s="3">
        <v>2065975418</v>
      </c>
      <c r="D49" s="3">
        <v>2</v>
      </c>
      <c r="E49" s="4" t="s">
        <v>264</v>
      </c>
      <c r="F49" s="19" t="s">
        <v>80</v>
      </c>
      <c r="G49" s="10" t="s">
        <v>7</v>
      </c>
      <c r="H49" s="11">
        <v>1070</v>
      </c>
    </row>
    <row r="50" spans="1:8" ht="20.100000000000001" customHeight="1" x14ac:dyDescent="0.25">
      <c r="A50" s="84"/>
      <c r="B50" s="2">
        <v>45405</v>
      </c>
      <c r="C50" s="3">
        <v>3669642048</v>
      </c>
      <c r="D50" s="3">
        <v>3</v>
      </c>
      <c r="E50" s="4" t="s">
        <v>539</v>
      </c>
      <c r="F50" s="19" t="s">
        <v>80</v>
      </c>
      <c r="G50" s="10" t="s">
        <v>7</v>
      </c>
      <c r="H50" s="11">
        <v>1605</v>
      </c>
    </row>
    <row r="51" spans="1:8" ht="20.100000000000001" customHeight="1" x14ac:dyDescent="0.25">
      <c r="A51" s="84"/>
      <c r="B51" s="2">
        <v>45425</v>
      </c>
      <c r="C51" s="3">
        <v>226443405</v>
      </c>
      <c r="D51" s="3">
        <v>3</v>
      </c>
      <c r="E51" s="19" t="s">
        <v>86</v>
      </c>
      <c r="F51" s="19" t="s">
        <v>80</v>
      </c>
      <c r="G51" s="10" t="s">
        <v>10</v>
      </c>
      <c r="H51" s="11">
        <v>1605</v>
      </c>
    </row>
    <row r="52" spans="1:8" ht="20.100000000000001" customHeight="1" x14ac:dyDescent="0.25">
      <c r="A52" s="84"/>
      <c r="B52" s="2">
        <v>45436</v>
      </c>
      <c r="C52" s="3">
        <v>719471508</v>
      </c>
      <c r="D52" s="3">
        <v>3</v>
      </c>
      <c r="E52" s="19" t="s">
        <v>625</v>
      </c>
      <c r="F52" s="19" t="s">
        <v>80</v>
      </c>
      <c r="G52" s="10" t="s">
        <v>7</v>
      </c>
      <c r="H52" s="11">
        <v>1605</v>
      </c>
    </row>
    <row r="53" spans="1:8" ht="20.100000000000001" customHeight="1" x14ac:dyDescent="0.25">
      <c r="A53" s="84"/>
      <c r="B53" s="2">
        <v>45436</v>
      </c>
      <c r="C53" s="3">
        <v>341131478</v>
      </c>
      <c r="D53" s="3">
        <v>2</v>
      </c>
      <c r="E53" s="19" t="s">
        <v>633</v>
      </c>
      <c r="F53" s="19" t="s">
        <v>80</v>
      </c>
      <c r="G53" s="10" t="s">
        <v>7</v>
      </c>
      <c r="H53" s="11">
        <v>1070</v>
      </c>
    </row>
    <row r="54" spans="1:8" ht="20.100000000000001" customHeight="1" x14ac:dyDescent="0.25">
      <c r="A54" s="84"/>
      <c r="B54" s="2">
        <v>45440</v>
      </c>
      <c r="C54" s="3">
        <v>1113145505</v>
      </c>
      <c r="D54" s="3">
        <v>1</v>
      </c>
      <c r="E54" s="4" t="s">
        <v>516</v>
      </c>
      <c r="F54" s="19" t="s">
        <v>80</v>
      </c>
      <c r="G54" s="10" t="s">
        <v>13</v>
      </c>
      <c r="H54" s="11">
        <v>376</v>
      </c>
    </row>
    <row r="55" spans="1:8" ht="20.100000000000001" customHeight="1" x14ac:dyDescent="0.25">
      <c r="A55" s="84"/>
      <c r="B55" s="2">
        <v>45442</v>
      </c>
      <c r="C55" s="3">
        <v>3027976559</v>
      </c>
      <c r="D55" s="3">
        <v>3</v>
      </c>
      <c r="E55" s="19" t="s">
        <v>524</v>
      </c>
      <c r="F55" s="19" t="s">
        <v>80</v>
      </c>
      <c r="G55" s="10" t="s">
        <v>19</v>
      </c>
      <c r="H55" s="11">
        <v>1605</v>
      </c>
    </row>
    <row r="56" spans="1:8" ht="20.100000000000001" customHeight="1" x14ac:dyDescent="0.25">
      <c r="A56" s="84"/>
      <c r="B56" s="2">
        <v>45442</v>
      </c>
      <c r="C56" s="3">
        <v>3027976559</v>
      </c>
      <c r="D56" s="3">
        <v>3</v>
      </c>
      <c r="E56" s="4" t="s">
        <v>525</v>
      </c>
      <c r="F56" s="19" t="s">
        <v>80</v>
      </c>
      <c r="G56" s="10" t="s">
        <v>19</v>
      </c>
      <c r="H56" s="11">
        <v>1605</v>
      </c>
    </row>
    <row r="57" spans="1:8" ht="20.100000000000001" customHeight="1" x14ac:dyDescent="0.25">
      <c r="A57" s="84"/>
      <c r="B57" s="2">
        <v>45446</v>
      </c>
      <c r="C57" s="3">
        <v>1174095299</v>
      </c>
      <c r="D57" s="3">
        <v>3</v>
      </c>
      <c r="E57" s="19" t="s">
        <v>723</v>
      </c>
      <c r="F57" s="19" t="s">
        <v>80</v>
      </c>
      <c r="G57" s="10" t="s">
        <v>7</v>
      </c>
      <c r="H57" s="11">
        <v>1605</v>
      </c>
    </row>
    <row r="58" spans="1:8" ht="20.100000000000001" customHeight="1" x14ac:dyDescent="0.25">
      <c r="A58" s="84"/>
      <c r="B58" s="2">
        <v>45447</v>
      </c>
      <c r="C58" s="3">
        <v>131485478</v>
      </c>
      <c r="D58" s="3">
        <v>3</v>
      </c>
      <c r="E58" s="19" t="s">
        <v>457</v>
      </c>
      <c r="F58" s="19" t="s">
        <v>80</v>
      </c>
      <c r="G58" s="10" t="s">
        <v>7</v>
      </c>
      <c r="H58" s="11">
        <v>1605</v>
      </c>
    </row>
    <row r="59" spans="1:8" ht="20.100000000000001" customHeight="1" x14ac:dyDescent="0.25">
      <c r="A59" s="84"/>
      <c r="B59" s="2">
        <v>45447</v>
      </c>
      <c r="C59" s="3">
        <v>181028285</v>
      </c>
      <c r="D59" s="3">
        <v>1</v>
      </c>
      <c r="E59" s="19" t="s">
        <v>724</v>
      </c>
      <c r="F59" s="19" t="s">
        <v>80</v>
      </c>
      <c r="G59" s="10" t="s">
        <v>7</v>
      </c>
      <c r="H59" s="11">
        <v>535</v>
      </c>
    </row>
    <row r="60" spans="1:8" ht="20.100000000000001" customHeight="1" x14ac:dyDescent="0.25">
      <c r="A60" s="84"/>
      <c r="B60" s="2">
        <v>45448</v>
      </c>
      <c r="C60" s="3">
        <v>2874427546</v>
      </c>
      <c r="D60" s="3">
        <v>1</v>
      </c>
      <c r="E60" s="19" t="s">
        <v>725</v>
      </c>
      <c r="F60" s="19" t="s">
        <v>80</v>
      </c>
      <c r="G60" s="10" t="s">
        <v>19</v>
      </c>
      <c r="H60" s="11">
        <v>535</v>
      </c>
    </row>
    <row r="61" spans="1:8" ht="20.100000000000001" customHeight="1" x14ac:dyDescent="0.25">
      <c r="A61" s="84"/>
      <c r="B61" s="2">
        <v>45448</v>
      </c>
      <c r="C61" s="3">
        <v>703480937</v>
      </c>
      <c r="D61" s="3">
        <v>3</v>
      </c>
      <c r="E61" s="19" t="s">
        <v>726</v>
      </c>
      <c r="F61" s="19" t="s">
        <v>80</v>
      </c>
      <c r="G61" s="10" t="s">
        <v>19</v>
      </c>
      <c r="H61" s="11">
        <v>1605</v>
      </c>
    </row>
    <row r="62" spans="1:8" ht="20.100000000000001" customHeight="1" x14ac:dyDescent="0.25">
      <c r="A62" s="84"/>
      <c r="B62" s="2">
        <v>45448</v>
      </c>
      <c r="C62" s="3">
        <v>3278523970</v>
      </c>
      <c r="D62" s="3">
        <v>1</v>
      </c>
      <c r="E62" s="19" t="s">
        <v>727</v>
      </c>
      <c r="F62" s="19" t="s">
        <v>80</v>
      </c>
      <c r="G62" s="10" t="s">
        <v>6</v>
      </c>
      <c r="H62" s="11">
        <v>535</v>
      </c>
    </row>
    <row r="63" spans="1:8" ht="20.100000000000001" customHeight="1" x14ac:dyDescent="0.25">
      <c r="A63" s="84"/>
      <c r="B63" s="2">
        <v>45455</v>
      </c>
      <c r="C63" s="3">
        <v>3743762547</v>
      </c>
      <c r="D63" s="3">
        <v>3</v>
      </c>
      <c r="E63" s="19" t="s">
        <v>728</v>
      </c>
      <c r="F63" s="19" t="s">
        <v>80</v>
      </c>
      <c r="G63" s="10" t="s">
        <v>7</v>
      </c>
      <c r="H63" s="11">
        <v>1605</v>
      </c>
    </row>
    <row r="64" spans="1:8" ht="20.100000000000001" customHeight="1" x14ac:dyDescent="0.25">
      <c r="A64" s="84"/>
      <c r="B64" s="2">
        <v>45455</v>
      </c>
      <c r="C64" s="3">
        <v>3743762547</v>
      </c>
      <c r="D64" s="3">
        <v>3</v>
      </c>
      <c r="E64" s="19" t="s">
        <v>729</v>
      </c>
      <c r="F64" s="19" t="s">
        <v>80</v>
      </c>
      <c r="G64" s="10" t="s">
        <v>7</v>
      </c>
      <c r="H64" s="11">
        <v>1605</v>
      </c>
    </row>
    <row r="65" spans="1:8" ht="20.100000000000001" customHeight="1" x14ac:dyDescent="0.25">
      <c r="A65" s="84"/>
      <c r="B65" s="2">
        <v>45460</v>
      </c>
      <c r="C65" s="3">
        <v>2626440107</v>
      </c>
      <c r="D65" s="3">
        <v>3</v>
      </c>
      <c r="E65" s="19" t="s">
        <v>685</v>
      </c>
      <c r="F65" s="19" t="s">
        <v>80</v>
      </c>
      <c r="G65" s="10" t="s">
        <v>19</v>
      </c>
      <c r="H65" s="11">
        <v>1605</v>
      </c>
    </row>
    <row r="66" spans="1:8" ht="20.100000000000001" customHeight="1" x14ac:dyDescent="0.25">
      <c r="A66" s="84"/>
      <c r="B66" s="2">
        <v>45463</v>
      </c>
      <c r="C66" s="3">
        <v>2081443783</v>
      </c>
      <c r="D66" s="3">
        <v>3</v>
      </c>
      <c r="E66" s="19" t="s">
        <v>179</v>
      </c>
      <c r="F66" s="19" t="s">
        <v>80</v>
      </c>
      <c r="G66" s="10" t="s">
        <v>7</v>
      </c>
      <c r="H66" s="11">
        <v>1605</v>
      </c>
    </row>
    <row r="67" spans="1:8" ht="20.100000000000001" customHeight="1" x14ac:dyDescent="0.25">
      <c r="A67" s="84"/>
      <c r="B67" s="2">
        <v>45470</v>
      </c>
      <c r="C67" s="3">
        <v>1910654124</v>
      </c>
      <c r="D67" s="3">
        <v>3</v>
      </c>
      <c r="E67" s="19" t="s">
        <v>716</v>
      </c>
      <c r="F67" s="19" t="s">
        <v>80</v>
      </c>
      <c r="G67" s="10" t="s">
        <v>7</v>
      </c>
      <c r="H67" s="11">
        <v>1605</v>
      </c>
    </row>
    <row r="68" spans="1:8" ht="20.100000000000001" customHeight="1" x14ac:dyDescent="0.25">
      <c r="A68" s="84"/>
      <c r="B68" s="2">
        <v>45471</v>
      </c>
      <c r="C68" s="3">
        <v>2240171626</v>
      </c>
      <c r="D68" s="3">
        <v>2</v>
      </c>
      <c r="E68" s="19" t="s">
        <v>202</v>
      </c>
      <c r="F68" s="19" t="s">
        <v>730</v>
      </c>
      <c r="G68" s="10" t="s">
        <v>11</v>
      </c>
      <c r="H68" s="11">
        <v>1000</v>
      </c>
    </row>
    <row r="69" spans="1:8" ht="20.100000000000001" customHeight="1" x14ac:dyDescent="0.25">
      <c r="A69" s="84"/>
      <c r="B69" s="2">
        <v>45471</v>
      </c>
      <c r="C69" s="3">
        <v>2240171626</v>
      </c>
      <c r="D69" s="3">
        <v>1</v>
      </c>
      <c r="E69" s="19" t="s">
        <v>202</v>
      </c>
      <c r="F69" s="19" t="s">
        <v>731</v>
      </c>
      <c r="G69" s="10" t="s">
        <v>6</v>
      </c>
      <c r="H69" s="11">
        <v>70</v>
      </c>
    </row>
    <row r="70" spans="1:8" ht="20.100000000000001" customHeight="1" x14ac:dyDescent="0.25">
      <c r="A70" s="84"/>
      <c r="B70" s="2">
        <v>45475</v>
      </c>
      <c r="C70" s="3">
        <v>2523483896</v>
      </c>
      <c r="D70" s="3">
        <v>3</v>
      </c>
      <c r="E70" s="4" t="s">
        <v>799</v>
      </c>
      <c r="F70" s="19" t="s">
        <v>80</v>
      </c>
      <c r="G70" s="5" t="s">
        <v>19</v>
      </c>
      <c r="H70" s="6">
        <v>1605</v>
      </c>
    </row>
    <row r="71" spans="1:8" ht="20.100000000000001" customHeight="1" x14ac:dyDescent="0.25">
      <c r="A71" s="84"/>
      <c r="B71" s="2">
        <v>45477</v>
      </c>
      <c r="C71" s="3">
        <v>2603435459</v>
      </c>
      <c r="D71" s="3">
        <v>6</v>
      </c>
      <c r="E71" s="4" t="s">
        <v>264</v>
      </c>
      <c r="F71" s="19" t="s">
        <v>80</v>
      </c>
      <c r="G71" s="5" t="s">
        <v>7</v>
      </c>
      <c r="H71" s="6">
        <v>3000</v>
      </c>
    </row>
    <row r="72" spans="1:8" ht="20.100000000000001" customHeight="1" x14ac:dyDescent="0.25">
      <c r="A72" s="84"/>
      <c r="B72" s="2">
        <v>45478</v>
      </c>
      <c r="C72" s="3">
        <v>2102150564</v>
      </c>
      <c r="D72" s="3">
        <v>3</v>
      </c>
      <c r="E72" s="4" t="s">
        <v>755</v>
      </c>
      <c r="F72" s="19" t="s">
        <v>80</v>
      </c>
      <c r="G72" s="5" t="s">
        <v>7</v>
      </c>
      <c r="H72" s="6">
        <v>1605</v>
      </c>
    </row>
    <row r="73" spans="1:8" ht="20.100000000000001" customHeight="1" x14ac:dyDescent="0.25">
      <c r="A73" s="84"/>
      <c r="B73" s="2">
        <v>45478</v>
      </c>
      <c r="C73" s="3">
        <v>3501607605</v>
      </c>
      <c r="D73" s="3">
        <v>3</v>
      </c>
      <c r="E73" s="4" t="s">
        <v>715</v>
      </c>
      <c r="F73" s="19" t="s">
        <v>80</v>
      </c>
      <c r="G73" s="5" t="s">
        <v>7</v>
      </c>
      <c r="H73" s="6">
        <v>1605</v>
      </c>
    </row>
    <row r="74" spans="1:8" ht="20.100000000000001" customHeight="1" x14ac:dyDescent="0.25">
      <c r="A74" s="84"/>
      <c r="B74" s="2">
        <v>45483</v>
      </c>
      <c r="C74" s="3">
        <v>3301199124</v>
      </c>
      <c r="D74" s="3">
        <v>1</v>
      </c>
      <c r="E74" s="4" t="s">
        <v>800</v>
      </c>
      <c r="F74" s="19" t="s">
        <v>80</v>
      </c>
      <c r="G74" s="5" t="s">
        <v>7</v>
      </c>
      <c r="H74" s="6">
        <v>535</v>
      </c>
    </row>
    <row r="75" spans="1:8" ht="20.100000000000001" customHeight="1" x14ac:dyDescent="0.25">
      <c r="A75" s="84"/>
      <c r="B75" s="2">
        <v>45483</v>
      </c>
      <c r="C75" s="3">
        <v>1971210083</v>
      </c>
      <c r="D75" s="3">
        <v>1</v>
      </c>
      <c r="E75" s="4" t="s">
        <v>780</v>
      </c>
      <c r="F75" s="19" t="s">
        <v>80</v>
      </c>
      <c r="G75" s="5" t="s">
        <v>6</v>
      </c>
      <c r="H75" s="6">
        <v>535</v>
      </c>
    </row>
    <row r="76" spans="1:8" ht="20.100000000000001" customHeight="1" x14ac:dyDescent="0.25">
      <c r="A76" s="84"/>
      <c r="B76" s="2">
        <v>45485</v>
      </c>
      <c r="C76" s="3">
        <v>69419959</v>
      </c>
      <c r="D76" s="3">
        <v>1</v>
      </c>
      <c r="E76" s="4" t="s">
        <v>667</v>
      </c>
      <c r="F76" s="19" t="s">
        <v>80</v>
      </c>
      <c r="G76" s="5" t="s">
        <v>6</v>
      </c>
      <c r="H76" s="6">
        <v>535</v>
      </c>
    </row>
    <row r="77" spans="1:8" ht="20.100000000000001" customHeight="1" x14ac:dyDescent="0.25">
      <c r="A77" s="84"/>
      <c r="B77" s="2">
        <v>45492</v>
      </c>
      <c r="C77" s="3">
        <v>3990834836</v>
      </c>
      <c r="D77" s="3">
        <v>3</v>
      </c>
      <c r="E77" s="4" t="s">
        <v>616</v>
      </c>
      <c r="F77" s="19" t="s">
        <v>80</v>
      </c>
      <c r="G77" s="5" t="s">
        <v>6</v>
      </c>
      <c r="H77" s="6">
        <v>1605</v>
      </c>
    </row>
    <row r="78" spans="1:8" ht="20.100000000000001" customHeight="1" x14ac:dyDescent="0.25">
      <c r="A78" s="84"/>
      <c r="B78" s="2">
        <v>45504</v>
      </c>
      <c r="C78" s="3">
        <v>1605715220</v>
      </c>
      <c r="D78" s="3">
        <v>3</v>
      </c>
      <c r="E78" s="4" t="s">
        <v>798</v>
      </c>
      <c r="F78" s="19" t="s">
        <v>80</v>
      </c>
      <c r="G78" s="5" t="s">
        <v>7</v>
      </c>
      <c r="H78" s="6">
        <v>1605</v>
      </c>
    </row>
    <row r="79" spans="1:8" ht="20.100000000000001" customHeight="1" x14ac:dyDescent="0.25">
      <c r="A79" s="84"/>
      <c r="B79" s="2">
        <v>45506</v>
      </c>
      <c r="C79" s="3">
        <v>1161383225</v>
      </c>
      <c r="D79" s="3">
        <v>3</v>
      </c>
      <c r="E79" s="4" t="s">
        <v>391</v>
      </c>
      <c r="F79" s="19" t="s">
        <v>80</v>
      </c>
      <c r="G79" s="5" t="s">
        <v>6</v>
      </c>
      <c r="H79" s="6">
        <v>1605</v>
      </c>
    </row>
    <row r="80" spans="1:8" ht="20.100000000000001" customHeight="1" x14ac:dyDescent="0.25">
      <c r="A80" s="84"/>
      <c r="B80" s="2">
        <v>45506</v>
      </c>
      <c r="C80" s="3">
        <v>1359824003</v>
      </c>
      <c r="D80" s="3">
        <v>1</v>
      </c>
      <c r="E80" s="4" t="s">
        <v>667</v>
      </c>
      <c r="F80" s="19" t="s">
        <v>80</v>
      </c>
      <c r="G80" s="5" t="s">
        <v>6</v>
      </c>
      <c r="H80" s="6">
        <v>535</v>
      </c>
    </row>
    <row r="81" spans="1:8" ht="20.100000000000001" customHeight="1" x14ac:dyDescent="0.25">
      <c r="A81" s="84"/>
      <c r="B81" s="2">
        <v>45509</v>
      </c>
      <c r="C81" s="3">
        <v>3464447660</v>
      </c>
      <c r="D81" s="3">
        <v>3</v>
      </c>
      <c r="E81" s="4" t="s">
        <v>937</v>
      </c>
      <c r="F81" s="19" t="s">
        <v>80</v>
      </c>
      <c r="G81" s="5" t="s">
        <v>19</v>
      </c>
      <c r="H81" s="6">
        <v>1605</v>
      </c>
    </row>
    <row r="82" spans="1:8" ht="20.100000000000001" customHeight="1" x14ac:dyDescent="0.25">
      <c r="A82" s="84"/>
      <c r="B82" s="2">
        <v>45512</v>
      </c>
      <c r="C82" s="3">
        <v>746212280</v>
      </c>
      <c r="D82" s="3">
        <v>3</v>
      </c>
      <c r="E82" s="4" t="s">
        <v>714</v>
      </c>
      <c r="F82" s="19" t="s">
        <v>80</v>
      </c>
      <c r="G82" s="5" t="s">
        <v>7</v>
      </c>
      <c r="H82" s="6">
        <v>1605</v>
      </c>
    </row>
    <row r="83" spans="1:8" ht="20.100000000000001" customHeight="1" x14ac:dyDescent="0.25">
      <c r="A83" s="84"/>
      <c r="B83" s="2">
        <v>45513</v>
      </c>
      <c r="C83" s="3">
        <v>3083750364</v>
      </c>
      <c r="D83" s="3">
        <v>1</v>
      </c>
      <c r="E83" s="4" t="s">
        <v>254</v>
      </c>
      <c r="F83" s="19" t="s">
        <v>80</v>
      </c>
      <c r="G83" s="5" t="s">
        <v>13</v>
      </c>
      <c r="H83" s="6">
        <v>376</v>
      </c>
    </row>
    <row r="84" spans="1:8" ht="20.100000000000001" customHeight="1" x14ac:dyDescent="0.25">
      <c r="A84" s="84"/>
      <c r="B84" s="2">
        <v>45513</v>
      </c>
      <c r="C84" s="3">
        <v>3417000141</v>
      </c>
      <c r="D84" s="3">
        <v>1</v>
      </c>
      <c r="E84" s="4" t="s">
        <v>934</v>
      </c>
      <c r="F84" s="19" t="s">
        <v>80</v>
      </c>
      <c r="G84" s="5" t="s">
        <v>6</v>
      </c>
      <c r="H84" s="6">
        <v>535</v>
      </c>
    </row>
    <row r="85" spans="1:8" ht="20.100000000000001" customHeight="1" x14ac:dyDescent="0.25">
      <c r="A85" s="84"/>
      <c r="B85" s="2">
        <v>45516</v>
      </c>
      <c r="C85" s="3">
        <v>1174884168</v>
      </c>
      <c r="D85" s="3">
        <v>1</v>
      </c>
      <c r="E85" s="4" t="s">
        <v>939</v>
      </c>
      <c r="F85" s="19" t="s">
        <v>80</v>
      </c>
      <c r="G85" s="5" t="s">
        <v>6</v>
      </c>
      <c r="H85" s="6">
        <v>535</v>
      </c>
    </row>
    <row r="86" spans="1:8" ht="20.100000000000001" customHeight="1" x14ac:dyDescent="0.25">
      <c r="A86" s="84"/>
      <c r="B86" s="2">
        <v>45516</v>
      </c>
      <c r="C86" s="3">
        <v>2745713671</v>
      </c>
      <c r="D86" s="3">
        <v>3</v>
      </c>
      <c r="E86" s="4" t="s">
        <v>943</v>
      </c>
      <c r="F86" s="19" t="s">
        <v>80</v>
      </c>
      <c r="G86" s="5" t="s">
        <v>11</v>
      </c>
      <c r="H86" s="6">
        <v>1605</v>
      </c>
    </row>
    <row r="87" spans="1:8" ht="20.100000000000001" customHeight="1" x14ac:dyDescent="0.25">
      <c r="A87" s="84"/>
      <c r="B87" s="2">
        <v>45518</v>
      </c>
      <c r="C87" s="3">
        <v>2512274343</v>
      </c>
      <c r="D87" s="3">
        <v>1</v>
      </c>
      <c r="E87" s="4" t="s">
        <v>515</v>
      </c>
      <c r="F87" s="19" t="s">
        <v>80</v>
      </c>
      <c r="G87" s="5" t="s">
        <v>6</v>
      </c>
      <c r="H87" s="6">
        <v>535</v>
      </c>
    </row>
    <row r="88" spans="1:8" ht="20.100000000000001" customHeight="1" x14ac:dyDescent="0.25">
      <c r="A88" s="84"/>
      <c r="B88" s="2">
        <v>45520</v>
      </c>
      <c r="C88" s="3">
        <v>3183494623</v>
      </c>
      <c r="D88" s="3">
        <v>1</v>
      </c>
      <c r="E88" s="4" t="s">
        <v>926</v>
      </c>
      <c r="F88" s="19" t="s">
        <v>80</v>
      </c>
      <c r="G88" s="5" t="s">
        <v>10</v>
      </c>
      <c r="H88" s="6">
        <v>535</v>
      </c>
    </row>
    <row r="89" spans="1:8" ht="20.100000000000001" customHeight="1" x14ac:dyDescent="0.25">
      <c r="A89" s="84"/>
      <c r="B89" s="2">
        <v>45520</v>
      </c>
      <c r="C89" s="3">
        <v>3627696298</v>
      </c>
      <c r="D89" s="3">
        <v>1</v>
      </c>
      <c r="E89" s="4" t="s">
        <v>667</v>
      </c>
      <c r="F89" s="19" t="s">
        <v>80</v>
      </c>
      <c r="G89" s="5" t="s">
        <v>6</v>
      </c>
      <c r="H89" s="6">
        <v>535</v>
      </c>
    </row>
    <row r="90" spans="1:8" ht="20.100000000000001" customHeight="1" x14ac:dyDescent="0.25">
      <c r="A90" s="84"/>
      <c r="B90" s="2" t="s">
        <v>898</v>
      </c>
      <c r="C90" s="3">
        <v>2005289128</v>
      </c>
      <c r="D90" s="3">
        <v>1</v>
      </c>
      <c r="E90" s="4" t="s">
        <v>944</v>
      </c>
      <c r="F90" s="19" t="s">
        <v>80</v>
      </c>
      <c r="G90" s="5" t="s">
        <v>6</v>
      </c>
      <c r="H90" s="6">
        <v>535</v>
      </c>
    </row>
    <row r="91" spans="1:8" ht="20.100000000000001" customHeight="1" x14ac:dyDescent="0.25">
      <c r="A91" s="84"/>
      <c r="B91" s="2">
        <v>45527</v>
      </c>
      <c r="C91" s="3">
        <v>1019825319</v>
      </c>
      <c r="D91" s="3">
        <v>1</v>
      </c>
      <c r="E91" s="4" t="s">
        <v>892</v>
      </c>
      <c r="F91" s="19" t="s">
        <v>80</v>
      </c>
      <c r="G91" s="5" t="s">
        <v>6</v>
      </c>
      <c r="H91" s="6">
        <v>535</v>
      </c>
    </row>
    <row r="92" spans="1:8" ht="20.100000000000001" customHeight="1" x14ac:dyDescent="0.25">
      <c r="A92" s="84"/>
      <c r="B92" s="2">
        <v>45530</v>
      </c>
      <c r="C92" s="3">
        <v>1428635744</v>
      </c>
      <c r="D92" s="3">
        <v>3</v>
      </c>
      <c r="E92" s="4" t="s">
        <v>945</v>
      </c>
      <c r="F92" s="19" t="s">
        <v>80</v>
      </c>
      <c r="G92" s="5" t="s">
        <v>7</v>
      </c>
      <c r="H92" s="6">
        <v>1605</v>
      </c>
    </row>
    <row r="93" spans="1:8" ht="20.100000000000001" customHeight="1" x14ac:dyDescent="0.25">
      <c r="A93" s="84"/>
      <c r="B93" s="2">
        <v>45530</v>
      </c>
      <c r="C93" s="3">
        <v>1428635744</v>
      </c>
      <c r="D93" s="3">
        <v>3</v>
      </c>
      <c r="E93" s="4" t="s">
        <v>946</v>
      </c>
      <c r="F93" s="19" t="s">
        <v>80</v>
      </c>
      <c r="G93" s="5" t="s">
        <v>7</v>
      </c>
      <c r="H93" s="6">
        <v>1605</v>
      </c>
    </row>
    <row r="94" spans="1:8" ht="20.100000000000001" customHeight="1" x14ac:dyDescent="0.25">
      <c r="A94" s="84"/>
      <c r="B94" s="2">
        <v>45531</v>
      </c>
      <c r="C94" s="3">
        <v>899629454</v>
      </c>
      <c r="D94" s="3">
        <v>1</v>
      </c>
      <c r="E94" s="4" t="s">
        <v>947</v>
      </c>
      <c r="F94" s="19" t="s">
        <v>80</v>
      </c>
      <c r="G94" s="5" t="s">
        <v>7</v>
      </c>
      <c r="H94" s="6">
        <v>535</v>
      </c>
    </row>
    <row r="95" spans="1:8" ht="20.100000000000001" customHeight="1" x14ac:dyDescent="0.25">
      <c r="A95" s="84"/>
      <c r="B95" s="2">
        <v>45534</v>
      </c>
      <c r="C95" s="3">
        <v>422594588</v>
      </c>
      <c r="D95" s="3">
        <v>1</v>
      </c>
      <c r="E95" s="4" t="s">
        <v>941</v>
      </c>
      <c r="F95" s="19" t="s">
        <v>80</v>
      </c>
      <c r="G95" s="5" t="s">
        <v>7</v>
      </c>
      <c r="H95" s="6">
        <v>535</v>
      </c>
    </row>
    <row r="96" spans="1:8" ht="20.100000000000001" customHeight="1" x14ac:dyDescent="0.25">
      <c r="A96" s="84"/>
      <c r="B96" s="2">
        <v>45538</v>
      </c>
      <c r="C96" s="3">
        <v>2022590115</v>
      </c>
      <c r="D96" s="3">
        <v>3</v>
      </c>
      <c r="E96" s="4" t="s">
        <v>1005</v>
      </c>
      <c r="F96" s="19" t="s">
        <v>80</v>
      </c>
      <c r="G96" s="5" t="s">
        <v>6</v>
      </c>
      <c r="H96" s="6">
        <v>1605</v>
      </c>
    </row>
    <row r="97" spans="1:8" ht="20.100000000000001" customHeight="1" x14ac:dyDescent="0.25">
      <c r="A97" s="84"/>
      <c r="B97" s="2">
        <v>45540</v>
      </c>
      <c r="C97" s="3">
        <v>371412223</v>
      </c>
      <c r="D97" s="3">
        <v>1</v>
      </c>
      <c r="E97" s="4" t="s">
        <v>516</v>
      </c>
      <c r="F97" s="19" t="s">
        <v>80</v>
      </c>
      <c r="G97" s="5" t="s">
        <v>13</v>
      </c>
      <c r="H97" s="6">
        <v>376</v>
      </c>
    </row>
    <row r="98" spans="1:8" ht="20.100000000000001" customHeight="1" x14ac:dyDescent="0.25">
      <c r="A98" s="84"/>
      <c r="B98" s="2">
        <v>45546</v>
      </c>
      <c r="C98" s="3">
        <v>3274065925</v>
      </c>
      <c r="D98" s="3">
        <v>3</v>
      </c>
      <c r="E98" s="4" t="s">
        <v>1006</v>
      </c>
      <c r="F98" s="19" t="s">
        <v>80</v>
      </c>
      <c r="G98" s="5" t="s">
        <v>19</v>
      </c>
      <c r="H98" s="6">
        <v>1605</v>
      </c>
    </row>
    <row r="99" spans="1:8" ht="20.100000000000001" customHeight="1" x14ac:dyDescent="0.25">
      <c r="A99" s="84"/>
      <c r="B99" s="2">
        <v>45551</v>
      </c>
      <c r="C99" s="3">
        <v>4110765754</v>
      </c>
      <c r="D99" s="3">
        <v>3</v>
      </c>
      <c r="E99" s="4" t="s">
        <v>994</v>
      </c>
      <c r="F99" s="19" t="s">
        <v>80</v>
      </c>
      <c r="G99" s="5" t="s">
        <v>13</v>
      </c>
      <c r="H99" s="6">
        <v>1605</v>
      </c>
    </row>
    <row r="100" spans="1:8" ht="20.100000000000001" customHeight="1" x14ac:dyDescent="0.25">
      <c r="A100" s="84"/>
      <c r="B100" s="2">
        <v>45553</v>
      </c>
      <c r="C100" s="3">
        <v>1568621810</v>
      </c>
      <c r="D100" s="3">
        <v>1</v>
      </c>
      <c r="E100" s="4" t="s">
        <v>1007</v>
      </c>
      <c r="F100" s="19" t="s">
        <v>80</v>
      </c>
      <c r="G100" s="5" t="s">
        <v>11</v>
      </c>
      <c r="H100" s="6">
        <v>535</v>
      </c>
    </row>
    <row r="101" spans="1:8" ht="20.100000000000001" customHeight="1" x14ac:dyDescent="0.25">
      <c r="A101" s="84"/>
      <c r="B101" s="2">
        <v>45555</v>
      </c>
      <c r="C101" s="3">
        <v>2045329713</v>
      </c>
      <c r="D101" s="3">
        <v>3</v>
      </c>
      <c r="E101" s="4" t="s">
        <v>967</v>
      </c>
      <c r="F101" s="19" t="s">
        <v>80</v>
      </c>
      <c r="G101" s="5" t="s">
        <v>6</v>
      </c>
      <c r="H101" s="6">
        <v>1605</v>
      </c>
    </row>
    <row r="102" spans="1:8" ht="20.100000000000001" customHeight="1" x14ac:dyDescent="0.25">
      <c r="A102" s="84"/>
      <c r="B102" s="2">
        <v>45560</v>
      </c>
      <c r="C102" s="3">
        <v>3495120489</v>
      </c>
      <c r="D102" s="3">
        <v>1</v>
      </c>
      <c r="E102" s="4" t="s">
        <v>780</v>
      </c>
      <c r="F102" s="19" t="s">
        <v>80</v>
      </c>
      <c r="G102" s="5" t="s">
        <v>6</v>
      </c>
      <c r="H102" s="6">
        <v>535</v>
      </c>
    </row>
    <row r="103" spans="1:8" ht="20.100000000000001" customHeight="1" x14ac:dyDescent="0.25">
      <c r="A103" s="84"/>
      <c r="B103" s="2">
        <v>45561</v>
      </c>
      <c r="C103" s="3">
        <v>1301037619</v>
      </c>
      <c r="D103" s="3">
        <v>1</v>
      </c>
      <c r="E103" s="4" t="s">
        <v>683</v>
      </c>
      <c r="F103" s="19" t="s">
        <v>80</v>
      </c>
      <c r="G103" s="5" t="s">
        <v>6</v>
      </c>
      <c r="H103" s="6">
        <v>535</v>
      </c>
    </row>
    <row r="104" spans="1:8" ht="20.100000000000001" customHeight="1" x14ac:dyDescent="0.25">
      <c r="A104" s="84"/>
      <c r="B104" s="2">
        <v>45562</v>
      </c>
      <c r="C104" s="3">
        <v>2970373125</v>
      </c>
      <c r="D104" s="3">
        <v>1</v>
      </c>
      <c r="E104" s="4" t="s">
        <v>1008</v>
      </c>
      <c r="F104" s="19" t="s">
        <v>80</v>
      </c>
      <c r="G104" s="5" t="s">
        <v>7</v>
      </c>
      <c r="H104" s="6">
        <v>535</v>
      </c>
    </row>
    <row r="105" spans="1:8" ht="20.100000000000001" customHeight="1" x14ac:dyDescent="0.25">
      <c r="A105" s="84"/>
      <c r="B105" s="2">
        <v>45565</v>
      </c>
      <c r="C105" s="3">
        <v>1317684759</v>
      </c>
      <c r="D105" s="3">
        <v>3</v>
      </c>
      <c r="E105" s="4" t="s">
        <v>228</v>
      </c>
      <c r="F105" s="19" t="s">
        <v>80</v>
      </c>
      <c r="G105" s="5" t="s">
        <v>11</v>
      </c>
      <c r="H105" s="6">
        <v>1605</v>
      </c>
    </row>
    <row r="106" spans="1:8" ht="20.100000000000001" customHeight="1" x14ac:dyDescent="0.25">
      <c r="A106" s="84"/>
      <c r="B106" s="2">
        <v>45567</v>
      </c>
      <c r="C106" s="3">
        <v>1827556889</v>
      </c>
      <c r="D106" s="3">
        <v>1</v>
      </c>
      <c r="E106" s="4" t="s">
        <v>1088</v>
      </c>
      <c r="F106" s="19" t="s">
        <v>80</v>
      </c>
      <c r="G106" s="59" t="s">
        <v>7</v>
      </c>
      <c r="H106" s="58">
        <v>535</v>
      </c>
    </row>
    <row r="107" spans="1:8" ht="20.100000000000001" customHeight="1" x14ac:dyDescent="0.25">
      <c r="A107" s="84"/>
      <c r="B107" s="2">
        <v>45568</v>
      </c>
      <c r="C107" s="3">
        <v>3236253181</v>
      </c>
      <c r="D107" s="3">
        <v>3</v>
      </c>
      <c r="E107" s="4" t="s">
        <v>1037</v>
      </c>
      <c r="F107" s="19" t="s">
        <v>80</v>
      </c>
      <c r="G107" s="59" t="s">
        <v>7</v>
      </c>
      <c r="H107" s="58">
        <v>1605</v>
      </c>
    </row>
    <row r="108" spans="1:8" ht="20.100000000000001" customHeight="1" x14ac:dyDescent="0.25">
      <c r="A108" s="84"/>
      <c r="B108" s="2">
        <v>45569</v>
      </c>
      <c r="C108" s="3">
        <v>1123961799</v>
      </c>
      <c r="D108" s="3">
        <v>3</v>
      </c>
      <c r="E108" s="4" t="s">
        <v>1089</v>
      </c>
      <c r="F108" s="19" t="s">
        <v>80</v>
      </c>
      <c r="G108" s="59" t="s">
        <v>6</v>
      </c>
      <c r="H108" s="58">
        <v>1605</v>
      </c>
    </row>
    <row r="109" spans="1:8" ht="20.100000000000001" customHeight="1" x14ac:dyDescent="0.25">
      <c r="A109" s="84"/>
      <c r="B109" s="2">
        <v>45573</v>
      </c>
      <c r="C109" s="3">
        <v>1774994734</v>
      </c>
      <c r="D109" s="3">
        <v>1</v>
      </c>
      <c r="E109" s="4" t="s">
        <v>1036</v>
      </c>
      <c r="F109" s="19" t="s">
        <v>80</v>
      </c>
      <c r="G109" s="59" t="s">
        <v>11</v>
      </c>
      <c r="H109" s="58">
        <v>535</v>
      </c>
    </row>
    <row r="110" spans="1:8" ht="20.100000000000001" customHeight="1" x14ac:dyDescent="0.25">
      <c r="A110" s="84"/>
      <c r="B110" s="2">
        <v>45574</v>
      </c>
      <c r="C110" s="3">
        <v>2733592049</v>
      </c>
      <c r="D110" s="3">
        <v>1</v>
      </c>
      <c r="E110" s="4" t="s">
        <v>94</v>
      </c>
      <c r="F110" s="19" t="s">
        <v>80</v>
      </c>
      <c r="G110" s="59" t="s">
        <v>19</v>
      </c>
      <c r="H110" s="58">
        <v>535</v>
      </c>
    </row>
    <row r="111" spans="1:8" ht="20.100000000000001" customHeight="1" x14ac:dyDescent="0.25">
      <c r="A111" s="84"/>
      <c r="B111" s="2">
        <v>45575</v>
      </c>
      <c r="C111" s="3">
        <v>4279648327</v>
      </c>
      <c r="D111" s="3">
        <v>1</v>
      </c>
      <c r="E111" s="4" t="s">
        <v>516</v>
      </c>
      <c r="F111" s="19" t="s">
        <v>80</v>
      </c>
      <c r="G111" s="59" t="s">
        <v>13</v>
      </c>
      <c r="H111" s="58">
        <v>376</v>
      </c>
    </row>
    <row r="112" spans="1:8" ht="20.100000000000001" customHeight="1" x14ac:dyDescent="0.25">
      <c r="A112" s="84"/>
      <c r="B112" s="2">
        <v>45579</v>
      </c>
      <c r="C112" s="3">
        <v>16933994579</v>
      </c>
      <c r="D112" s="3">
        <v>2</v>
      </c>
      <c r="E112" s="4" t="s">
        <v>1090</v>
      </c>
      <c r="F112" s="19" t="s">
        <v>80</v>
      </c>
      <c r="G112" s="59" t="s">
        <v>7</v>
      </c>
      <c r="H112" s="58">
        <v>1070</v>
      </c>
    </row>
    <row r="113" spans="1:8" ht="20.100000000000001" customHeight="1" x14ac:dyDescent="0.25">
      <c r="A113" s="84"/>
      <c r="B113" s="2">
        <v>45581</v>
      </c>
      <c r="C113" s="3">
        <v>4133767457</v>
      </c>
      <c r="D113" s="3">
        <v>1</v>
      </c>
      <c r="E113" s="4" t="s">
        <v>1091</v>
      </c>
      <c r="F113" s="19" t="s">
        <v>80</v>
      </c>
      <c r="G113" s="59" t="s">
        <v>10</v>
      </c>
      <c r="H113" s="58">
        <v>535</v>
      </c>
    </row>
    <row r="114" spans="1:8" ht="20.100000000000001" customHeight="1" x14ac:dyDescent="0.25">
      <c r="A114" s="84"/>
      <c r="B114" s="2">
        <v>45583</v>
      </c>
      <c r="C114" s="3">
        <v>2368881418</v>
      </c>
      <c r="D114" s="3">
        <v>3</v>
      </c>
      <c r="E114" s="4" t="s">
        <v>97</v>
      </c>
      <c r="F114" s="19" t="s">
        <v>80</v>
      </c>
      <c r="G114" s="59" t="s">
        <v>19</v>
      </c>
      <c r="H114" s="58">
        <v>1605</v>
      </c>
    </row>
    <row r="115" spans="1:8" ht="20.100000000000001" customHeight="1" x14ac:dyDescent="0.25">
      <c r="A115" s="84"/>
      <c r="B115" s="2">
        <v>45583</v>
      </c>
      <c r="C115" s="3">
        <v>797985548</v>
      </c>
      <c r="D115" s="3">
        <v>3</v>
      </c>
      <c r="E115" s="4" t="s">
        <v>162</v>
      </c>
      <c r="F115" s="19" t="s">
        <v>80</v>
      </c>
      <c r="G115" s="5" t="s">
        <v>19</v>
      </c>
      <c r="H115" s="6">
        <v>1605</v>
      </c>
    </row>
    <row r="116" spans="1:8" ht="20.100000000000001" customHeight="1" x14ac:dyDescent="0.25">
      <c r="A116" s="84"/>
      <c r="B116" s="2">
        <v>45587</v>
      </c>
      <c r="C116" s="3">
        <v>3230417573</v>
      </c>
      <c r="D116" s="3">
        <v>1</v>
      </c>
      <c r="E116" s="4" t="s">
        <v>797</v>
      </c>
      <c r="F116" s="19" t="s">
        <v>80</v>
      </c>
      <c r="G116" s="5" t="s">
        <v>6</v>
      </c>
      <c r="H116" s="6">
        <v>535</v>
      </c>
    </row>
    <row r="117" spans="1:8" ht="20.100000000000001" customHeight="1" x14ac:dyDescent="0.25">
      <c r="A117" s="84"/>
      <c r="B117" s="2">
        <v>45587</v>
      </c>
      <c r="C117" s="3">
        <v>3491908662</v>
      </c>
      <c r="D117" s="3">
        <v>1</v>
      </c>
      <c r="E117" s="4" t="s">
        <v>800</v>
      </c>
      <c r="F117" s="19" t="s">
        <v>80</v>
      </c>
      <c r="G117" s="5" t="s">
        <v>6</v>
      </c>
      <c r="H117" s="6">
        <v>535</v>
      </c>
    </row>
    <row r="118" spans="1:8" ht="20.100000000000001" customHeight="1" x14ac:dyDescent="0.25">
      <c r="A118" s="84"/>
      <c r="B118" s="2">
        <v>45587</v>
      </c>
      <c r="C118" s="3">
        <v>3081588223</v>
      </c>
      <c r="D118" s="3">
        <v>1</v>
      </c>
      <c r="E118" s="4" t="s">
        <v>1091</v>
      </c>
      <c r="F118" s="19" t="s">
        <v>80</v>
      </c>
      <c r="G118" s="5" t="s">
        <v>10</v>
      </c>
      <c r="H118" s="6">
        <v>535</v>
      </c>
    </row>
    <row r="119" spans="1:8" ht="20.100000000000001" customHeight="1" x14ac:dyDescent="0.25">
      <c r="A119" s="84"/>
      <c r="B119" s="2">
        <v>45594</v>
      </c>
      <c r="C119" s="3">
        <v>3392098178</v>
      </c>
      <c r="D119" s="3">
        <v>1</v>
      </c>
      <c r="E119" s="4" t="s">
        <v>683</v>
      </c>
      <c r="F119" s="19" t="s">
        <v>80</v>
      </c>
      <c r="G119" s="5" t="s">
        <v>7</v>
      </c>
      <c r="H119" s="6">
        <v>535</v>
      </c>
    </row>
    <row r="120" spans="1:8" ht="20.100000000000001" customHeight="1" x14ac:dyDescent="0.25">
      <c r="A120" s="84"/>
      <c r="B120" s="2">
        <v>45595</v>
      </c>
      <c r="C120" s="3">
        <v>881083308</v>
      </c>
      <c r="D120" s="3">
        <v>1</v>
      </c>
      <c r="E120" s="4" t="s">
        <v>1059</v>
      </c>
      <c r="F120" s="19" t="s">
        <v>80</v>
      </c>
      <c r="G120" s="5" t="s">
        <v>6</v>
      </c>
      <c r="H120" s="6">
        <v>535</v>
      </c>
    </row>
    <row r="121" spans="1:8" ht="20.100000000000001" customHeight="1" x14ac:dyDescent="0.25">
      <c r="A121" s="84"/>
      <c r="B121" s="2">
        <v>45595</v>
      </c>
      <c r="C121" s="3">
        <v>881083308</v>
      </c>
      <c r="D121" s="3">
        <v>1</v>
      </c>
      <c r="E121" s="4" t="s">
        <v>1092</v>
      </c>
      <c r="F121" s="19" t="s">
        <v>80</v>
      </c>
      <c r="G121" s="5" t="s">
        <v>6</v>
      </c>
      <c r="H121" s="6">
        <v>535</v>
      </c>
    </row>
    <row r="122" spans="1:8" ht="20.100000000000001" customHeight="1" x14ac:dyDescent="0.25">
      <c r="A122" s="84"/>
      <c r="B122" s="2">
        <v>45595</v>
      </c>
      <c r="C122" s="3">
        <v>881083308</v>
      </c>
      <c r="D122" s="3">
        <v>1</v>
      </c>
      <c r="E122" s="4" t="s">
        <v>1059</v>
      </c>
      <c r="F122" s="19" t="s">
        <v>730</v>
      </c>
      <c r="G122" s="5" t="s">
        <v>6</v>
      </c>
      <c r="H122" s="6">
        <v>30</v>
      </c>
    </row>
    <row r="123" spans="1:8" ht="20.100000000000001" customHeight="1" x14ac:dyDescent="0.25">
      <c r="A123" s="84"/>
      <c r="B123" s="2">
        <v>45600</v>
      </c>
      <c r="C123" s="3">
        <v>727008532</v>
      </c>
      <c r="D123" s="3">
        <v>1</v>
      </c>
      <c r="E123" s="4" t="s">
        <v>1088</v>
      </c>
      <c r="F123" s="19" t="s">
        <v>80</v>
      </c>
      <c r="G123" s="5" t="s">
        <v>6</v>
      </c>
      <c r="H123" s="6">
        <v>535</v>
      </c>
    </row>
    <row r="124" spans="1:8" ht="20.100000000000001" customHeight="1" x14ac:dyDescent="0.25">
      <c r="A124" s="84"/>
      <c r="B124" s="2">
        <v>45601</v>
      </c>
      <c r="C124" s="3">
        <v>998327909</v>
      </c>
      <c r="D124" s="3">
        <v>3</v>
      </c>
      <c r="E124" s="4" t="s">
        <v>1174</v>
      </c>
      <c r="F124" s="19" t="s">
        <v>80</v>
      </c>
      <c r="G124" s="5" t="s">
        <v>10</v>
      </c>
      <c r="H124" s="6">
        <v>1605</v>
      </c>
    </row>
    <row r="125" spans="1:8" ht="20.100000000000001" customHeight="1" x14ac:dyDescent="0.25">
      <c r="A125" s="84"/>
      <c r="B125" s="2">
        <v>45604</v>
      </c>
      <c r="C125" s="3">
        <v>1899448594</v>
      </c>
      <c r="D125" s="3">
        <v>1</v>
      </c>
      <c r="E125" s="4" t="s">
        <v>1136</v>
      </c>
      <c r="F125" s="19" t="s">
        <v>80</v>
      </c>
      <c r="G125" s="5" t="s">
        <v>10</v>
      </c>
      <c r="H125" s="6">
        <v>535</v>
      </c>
    </row>
    <row r="126" spans="1:8" ht="20.100000000000001" customHeight="1" x14ac:dyDescent="0.25">
      <c r="A126" s="84"/>
      <c r="B126" s="2">
        <v>45607</v>
      </c>
      <c r="C126" s="3">
        <v>638665654</v>
      </c>
      <c r="D126" s="3">
        <v>1</v>
      </c>
      <c r="E126" s="4" t="s">
        <v>1175</v>
      </c>
      <c r="F126" s="19" t="s">
        <v>80</v>
      </c>
      <c r="G126" s="5" t="s">
        <v>7</v>
      </c>
      <c r="H126" s="6">
        <v>535</v>
      </c>
    </row>
    <row r="127" spans="1:8" ht="20.100000000000001" customHeight="1" x14ac:dyDescent="0.25">
      <c r="A127" s="84"/>
      <c r="B127" s="2">
        <v>45610</v>
      </c>
      <c r="C127" s="3">
        <v>1136674904</v>
      </c>
      <c r="D127" s="3">
        <v>1</v>
      </c>
      <c r="E127" s="4" t="s">
        <v>780</v>
      </c>
      <c r="F127" s="19" t="s">
        <v>80</v>
      </c>
      <c r="G127" s="5" t="s">
        <v>6</v>
      </c>
      <c r="H127" s="6">
        <v>535</v>
      </c>
    </row>
    <row r="128" spans="1:8" ht="20.100000000000001" customHeight="1" x14ac:dyDescent="0.25">
      <c r="A128" s="84"/>
      <c r="B128" s="2">
        <v>45617</v>
      </c>
      <c r="C128" s="3">
        <v>2368621450</v>
      </c>
      <c r="D128" s="3">
        <v>2</v>
      </c>
      <c r="E128" s="4" t="s">
        <v>1152</v>
      </c>
      <c r="F128" s="19" t="s">
        <v>80</v>
      </c>
      <c r="G128" s="5" t="s">
        <v>7</v>
      </c>
      <c r="H128" s="6">
        <v>1066</v>
      </c>
    </row>
    <row r="129" spans="1:8" ht="20.100000000000001" customHeight="1" x14ac:dyDescent="0.25">
      <c r="A129" s="84"/>
      <c r="B129" s="2">
        <v>45617</v>
      </c>
      <c r="C129" s="3">
        <v>2368621450</v>
      </c>
      <c r="D129" s="3">
        <v>1</v>
      </c>
      <c r="E129" s="4" t="s">
        <v>1152</v>
      </c>
      <c r="F129" s="19" t="s">
        <v>80</v>
      </c>
      <c r="G129" s="5" t="s">
        <v>7</v>
      </c>
      <c r="H129" s="6">
        <v>534</v>
      </c>
    </row>
    <row r="130" spans="1:8" ht="20.100000000000001" customHeight="1" x14ac:dyDescent="0.25">
      <c r="A130" s="84"/>
      <c r="B130" s="2">
        <v>45624</v>
      </c>
      <c r="C130" s="3">
        <v>1953644981</v>
      </c>
      <c r="D130" s="3">
        <v>1</v>
      </c>
      <c r="E130" s="4" t="s">
        <v>1176</v>
      </c>
      <c r="F130" s="19" t="s">
        <v>80</v>
      </c>
      <c r="G130" s="5" t="s">
        <v>11</v>
      </c>
      <c r="H130" s="6">
        <v>535</v>
      </c>
    </row>
    <row r="131" spans="1:8" ht="20.100000000000001" customHeight="1" x14ac:dyDescent="0.25">
      <c r="A131" s="84"/>
      <c r="B131" s="2">
        <v>45624</v>
      </c>
      <c r="C131" s="3">
        <v>3400747001</v>
      </c>
      <c r="D131" s="3">
        <v>3</v>
      </c>
      <c r="E131" s="4" t="s">
        <v>1166</v>
      </c>
      <c r="F131" s="19" t="s">
        <v>80</v>
      </c>
      <c r="G131" s="5" t="s">
        <v>7</v>
      </c>
      <c r="H131" s="6">
        <v>1605</v>
      </c>
    </row>
    <row r="132" spans="1:8" ht="20.100000000000001" customHeight="1" x14ac:dyDescent="0.25">
      <c r="A132" s="84"/>
      <c r="B132" s="2">
        <v>45630</v>
      </c>
      <c r="C132" s="3">
        <v>1543457484</v>
      </c>
      <c r="D132" s="3">
        <v>2</v>
      </c>
      <c r="E132" s="4" t="s">
        <v>1276</v>
      </c>
      <c r="F132" s="19" t="s">
        <v>80</v>
      </c>
      <c r="G132" s="5" t="s">
        <v>11</v>
      </c>
      <c r="H132" s="6">
        <v>1070</v>
      </c>
    </row>
    <row r="133" spans="1:8" ht="20.100000000000001" customHeight="1" x14ac:dyDescent="0.25">
      <c r="A133" s="84"/>
      <c r="B133" s="2">
        <v>45631</v>
      </c>
      <c r="C133" s="3">
        <v>3743696020</v>
      </c>
      <c r="D133" s="3">
        <v>1</v>
      </c>
      <c r="E133" s="4" t="s">
        <v>1277</v>
      </c>
      <c r="F133" s="19" t="s">
        <v>80</v>
      </c>
      <c r="G133" s="5" t="s">
        <v>6</v>
      </c>
      <c r="H133" s="6">
        <v>535</v>
      </c>
    </row>
    <row r="134" spans="1:8" ht="20.100000000000001" customHeight="1" x14ac:dyDescent="0.25">
      <c r="A134" s="84"/>
      <c r="B134" s="2">
        <v>45631</v>
      </c>
      <c r="C134" s="3">
        <v>1621313940</v>
      </c>
      <c r="D134" s="3">
        <v>3</v>
      </c>
      <c r="E134" s="4" t="s">
        <v>1201</v>
      </c>
      <c r="F134" s="19" t="s">
        <v>80</v>
      </c>
      <c r="G134" s="5" t="s">
        <v>7</v>
      </c>
      <c r="H134" s="6">
        <v>1605</v>
      </c>
    </row>
    <row r="135" spans="1:8" ht="20.100000000000001" customHeight="1" x14ac:dyDescent="0.25">
      <c r="A135" s="84"/>
      <c r="B135" s="2">
        <v>45632</v>
      </c>
      <c r="C135" s="3">
        <v>3984083129</v>
      </c>
      <c r="D135" s="3">
        <v>3</v>
      </c>
      <c r="E135" s="4" t="s">
        <v>1261</v>
      </c>
      <c r="F135" s="19" t="s">
        <v>80</v>
      </c>
      <c r="G135" s="5" t="s">
        <v>6</v>
      </c>
      <c r="H135" s="6">
        <v>1605</v>
      </c>
    </row>
    <row r="136" spans="1:8" ht="20.100000000000001" customHeight="1" x14ac:dyDescent="0.25">
      <c r="A136" s="84"/>
      <c r="B136" s="2">
        <v>45637</v>
      </c>
      <c r="C136" s="3">
        <v>2548189395</v>
      </c>
      <c r="D136" s="3">
        <v>1</v>
      </c>
      <c r="E136" s="4" t="s">
        <v>1278</v>
      </c>
      <c r="F136" s="19" t="s">
        <v>80</v>
      </c>
      <c r="G136" s="5" t="s">
        <v>11</v>
      </c>
      <c r="H136" s="6">
        <v>535</v>
      </c>
    </row>
    <row r="137" spans="1:8" ht="20.100000000000001" customHeight="1" x14ac:dyDescent="0.25">
      <c r="A137" s="84"/>
      <c r="B137" s="2">
        <v>45638</v>
      </c>
      <c r="C137" s="3">
        <v>3641001320</v>
      </c>
      <c r="D137" s="3">
        <v>1</v>
      </c>
      <c r="E137" s="4" t="s">
        <v>202</v>
      </c>
      <c r="F137" s="19" t="s">
        <v>80</v>
      </c>
      <c r="G137" s="5" t="s">
        <v>6</v>
      </c>
      <c r="H137" s="6">
        <v>535</v>
      </c>
    </row>
    <row r="138" spans="1:8" ht="20.100000000000001" customHeight="1" x14ac:dyDescent="0.25">
      <c r="A138" s="84"/>
      <c r="B138" s="2">
        <v>45644</v>
      </c>
      <c r="C138" s="3">
        <v>2141932067</v>
      </c>
      <c r="D138" s="3">
        <v>3</v>
      </c>
      <c r="E138" s="4" t="s">
        <v>1170</v>
      </c>
      <c r="F138" s="19" t="s">
        <v>80</v>
      </c>
      <c r="G138" s="5" t="s">
        <v>19</v>
      </c>
      <c r="H138" s="6">
        <v>1605</v>
      </c>
    </row>
    <row r="139" spans="1:8" ht="20.100000000000001" customHeight="1" x14ac:dyDescent="0.25">
      <c r="A139" s="84"/>
      <c r="B139" s="2">
        <v>45645</v>
      </c>
      <c r="C139" s="3">
        <v>140536065</v>
      </c>
      <c r="D139" s="3">
        <v>1</v>
      </c>
      <c r="E139" s="4" t="s">
        <v>515</v>
      </c>
      <c r="F139" s="19" t="s">
        <v>80</v>
      </c>
      <c r="G139" s="5" t="s">
        <v>6</v>
      </c>
      <c r="H139" s="6">
        <v>535</v>
      </c>
    </row>
    <row r="140" spans="1:8" ht="20.100000000000001" customHeight="1" x14ac:dyDescent="0.25">
      <c r="A140" s="84"/>
      <c r="B140" s="2">
        <v>45645</v>
      </c>
      <c r="C140" s="3">
        <v>3192081100</v>
      </c>
      <c r="D140" s="3">
        <v>2</v>
      </c>
      <c r="E140" s="4" t="s">
        <v>1270</v>
      </c>
      <c r="F140" s="19" t="s">
        <v>80</v>
      </c>
      <c r="G140" s="5" t="s">
        <v>19</v>
      </c>
      <c r="H140" s="6">
        <v>1066</v>
      </c>
    </row>
    <row r="141" spans="1:8" ht="20.100000000000001" customHeight="1" x14ac:dyDescent="0.25">
      <c r="A141" s="84"/>
      <c r="B141" s="2">
        <v>45645</v>
      </c>
      <c r="C141" s="3">
        <v>3192081100</v>
      </c>
      <c r="D141" s="3">
        <v>1</v>
      </c>
      <c r="E141" s="4" t="s">
        <v>1270</v>
      </c>
      <c r="F141" s="19" t="s">
        <v>80</v>
      </c>
      <c r="G141" s="5" t="s">
        <v>19</v>
      </c>
      <c r="H141" s="6">
        <v>534</v>
      </c>
    </row>
    <row r="142" spans="1:8" ht="20.100000000000001" customHeight="1" x14ac:dyDescent="0.25">
      <c r="A142" s="84"/>
      <c r="B142" s="2">
        <v>45645</v>
      </c>
      <c r="C142" s="3">
        <v>49693094</v>
      </c>
      <c r="D142" s="3">
        <v>2</v>
      </c>
      <c r="E142" s="4" t="s">
        <v>1271</v>
      </c>
      <c r="F142" s="19" t="s">
        <v>80</v>
      </c>
      <c r="G142" s="5" t="s">
        <v>19</v>
      </c>
      <c r="H142" s="6">
        <v>1066</v>
      </c>
    </row>
    <row r="143" spans="1:8" ht="20.100000000000001" customHeight="1" x14ac:dyDescent="0.25">
      <c r="A143" s="84"/>
      <c r="B143" s="2">
        <v>45645</v>
      </c>
      <c r="C143" s="3">
        <v>49693094</v>
      </c>
      <c r="D143" s="3">
        <v>1</v>
      </c>
      <c r="E143" s="4" t="s">
        <v>1271</v>
      </c>
      <c r="F143" s="19" t="s">
        <v>80</v>
      </c>
      <c r="G143" s="5" t="s">
        <v>19</v>
      </c>
      <c r="H143" s="6">
        <v>534</v>
      </c>
    </row>
    <row r="144" spans="1:8" ht="20.100000000000001" customHeight="1" x14ac:dyDescent="0.25">
      <c r="A144" s="84"/>
      <c r="B144" s="2">
        <v>45645</v>
      </c>
      <c r="C144" s="3">
        <v>1479166327</v>
      </c>
      <c r="D144" s="3">
        <v>1</v>
      </c>
      <c r="E144" s="4" t="s">
        <v>170</v>
      </c>
      <c r="F144" s="19" t="s">
        <v>80</v>
      </c>
      <c r="G144" s="5" t="s">
        <v>6</v>
      </c>
      <c r="H144" s="6">
        <v>535</v>
      </c>
    </row>
    <row r="145" spans="1:8" ht="20.100000000000001" customHeight="1" x14ac:dyDescent="0.25">
      <c r="A145" s="84"/>
      <c r="B145" s="2">
        <v>45646</v>
      </c>
      <c r="C145" s="3">
        <v>4254155511</v>
      </c>
      <c r="D145" s="3">
        <v>1</v>
      </c>
      <c r="E145" s="4" t="s">
        <v>1263</v>
      </c>
      <c r="F145" s="19" t="s">
        <v>80</v>
      </c>
      <c r="G145" s="5" t="s">
        <v>6</v>
      </c>
      <c r="H145" s="6">
        <v>535</v>
      </c>
    </row>
    <row r="146" spans="1:8" ht="15.75" x14ac:dyDescent="0.25">
      <c r="A146" s="85"/>
      <c r="B146" s="13"/>
      <c r="C146" s="14"/>
      <c r="D146" s="14"/>
      <c r="E146" s="14" t="s">
        <v>5</v>
      </c>
      <c r="F146" s="15"/>
      <c r="G146" s="16"/>
      <c r="H146" s="23">
        <f>SUM(H3:H145)</f>
        <v>145406</v>
      </c>
    </row>
  </sheetData>
  <autoFilter ref="B1:H146" xr:uid="{00000000-0009-0000-0000-000016000000}"/>
  <mergeCells count="8">
    <mergeCell ref="F1:F2"/>
    <mergeCell ref="G1:G2"/>
    <mergeCell ref="H1:H2"/>
    <mergeCell ref="A1:A146"/>
    <mergeCell ref="B1:B2"/>
    <mergeCell ref="C1:C2"/>
    <mergeCell ref="D1:D2"/>
    <mergeCell ref="E1:E2"/>
  </mergeCells>
  <pageMargins left="0.7" right="0.7" top="0.75" bottom="0.75" header="0.3" footer="0.3"/>
  <pageSetup paperSize="9" orientation="portrait" horizontalDpi="120" verticalDpi="72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8"/>
  <sheetViews>
    <sheetView workbookViewId="0">
      <selection activeCell="B18" sqref="B18"/>
    </sheetView>
  </sheetViews>
  <sheetFormatPr baseColWidth="10" defaultColWidth="9.140625" defaultRowHeight="15" x14ac:dyDescent="0.25"/>
  <cols>
    <col min="1" max="1" width="18" customWidth="1"/>
    <col min="2" max="2" width="12.7109375" bestFit="1" customWidth="1"/>
    <col min="3" max="3" width="17.42578125" customWidth="1"/>
    <col min="4" max="4" width="11" customWidth="1"/>
    <col min="5" max="5" width="32.42578125" bestFit="1" customWidth="1"/>
    <col min="6" max="6" width="39.85546875" style="1" customWidth="1"/>
    <col min="7" max="7" width="16.140625" customWidth="1"/>
    <col min="8" max="8" width="14.28515625" bestFit="1" customWidth="1"/>
  </cols>
  <sheetData>
    <row r="1" spans="1:8" ht="15" customHeight="1" x14ac:dyDescent="0.25">
      <c r="A1" s="76" t="s">
        <v>39</v>
      </c>
      <c r="B1" s="72" t="s">
        <v>0</v>
      </c>
      <c r="C1" s="74" t="s">
        <v>1</v>
      </c>
      <c r="D1" s="74" t="s">
        <v>2</v>
      </c>
      <c r="E1" s="74" t="s">
        <v>3</v>
      </c>
      <c r="F1" s="74" t="s">
        <v>8</v>
      </c>
      <c r="G1" s="68" t="s">
        <v>4</v>
      </c>
      <c r="H1" s="70" t="s">
        <v>5</v>
      </c>
    </row>
    <row r="2" spans="1:8" ht="15" customHeight="1" x14ac:dyDescent="0.25">
      <c r="A2" s="77"/>
      <c r="B2" s="73"/>
      <c r="C2" s="75"/>
      <c r="D2" s="75"/>
      <c r="E2" s="75"/>
      <c r="F2" s="75"/>
      <c r="G2" s="69"/>
      <c r="H2" s="71"/>
    </row>
    <row r="3" spans="1:8" ht="15" customHeight="1" x14ac:dyDescent="0.25">
      <c r="A3" s="77"/>
      <c r="B3" s="2">
        <v>45328</v>
      </c>
      <c r="C3" s="3">
        <v>661602431</v>
      </c>
      <c r="D3" s="3">
        <v>2</v>
      </c>
      <c r="E3" s="4" t="s">
        <v>267</v>
      </c>
      <c r="F3" s="19" t="s">
        <v>272</v>
      </c>
      <c r="G3" s="10" t="s">
        <v>10</v>
      </c>
      <c r="H3" s="11">
        <v>9000</v>
      </c>
    </row>
    <row r="4" spans="1:8" ht="15" customHeight="1" x14ac:dyDescent="0.25">
      <c r="A4" s="77"/>
      <c r="B4" s="2">
        <v>45364</v>
      </c>
      <c r="C4" s="3">
        <v>1202013548</v>
      </c>
      <c r="D4" s="3">
        <v>2</v>
      </c>
      <c r="E4" s="4" t="s">
        <v>352</v>
      </c>
      <c r="F4" s="19" t="s">
        <v>272</v>
      </c>
      <c r="G4" s="10" t="s">
        <v>6</v>
      </c>
      <c r="H4" s="11">
        <v>9000</v>
      </c>
    </row>
    <row r="5" spans="1:8" ht="15" customHeight="1" x14ac:dyDescent="0.25">
      <c r="A5" s="77"/>
      <c r="B5" s="2">
        <v>45369</v>
      </c>
      <c r="C5" s="3">
        <v>538726094</v>
      </c>
      <c r="D5" s="3">
        <v>4</v>
      </c>
      <c r="E5" s="4" t="s">
        <v>319</v>
      </c>
      <c r="F5" s="19" t="s">
        <v>272</v>
      </c>
      <c r="G5" s="10" t="s">
        <v>6</v>
      </c>
      <c r="H5" s="11">
        <v>18000</v>
      </c>
    </row>
    <row r="6" spans="1:8" ht="15" customHeight="1" x14ac:dyDescent="0.25">
      <c r="A6" s="77"/>
      <c r="B6" s="2">
        <v>45481</v>
      </c>
      <c r="C6" s="3">
        <v>655376772</v>
      </c>
      <c r="D6" s="3">
        <v>2</v>
      </c>
      <c r="E6" s="4" t="s">
        <v>801</v>
      </c>
      <c r="F6" s="19" t="s">
        <v>272</v>
      </c>
      <c r="G6" s="5" t="s">
        <v>7</v>
      </c>
      <c r="H6" s="6">
        <v>9000</v>
      </c>
    </row>
    <row r="7" spans="1:8" ht="20.100000000000001" customHeight="1" x14ac:dyDescent="0.25">
      <c r="A7" s="78"/>
      <c r="B7" s="13"/>
      <c r="C7" s="14"/>
      <c r="D7" s="14"/>
      <c r="E7" s="14" t="s">
        <v>5</v>
      </c>
      <c r="F7" s="15"/>
      <c r="G7" s="16"/>
      <c r="H7" s="17">
        <f>SUM(H3:H6)</f>
        <v>45000</v>
      </c>
    </row>
    <row r="8" spans="1:8" ht="20.100000000000001" customHeight="1" x14ac:dyDescent="0.25">
      <c r="A8" s="27"/>
      <c r="B8" s="8"/>
      <c r="C8" s="8"/>
      <c r="D8" s="8"/>
      <c r="E8" s="8"/>
      <c r="F8" s="12"/>
      <c r="G8" s="8"/>
      <c r="H8" s="9"/>
    </row>
  </sheetData>
  <mergeCells count="8">
    <mergeCell ref="G1:G2"/>
    <mergeCell ref="H1:H2"/>
    <mergeCell ref="A1:A7"/>
    <mergeCell ref="B1:B2"/>
    <mergeCell ref="C1:C2"/>
    <mergeCell ref="D1:D2"/>
    <mergeCell ref="E1:E2"/>
    <mergeCell ref="F1:F2"/>
  </mergeCells>
  <pageMargins left="0.7" right="0.7" top="0.75" bottom="0.75" header="0.3" footer="0.3"/>
  <pageSetup paperSize="9" orientation="portrait" horizontalDpi="120" verticalDpi="72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7"/>
  <sheetViews>
    <sheetView workbookViewId="0">
      <selection activeCell="E17" sqref="E17"/>
    </sheetView>
  </sheetViews>
  <sheetFormatPr baseColWidth="10" defaultColWidth="9.140625" defaultRowHeight="15" x14ac:dyDescent="0.25"/>
  <cols>
    <col min="1" max="1" width="18" customWidth="1"/>
    <col min="2" max="2" width="12.7109375" bestFit="1" customWidth="1"/>
    <col min="3" max="3" width="17.42578125" customWidth="1"/>
    <col min="4" max="4" width="11" customWidth="1"/>
    <col min="5" max="5" width="32.42578125" bestFit="1" customWidth="1"/>
    <col min="6" max="6" width="41.140625" style="1" bestFit="1" customWidth="1"/>
    <col min="7" max="7" width="16.140625" customWidth="1"/>
    <col min="8" max="8" width="14.28515625" bestFit="1" customWidth="1"/>
  </cols>
  <sheetData>
    <row r="1" spans="1:8" ht="15" customHeight="1" x14ac:dyDescent="0.25">
      <c r="A1" s="76" t="s">
        <v>40</v>
      </c>
      <c r="B1" s="72" t="s">
        <v>0</v>
      </c>
      <c r="C1" s="74" t="s">
        <v>1</v>
      </c>
      <c r="D1" s="74" t="s">
        <v>2</v>
      </c>
      <c r="E1" s="74" t="s">
        <v>3</v>
      </c>
      <c r="F1" s="74" t="s">
        <v>8</v>
      </c>
      <c r="G1" s="68" t="s">
        <v>4</v>
      </c>
      <c r="H1" s="70" t="s">
        <v>5</v>
      </c>
    </row>
    <row r="2" spans="1:8" ht="15" customHeight="1" x14ac:dyDescent="0.25">
      <c r="A2" s="77"/>
      <c r="B2" s="73"/>
      <c r="C2" s="75"/>
      <c r="D2" s="75"/>
      <c r="E2" s="75"/>
      <c r="F2" s="75"/>
      <c r="G2" s="69"/>
      <c r="H2" s="71"/>
    </row>
    <row r="3" spans="1:8" ht="20.100000000000001" customHeight="1" x14ac:dyDescent="0.25">
      <c r="A3" s="77"/>
      <c r="B3" s="2">
        <v>45329</v>
      </c>
      <c r="C3" s="3">
        <v>275990370</v>
      </c>
      <c r="D3" s="3">
        <v>3</v>
      </c>
      <c r="E3" s="4" t="s">
        <v>260</v>
      </c>
      <c r="F3" s="19" t="s">
        <v>273</v>
      </c>
      <c r="G3" s="10" t="s">
        <v>19</v>
      </c>
      <c r="H3" s="11">
        <v>3000</v>
      </c>
    </row>
    <row r="4" spans="1:8" ht="20.100000000000001" customHeight="1" x14ac:dyDescent="0.25">
      <c r="A4" s="77"/>
      <c r="B4" s="2">
        <v>45468</v>
      </c>
      <c r="C4" s="3">
        <v>3439152553</v>
      </c>
      <c r="D4" s="3">
        <v>2</v>
      </c>
      <c r="E4" s="19" t="s">
        <v>667</v>
      </c>
      <c r="F4" s="19" t="s">
        <v>273</v>
      </c>
      <c r="G4" s="10" t="s">
        <v>19</v>
      </c>
      <c r="H4" s="11">
        <v>3600</v>
      </c>
    </row>
    <row r="5" spans="1:8" ht="20.100000000000001" customHeight="1" x14ac:dyDescent="0.25">
      <c r="A5" s="77"/>
      <c r="B5" s="2">
        <v>45503</v>
      </c>
      <c r="C5" s="3">
        <v>3704311757</v>
      </c>
      <c r="D5" s="3">
        <v>2</v>
      </c>
      <c r="E5" s="4" t="s">
        <v>169</v>
      </c>
      <c r="F5" s="19" t="s">
        <v>273</v>
      </c>
      <c r="G5" s="5" t="s">
        <v>19</v>
      </c>
      <c r="H5" s="6">
        <v>3600</v>
      </c>
    </row>
    <row r="6" spans="1:8" ht="20.100000000000001" customHeight="1" x14ac:dyDescent="0.25">
      <c r="A6" s="78"/>
      <c r="B6" s="13"/>
      <c r="C6" s="14"/>
      <c r="D6" s="14"/>
      <c r="E6" s="14" t="s">
        <v>5</v>
      </c>
      <c r="F6" s="15"/>
      <c r="G6" s="16"/>
      <c r="H6" s="17">
        <f>SUM(H3:H5)</f>
        <v>10200</v>
      </c>
    </row>
    <row r="7" spans="1:8" ht="20.100000000000001" customHeight="1" x14ac:dyDescent="0.25">
      <c r="A7" s="27"/>
      <c r="B7" s="8"/>
      <c r="C7" s="8"/>
      <c r="D7" s="8"/>
      <c r="E7" s="8"/>
      <c r="F7" s="12"/>
      <c r="G7" s="8"/>
      <c r="H7" s="9"/>
    </row>
  </sheetData>
  <mergeCells count="8">
    <mergeCell ref="G1:G2"/>
    <mergeCell ref="H1:H2"/>
    <mergeCell ref="A1:A6"/>
    <mergeCell ref="B1:B2"/>
    <mergeCell ref="C1:C2"/>
    <mergeCell ref="D1:D2"/>
    <mergeCell ref="E1:E2"/>
    <mergeCell ref="F1:F2"/>
  </mergeCells>
  <pageMargins left="0.7" right="0.7" top="0.75" bottom="0.75" header="0.3" footer="0.3"/>
  <pageSetup paperSize="9" orientation="portrait" horizontalDpi="120" verticalDpi="72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10"/>
  <sheetViews>
    <sheetView workbookViewId="0">
      <selection activeCell="F13" sqref="F13"/>
    </sheetView>
  </sheetViews>
  <sheetFormatPr baseColWidth="10" defaultColWidth="9.140625" defaultRowHeight="15" x14ac:dyDescent="0.25"/>
  <cols>
    <col min="1" max="1" width="18" customWidth="1"/>
    <col min="2" max="2" width="12.7109375" bestFit="1" customWidth="1"/>
    <col min="3" max="3" width="17.42578125" customWidth="1"/>
    <col min="4" max="4" width="11" customWidth="1"/>
    <col min="5" max="5" width="32.42578125" bestFit="1" customWidth="1"/>
    <col min="6" max="6" width="41.140625" style="1" bestFit="1" customWidth="1"/>
    <col min="7" max="7" width="16.140625" customWidth="1"/>
    <col min="8" max="8" width="14.28515625" bestFit="1" customWidth="1"/>
  </cols>
  <sheetData>
    <row r="1" spans="1:8" ht="15" customHeight="1" x14ac:dyDescent="0.25">
      <c r="A1" s="76" t="s">
        <v>41</v>
      </c>
      <c r="B1" s="72" t="s">
        <v>0</v>
      </c>
      <c r="C1" s="74" t="s">
        <v>1</v>
      </c>
      <c r="D1" s="74" t="s">
        <v>2</v>
      </c>
      <c r="E1" s="74" t="s">
        <v>3</v>
      </c>
      <c r="F1" s="74" t="s">
        <v>8</v>
      </c>
      <c r="G1" s="68" t="s">
        <v>4</v>
      </c>
      <c r="H1" s="70" t="s">
        <v>5</v>
      </c>
    </row>
    <row r="2" spans="1:8" ht="15" customHeight="1" x14ac:dyDescent="0.25">
      <c r="A2" s="77"/>
      <c r="B2" s="73"/>
      <c r="C2" s="75"/>
      <c r="D2" s="75"/>
      <c r="E2" s="75"/>
      <c r="F2" s="75"/>
      <c r="G2" s="69"/>
      <c r="H2" s="71"/>
    </row>
    <row r="3" spans="1:8" ht="15" customHeight="1" x14ac:dyDescent="0.25">
      <c r="A3" s="77"/>
      <c r="B3" s="2">
        <v>45372</v>
      </c>
      <c r="C3" s="3">
        <v>2788051740</v>
      </c>
      <c r="D3" s="3">
        <v>1</v>
      </c>
      <c r="E3" s="4" t="s">
        <v>300</v>
      </c>
      <c r="F3" s="19" t="s">
        <v>41</v>
      </c>
      <c r="G3" s="10" t="s">
        <v>7</v>
      </c>
      <c r="H3" s="11">
        <v>6500</v>
      </c>
    </row>
    <row r="4" spans="1:8" ht="15" customHeight="1" x14ac:dyDescent="0.25">
      <c r="A4" s="77"/>
      <c r="B4" s="2">
        <v>45400</v>
      </c>
      <c r="C4" s="3">
        <v>2878947999</v>
      </c>
      <c r="D4" s="3">
        <v>1</v>
      </c>
      <c r="E4" s="4" t="s">
        <v>468</v>
      </c>
      <c r="F4" s="19" t="s">
        <v>540</v>
      </c>
      <c r="G4" s="5" t="s">
        <v>7</v>
      </c>
      <c r="H4" s="6">
        <v>1800</v>
      </c>
    </row>
    <row r="5" spans="1:8" ht="15" customHeight="1" x14ac:dyDescent="0.25">
      <c r="A5" s="77"/>
      <c r="B5" s="2">
        <v>45490</v>
      </c>
      <c r="C5" s="3">
        <v>729041878</v>
      </c>
      <c r="D5" s="3">
        <v>1</v>
      </c>
      <c r="E5" s="4" t="s">
        <v>877</v>
      </c>
      <c r="F5" s="19" t="s">
        <v>878</v>
      </c>
      <c r="G5" s="5" t="s">
        <v>19</v>
      </c>
      <c r="H5" s="6">
        <v>1000</v>
      </c>
    </row>
    <row r="6" spans="1:8" ht="15" customHeight="1" x14ac:dyDescent="0.25">
      <c r="A6" s="77"/>
      <c r="B6" s="2">
        <v>45499</v>
      </c>
      <c r="C6" s="3">
        <v>4041491869</v>
      </c>
      <c r="D6" s="3">
        <v>1</v>
      </c>
      <c r="E6" s="4" t="s">
        <v>877</v>
      </c>
      <c r="F6" s="19" t="s">
        <v>964</v>
      </c>
      <c r="G6" s="5" t="s">
        <v>6</v>
      </c>
      <c r="H6" s="6">
        <v>5000</v>
      </c>
    </row>
    <row r="7" spans="1:8" ht="15" customHeight="1" x14ac:dyDescent="0.25">
      <c r="A7" s="77"/>
      <c r="B7" s="2">
        <v>45561</v>
      </c>
      <c r="C7" s="3">
        <v>1372145102</v>
      </c>
      <c r="D7" s="3">
        <v>1</v>
      </c>
      <c r="E7" s="4" t="s">
        <v>649</v>
      </c>
      <c r="F7" s="19" t="s">
        <v>41</v>
      </c>
      <c r="G7" s="5" t="s">
        <v>11</v>
      </c>
      <c r="H7" s="6">
        <v>6000</v>
      </c>
    </row>
    <row r="8" spans="1:8" ht="15" customHeight="1" x14ac:dyDescent="0.25">
      <c r="A8" s="77"/>
      <c r="B8" s="2">
        <v>45607</v>
      </c>
      <c r="C8" s="3">
        <v>3895021185</v>
      </c>
      <c r="D8" s="3">
        <v>1</v>
      </c>
      <c r="E8" s="4" t="s">
        <v>1177</v>
      </c>
      <c r="F8" s="19" t="s">
        <v>41</v>
      </c>
      <c r="G8" s="5" t="s">
        <v>6</v>
      </c>
      <c r="H8" s="6">
        <v>5000</v>
      </c>
    </row>
    <row r="9" spans="1:8" ht="20.100000000000001" customHeight="1" x14ac:dyDescent="0.25">
      <c r="A9" s="78"/>
      <c r="B9" s="13"/>
      <c r="C9" s="14"/>
      <c r="D9" s="14"/>
      <c r="E9" s="14" t="s">
        <v>5</v>
      </c>
      <c r="F9" s="15"/>
      <c r="G9" s="16"/>
      <c r="H9" s="17">
        <f>SUM(H3:H8)</f>
        <v>25300</v>
      </c>
    </row>
    <row r="10" spans="1:8" ht="20.100000000000001" customHeight="1" x14ac:dyDescent="0.25">
      <c r="A10" s="27"/>
      <c r="B10" s="8"/>
      <c r="C10" s="8"/>
      <c r="D10" s="8"/>
      <c r="E10" s="8"/>
      <c r="F10" s="12"/>
      <c r="G10" s="8"/>
      <c r="H10" s="9"/>
    </row>
  </sheetData>
  <mergeCells count="8">
    <mergeCell ref="G1:G2"/>
    <mergeCell ref="H1:H2"/>
    <mergeCell ref="A1:A9"/>
    <mergeCell ref="B1:B2"/>
    <mergeCell ref="C1:C2"/>
    <mergeCell ref="D1:D2"/>
    <mergeCell ref="E1:E2"/>
    <mergeCell ref="F1:F2"/>
  </mergeCells>
  <pageMargins left="0.7" right="0.7" top="0.75" bottom="0.75" header="0.3" footer="0.3"/>
  <pageSetup paperSize="9" orientation="portrait" horizontalDpi="120" verticalDpi="72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26"/>
  <sheetViews>
    <sheetView topLeftCell="A13" workbookViewId="0">
      <selection activeCell="B24" sqref="B24:H24"/>
    </sheetView>
  </sheetViews>
  <sheetFormatPr baseColWidth="10" defaultColWidth="9.140625" defaultRowHeight="15" x14ac:dyDescent="0.25"/>
  <cols>
    <col min="1" max="1" width="18" customWidth="1"/>
    <col min="2" max="2" width="12.7109375" bestFit="1" customWidth="1"/>
    <col min="3" max="3" width="17.42578125" customWidth="1"/>
    <col min="4" max="4" width="11" customWidth="1"/>
    <col min="5" max="5" width="32.42578125" bestFit="1" customWidth="1"/>
    <col min="6" max="6" width="41.140625" style="1" bestFit="1" customWidth="1"/>
    <col min="7" max="7" width="16.140625" customWidth="1"/>
    <col min="8" max="8" width="14.28515625" bestFit="1" customWidth="1"/>
  </cols>
  <sheetData>
    <row r="1" spans="1:8" ht="15" customHeight="1" x14ac:dyDescent="0.25">
      <c r="A1" s="76" t="s">
        <v>42</v>
      </c>
      <c r="B1" s="72" t="s">
        <v>0</v>
      </c>
      <c r="C1" s="74" t="s">
        <v>1</v>
      </c>
      <c r="D1" s="74" t="s">
        <v>2</v>
      </c>
      <c r="E1" s="74" t="s">
        <v>3</v>
      </c>
      <c r="F1" s="74" t="s">
        <v>8</v>
      </c>
      <c r="G1" s="68" t="s">
        <v>4</v>
      </c>
      <c r="H1" s="70" t="s">
        <v>5</v>
      </c>
    </row>
    <row r="2" spans="1:8" ht="15" customHeight="1" x14ac:dyDescent="0.25">
      <c r="A2" s="77"/>
      <c r="B2" s="73"/>
      <c r="C2" s="75"/>
      <c r="D2" s="75"/>
      <c r="E2" s="75"/>
      <c r="F2" s="75"/>
      <c r="G2" s="69"/>
      <c r="H2" s="71"/>
    </row>
    <row r="3" spans="1:8" ht="15" customHeight="1" x14ac:dyDescent="0.25">
      <c r="A3" s="77"/>
      <c r="B3" s="2">
        <v>45295</v>
      </c>
      <c r="C3" s="3">
        <v>1964328520</v>
      </c>
      <c r="D3" s="3">
        <v>1</v>
      </c>
      <c r="E3" s="4" t="s">
        <v>179</v>
      </c>
      <c r="F3" s="28" t="s">
        <v>42</v>
      </c>
      <c r="G3" s="5" t="s">
        <v>6</v>
      </c>
      <c r="H3" s="6">
        <v>350</v>
      </c>
    </row>
    <row r="4" spans="1:8" ht="15" customHeight="1" x14ac:dyDescent="0.25">
      <c r="A4" s="77"/>
      <c r="B4" s="2">
        <v>45300</v>
      </c>
      <c r="C4" s="3">
        <v>4234036202</v>
      </c>
      <c r="D4" s="3">
        <v>10</v>
      </c>
      <c r="E4" s="4" t="s">
        <v>179</v>
      </c>
      <c r="F4" s="28" t="s">
        <v>42</v>
      </c>
      <c r="G4" s="5" t="s">
        <v>7</v>
      </c>
      <c r="H4" s="6">
        <v>2500</v>
      </c>
    </row>
    <row r="5" spans="1:8" ht="15" customHeight="1" x14ac:dyDescent="0.25">
      <c r="A5" s="77"/>
      <c r="B5" s="2">
        <v>45348</v>
      </c>
      <c r="C5" s="3">
        <v>2742046411</v>
      </c>
      <c r="D5" s="3">
        <v>15</v>
      </c>
      <c r="E5" s="4" t="s">
        <v>179</v>
      </c>
      <c r="F5" s="19" t="s">
        <v>42</v>
      </c>
      <c r="G5" s="10" t="s">
        <v>6</v>
      </c>
      <c r="H5" s="11">
        <v>3000</v>
      </c>
    </row>
    <row r="6" spans="1:8" ht="15" customHeight="1" x14ac:dyDescent="0.25">
      <c r="A6" s="77"/>
      <c r="B6" s="2">
        <v>45405</v>
      </c>
      <c r="C6" s="3">
        <v>3096793043</v>
      </c>
      <c r="D6" s="3">
        <v>1</v>
      </c>
      <c r="E6" s="4" t="s">
        <v>364</v>
      </c>
      <c r="F6" s="19" t="s">
        <v>42</v>
      </c>
      <c r="G6" s="10" t="s">
        <v>6</v>
      </c>
      <c r="H6" s="11">
        <v>350</v>
      </c>
    </row>
    <row r="7" spans="1:8" ht="15" customHeight="1" x14ac:dyDescent="0.25">
      <c r="A7" s="77"/>
      <c r="B7" s="2">
        <v>45407</v>
      </c>
      <c r="C7" s="3">
        <v>1725057014</v>
      </c>
      <c r="D7" s="3">
        <v>1</v>
      </c>
      <c r="E7" s="4" t="s">
        <v>295</v>
      </c>
      <c r="F7" s="19" t="s">
        <v>42</v>
      </c>
      <c r="G7" s="10" t="s">
        <v>6</v>
      </c>
      <c r="H7" s="11">
        <v>350</v>
      </c>
    </row>
    <row r="8" spans="1:8" ht="15" customHeight="1" x14ac:dyDescent="0.25">
      <c r="A8" s="77"/>
      <c r="B8" s="2">
        <v>45425</v>
      </c>
      <c r="C8" s="3">
        <v>305548470</v>
      </c>
      <c r="D8" s="3">
        <v>1</v>
      </c>
      <c r="E8" s="19" t="s">
        <v>634</v>
      </c>
      <c r="F8" s="19" t="s">
        <v>42</v>
      </c>
      <c r="G8" s="10" t="s">
        <v>10</v>
      </c>
      <c r="H8" s="11">
        <v>350</v>
      </c>
    </row>
    <row r="9" spans="1:8" ht="15" customHeight="1" x14ac:dyDescent="0.25">
      <c r="A9" s="77"/>
      <c r="B9" s="2">
        <v>45429</v>
      </c>
      <c r="C9" s="3">
        <v>2074690772</v>
      </c>
      <c r="D9" s="3">
        <v>1</v>
      </c>
      <c r="E9" s="19" t="s">
        <v>602</v>
      </c>
      <c r="F9" s="19" t="s">
        <v>42</v>
      </c>
      <c r="G9" s="10" t="s">
        <v>6</v>
      </c>
      <c r="H9" s="11">
        <v>350</v>
      </c>
    </row>
    <row r="10" spans="1:8" ht="15" customHeight="1" x14ac:dyDescent="0.25">
      <c r="A10" s="77"/>
      <c r="B10" s="2">
        <v>45441</v>
      </c>
      <c r="C10" s="3">
        <v>558383555</v>
      </c>
      <c r="D10" s="3">
        <v>1</v>
      </c>
      <c r="E10" s="19" t="s">
        <v>580</v>
      </c>
      <c r="F10" s="19" t="s">
        <v>42</v>
      </c>
      <c r="G10" s="10" t="s">
        <v>11</v>
      </c>
      <c r="H10" s="11">
        <v>350</v>
      </c>
    </row>
    <row r="11" spans="1:8" ht="15" customHeight="1" x14ac:dyDescent="0.25">
      <c r="A11" s="77"/>
      <c r="B11" s="2">
        <v>45447</v>
      </c>
      <c r="C11" s="3">
        <v>181028285</v>
      </c>
      <c r="D11" s="3">
        <v>1</v>
      </c>
      <c r="E11" s="19" t="s">
        <v>724</v>
      </c>
      <c r="F11" s="19" t="s">
        <v>42</v>
      </c>
      <c r="G11" s="10" t="s">
        <v>7</v>
      </c>
      <c r="H11" s="11">
        <v>300</v>
      </c>
    </row>
    <row r="12" spans="1:8" ht="15" customHeight="1" x14ac:dyDescent="0.25">
      <c r="A12" s="77"/>
      <c r="B12" s="2">
        <v>45457</v>
      </c>
      <c r="C12" s="3">
        <v>1757171320</v>
      </c>
      <c r="D12" s="3">
        <v>1</v>
      </c>
      <c r="E12" s="19" t="s">
        <v>732</v>
      </c>
      <c r="F12" s="19" t="s">
        <v>42</v>
      </c>
      <c r="G12" s="10" t="s">
        <v>11</v>
      </c>
      <c r="H12" s="11">
        <v>250</v>
      </c>
    </row>
    <row r="13" spans="1:8" ht="15" customHeight="1" x14ac:dyDescent="0.25">
      <c r="A13" s="77"/>
      <c r="B13" s="2">
        <v>45463</v>
      </c>
      <c r="C13" s="3">
        <v>2081443783</v>
      </c>
      <c r="D13" s="3">
        <v>25</v>
      </c>
      <c r="E13" s="19" t="s">
        <v>179</v>
      </c>
      <c r="F13" s="19" t="s">
        <v>42</v>
      </c>
      <c r="G13" s="10" t="s">
        <v>7</v>
      </c>
      <c r="H13" s="11">
        <v>5000</v>
      </c>
    </row>
    <row r="14" spans="1:8" ht="15" customHeight="1" x14ac:dyDescent="0.25">
      <c r="A14" s="77"/>
      <c r="B14" s="2">
        <v>45468</v>
      </c>
      <c r="C14" s="3">
        <v>3956228915</v>
      </c>
      <c r="D14" s="3">
        <v>10</v>
      </c>
      <c r="E14" s="19" t="s">
        <v>661</v>
      </c>
      <c r="F14" s="19" t="s">
        <v>42</v>
      </c>
      <c r="G14" s="10" t="s">
        <v>6</v>
      </c>
      <c r="H14" s="11">
        <v>2200</v>
      </c>
    </row>
    <row r="15" spans="1:8" ht="15" customHeight="1" x14ac:dyDescent="0.25">
      <c r="A15" s="77"/>
      <c r="B15" s="2">
        <v>45504</v>
      </c>
      <c r="C15" s="3">
        <v>940461495</v>
      </c>
      <c r="D15" s="3">
        <v>1</v>
      </c>
      <c r="E15" s="4" t="s">
        <v>802</v>
      </c>
      <c r="F15" s="19" t="s">
        <v>42</v>
      </c>
      <c r="G15" s="5" t="s">
        <v>6</v>
      </c>
      <c r="H15" s="6">
        <v>250</v>
      </c>
    </row>
    <row r="16" spans="1:8" ht="15" customHeight="1" x14ac:dyDescent="0.25">
      <c r="A16" s="77"/>
      <c r="B16" s="2">
        <v>45523</v>
      </c>
      <c r="C16" s="3">
        <v>1236157883</v>
      </c>
      <c r="D16" s="3">
        <v>1</v>
      </c>
      <c r="E16" s="4" t="s">
        <v>580</v>
      </c>
      <c r="F16" s="19" t="s">
        <v>42</v>
      </c>
      <c r="G16" s="5" t="s">
        <v>11</v>
      </c>
      <c r="H16" s="6">
        <v>300</v>
      </c>
    </row>
    <row r="17" spans="1:8" ht="15" customHeight="1" x14ac:dyDescent="0.25">
      <c r="A17" s="77"/>
      <c r="B17" s="2">
        <v>45556</v>
      </c>
      <c r="C17" s="3">
        <v>1714504273</v>
      </c>
      <c r="D17" s="3">
        <v>2</v>
      </c>
      <c r="E17" s="4" t="s">
        <v>501</v>
      </c>
      <c r="F17" s="19" t="s">
        <v>42</v>
      </c>
      <c r="G17" s="5" t="s">
        <v>7</v>
      </c>
      <c r="H17" s="6">
        <v>500</v>
      </c>
    </row>
    <row r="18" spans="1:8" ht="15" customHeight="1" x14ac:dyDescent="0.25">
      <c r="A18" s="77"/>
      <c r="B18" s="2">
        <v>45532</v>
      </c>
      <c r="C18" s="3">
        <v>1204504702</v>
      </c>
      <c r="D18" s="3">
        <v>1</v>
      </c>
      <c r="E18" s="4" t="s">
        <v>948</v>
      </c>
      <c r="F18" s="19" t="s">
        <v>42</v>
      </c>
      <c r="G18" s="5" t="s">
        <v>6</v>
      </c>
      <c r="H18" s="6">
        <v>250</v>
      </c>
    </row>
    <row r="19" spans="1:8" ht="15" customHeight="1" x14ac:dyDescent="0.25">
      <c r="A19" s="77"/>
      <c r="B19" s="2">
        <v>45533</v>
      </c>
      <c r="C19" s="3">
        <v>1250578303</v>
      </c>
      <c r="D19" s="3">
        <v>5</v>
      </c>
      <c r="E19" s="4" t="s">
        <v>929</v>
      </c>
      <c r="F19" s="19" t="s">
        <v>42</v>
      </c>
      <c r="G19" s="5" t="s">
        <v>7</v>
      </c>
      <c r="H19" s="6">
        <v>1000</v>
      </c>
    </row>
    <row r="20" spans="1:8" ht="15" customHeight="1" x14ac:dyDescent="0.25">
      <c r="A20" s="77"/>
      <c r="B20" s="2">
        <v>45538</v>
      </c>
      <c r="C20" s="3">
        <v>2607366167</v>
      </c>
      <c r="D20" s="3">
        <v>1</v>
      </c>
      <c r="E20" s="4" t="s">
        <v>580</v>
      </c>
      <c r="F20" s="19" t="s">
        <v>42</v>
      </c>
      <c r="G20" s="5" t="s">
        <v>11</v>
      </c>
      <c r="H20" s="6">
        <v>350</v>
      </c>
    </row>
    <row r="21" spans="1:8" ht="15" customHeight="1" x14ac:dyDescent="0.25">
      <c r="A21" s="77"/>
      <c r="B21" s="2">
        <v>45575</v>
      </c>
      <c r="C21" s="3">
        <v>3015917895</v>
      </c>
      <c r="D21" s="3">
        <v>1</v>
      </c>
      <c r="E21" s="4" t="s">
        <v>967</v>
      </c>
      <c r="F21" s="19" t="s">
        <v>42</v>
      </c>
      <c r="G21" s="5" t="s">
        <v>7</v>
      </c>
      <c r="H21" s="6">
        <v>350</v>
      </c>
    </row>
    <row r="22" spans="1:8" ht="15" customHeight="1" x14ac:dyDescent="0.25">
      <c r="A22" s="77"/>
      <c r="B22" s="2">
        <v>45594</v>
      </c>
      <c r="C22" s="3">
        <v>621234042</v>
      </c>
      <c r="D22" s="3">
        <v>8</v>
      </c>
      <c r="E22" s="4" t="s">
        <v>1057</v>
      </c>
      <c r="F22" s="19" t="s">
        <v>42</v>
      </c>
      <c r="G22" s="5" t="s">
        <v>11</v>
      </c>
      <c r="H22" s="6">
        <v>1600</v>
      </c>
    </row>
    <row r="23" spans="1:8" ht="15" customHeight="1" x14ac:dyDescent="0.25">
      <c r="A23" s="77"/>
      <c r="B23" s="2">
        <v>45604</v>
      </c>
      <c r="C23" s="3">
        <v>3273346368</v>
      </c>
      <c r="D23" s="3">
        <v>6</v>
      </c>
      <c r="E23" s="4" t="s">
        <v>944</v>
      </c>
      <c r="F23" s="19" t="s">
        <v>42</v>
      </c>
      <c r="G23" s="5" t="s">
        <v>19</v>
      </c>
      <c r="H23" s="6">
        <v>1500</v>
      </c>
    </row>
    <row r="24" spans="1:8" ht="15" customHeight="1" x14ac:dyDescent="0.25">
      <c r="A24" s="77"/>
      <c r="B24" s="2">
        <v>45642</v>
      </c>
      <c r="C24" s="3">
        <v>461917924</v>
      </c>
      <c r="D24" s="3">
        <v>20</v>
      </c>
      <c r="E24" s="4" t="s">
        <v>179</v>
      </c>
      <c r="F24" s="19" t="s">
        <v>42</v>
      </c>
      <c r="G24" s="5" t="s">
        <v>6</v>
      </c>
      <c r="H24" s="6">
        <v>3500</v>
      </c>
    </row>
    <row r="25" spans="1:8" ht="20.100000000000001" customHeight="1" x14ac:dyDescent="0.25">
      <c r="A25" s="78"/>
      <c r="B25" s="13"/>
      <c r="C25" s="14"/>
      <c r="D25" s="14"/>
      <c r="E25" s="14" t="s">
        <v>5</v>
      </c>
      <c r="F25" s="15"/>
      <c r="G25" s="16"/>
      <c r="H25" s="17">
        <f>SUM(H3:H24)</f>
        <v>24950</v>
      </c>
    </row>
    <row r="26" spans="1:8" ht="20.100000000000001" customHeight="1" x14ac:dyDescent="0.25">
      <c r="A26" s="27"/>
      <c r="B26" s="8"/>
      <c r="C26" s="8"/>
      <c r="D26" s="8"/>
      <c r="E26" s="8"/>
      <c r="F26" s="12"/>
      <c r="G26" s="8"/>
      <c r="H26" s="9"/>
    </row>
  </sheetData>
  <mergeCells count="8">
    <mergeCell ref="G1:G2"/>
    <mergeCell ref="H1:H2"/>
    <mergeCell ref="A1:A25"/>
    <mergeCell ref="B1:B2"/>
    <mergeCell ref="C1:C2"/>
    <mergeCell ref="D1:D2"/>
    <mergeCell ref="E1:E2"/>
    <mergeCell ref="F1:F2"/>
  </mergeCells>
  <pageMargins left="0.7" right="0.7" top="0.75" bottom="0.75" header="0.3" footer="0.3"/>
  <pageSetup paperSize="9" orientation="portrait" horizontalDpi="120" verticalDpi="72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5"/>
  <sheetViews>
    <sheetView workbookViewId="0">
      <selection activeCell="B3" sqref="B3:H3"/>
    </sheetView>
  </sheetViews>
  <sheetFormatPr baseColWidth="10" defaultColWidth="9.140625" defaultRowHeight="15" x14ac:dyDescent="0.25"/>
  <cols>
    <col min="1" max="1" width="18" customWidth="1"/>
    <col min="2" max="2" width="12.7109375" bestFit="1" customWidth="1"/>
    <col min="3" max="3" width="17.42578125" customWidth="1"/>
    <col min="4" max="4" width="11" customWidth="1"/>
    <col min="5" max="5" width="32.42578125" bestFit="1" customWidth="1"/>
    <col min="6" max="6" width="41.140625" style="1" bestFit="1" customWidth="1"/>
    <col min="7" max="7" width="16.140625" customWidth="1"/>
    <col min="8" max="8" width="14.28515625" bestFit="1" customWidth="1"/>
  </cols>
  <sheetData>
    <row r="1" spans="1:8" ht="15" customHeight="1" x14ac:dyDescent="0.25">
      <c r="A1" s="76" t="s">
        <v>43</v>
      </c>
      <c r="B1" s="72" t="s">
        <v>0</v>
      </c>
      <c r="C1" s="74" t="s">
        <v>1</v>
      </c>
      <c r="D1" s="74" t="s">
        <v>2</v>
      </c>
      <c r="E1" s="74" t="s">
        <v>3</v>
      </c>
      <c r="F1" s="74" t="s">
        <v>8</v>
      </c>
      <c r="G1" s="68" t="s">
        <v>4</v>
      </c>
      <c r="H1" s="70" t="s">
        <v>5</v>
      </c>
    </row>
    <row r="2" spans="1:8" ht="15" customHeight="1" x14ac:dyDescent="0.25">
      <c r="A2" s="77"/>
      <c r="B2" s="73"/>
      <c r="C2" s="75"/>
      <c r="D2" s="75"/>
      <c r="E2" s="75"/>
      <c r="F2" s="75"/>
      <c r="G2" s="69"/>
      <c r="H2" s="71"/>
    </row>
    <row r="3" spans="1:8" ht="20.100000000000001" customHeight="1" x14ac:dyDescent="0.25">
      <c r="A3" s="77"/>
      <c r="B3" s="60">
        <v>45630</v>
      </c>
      <c r="C3" s="63">
        <v>1543457484</v>
      </c>
      <c r="D3" s="3">
        <v>2</v>
      </c>
      <c r="E3" s="28" t="s">
        <v>1276</v>
      </c>
      <c r="F3" s="28" t="s">
        <v>1279</v>
      </c>
      <c r="G3" s="64" t="s">
        <v>11</v>
      </c>
      <c r="H3" s="6">
        <v>1400</v>
      </c>
    </row>
    <row r="4" spans="1:8" ht="20.100000000000001" customHeight="1" x14ac:dyDescent="0.25">
      <c r="A4" s="78"/>
      <c r="B4" s="13"/>
      <c r="C4" s="14"/>
      <c r="D4" s="14"/>
      <c r="E4" s="14" t="s">
        <v>5</v>
      </c>
      <c r="F4" s="15"/>
      <c r="G4" s="16"/>
      <c r="H4" s="17">
        <f>SUM(H3:H3)</f>
        <v>1400</v>
      </c>
    </row>
    <row r="5" spans="1:8" ht="20.100000000000001" customHeight="1" x14ac:dyDescent="0.25">
      <c r="A5" s="27"/>
      <c r="B5" s="8"/>
      <c r="C5" s="8"/>
      <c r="D5" s="8"/>
      <c r="E5" s="8"/>
      <c r="F5" s="12"/>
      <c r="G5" s="8"/>
      <c r="H5" s="9"/>
    </row>
  </sheetData>
  <mergeCells count="8">
    <mergeCell ref="G1:G2"/>
    <mergeCell ref="H1:H2"/>
    <mergeCell ref="A1:A4"/>
    <mergeCell ref="B1:B2"/>
    <mergeCell ref="C1:C2"/>
    <mergeCell ref="D1:D2"/>
    <mergeCell ref="E1:E2"/>
    <mergeCell ref="F1:F2"/>
  </mergeCells>
  <pageMargins left="0.7" right="0.7" top="0.75" bottom="0.75" header="0.3" footer="0.3"/>
  <pageSetup paperSize="9" orientation="portrait" horizontalDpi="120" verticalDpi="72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H13"/>
  <sheetViews>
    <sheetView workbookViewId="0">
      <selection activeCell="B7" sqref="B7:H7"/>
    </sheetView>
  </sheetViews>
  <sheetFormatPr baseColWidth="10" defaultColWidth="9.140625" defaultRowHeight="15" x14ac:dyDescent="0.25"/>
  <cols>
    <col min="1" max="1" width="16.28515625" customWidth="1"/>
    <col min="2" max="2" width="12.7109375" bestFit="1" customWidth="1"/>
    <col min="3" max="3" width="17.42578125" customWidth="1"/>
    <col min="4" max="4" width="11" customWidth="1"/>
    <col min="5" max="5" width="32.42578125" bestFit="1" customWidth="1"/>
    <col min="6" max="6" width="52.42578125" style="1" bestFit="1" customWidth="1"/>
    <col min="7" max="7" width="16.140625" customWidth="1"/>
    <col min="8" max="8" width="14.28515625" bestFit="1" customWidth="1"/>
  </cols>
  <sheetData>
    <row r="1" spans="1:8" ht="15" customHeight="1" x14ac:dyDescent="0.25">
      <c r="A1" s="65" t="s">
        <v>51</v>
      </c>
      <c r="B1" s="72" t="s">
        <v>0</v>
      </c>
      <c r="C1" s="74" t="s">
        <v>1</v>
      </c>
      <c r="D1" s="74" t="s">
        <v>2</v>
      </c>
      <c r="E1" s="74" t="s">
        <v>3</v>
      </c>
      <c r="F1" s="74" t="s">
        <v>8</v>
      </c>
      <c r="G1" s="68" t="s">
        <v>4</v>
      </c>
      <c r="H1" s="70" t="s">
        <v>5</v>
      </c>
    </row>
    <row r="2" spans="1:8" ht="15" customHeight="1" x14ac:dyDescent="0.25">
      <c r="A2" s="66"/>
      <c r="B2" s="73"/>
      <c r="C2" s="75"/>
      <c r="D2" s="75"/>
      <c r="E2" s="75"/>
      <c r="F2" s="75"/>
      <c r="G2" s="69"/>
      <c r="H2" s="71"/>
    </row>
    <row r="3" spans="1:8" ht="15" customHeight="1" x14ac:dyDescent="0.25">
      <c r="A3" s="66"/>
      <c r="B3" s="2">
        <v>45315</v>
      </c>
      <c r="C3" s="3">
        <v>3749136595</v>
      </c>
      <c r="D3" s="3">
        <v>1</v>
      </c>
      <c r="E3" s="4" t="s">
        <v>154</v>
      </c>
      <c r="F3" s="19" t="s">
        <v>52</v>
      </c>
      <c r="G3" s="5" t="s">
        <v>7</v>
      </c>
      <c r="H3" s="6">
        <v>17750</v>
      </c>
    </row>
    <row r="4" spans="1:8" ht="15" customHeight="1" x14ac:dyDescent="0.25">
      <c r="A4" s="66"/>
      <c r="B4" s="2">
        <v>45446</v>
      </c>
      <c r="C4" s="3">
        <v>3639757710</v>
      </c>
      <c r="D4" s="3">
        <v>1</v>
      </c>
      <c r="E4" s="19" t="s">
        <v>705</v>
      </c>
      <c r="F4" s="19" t="s">
        <v>733</v>
      </c>
      <c r="G4" s="10" t="s">
        <v>6</v>
      </c>
      <c r="H4" s="11">
        <v>17750</v>
      </c>
    </row>
    <row r="5" spans="1:8" ht="15" customHeight="1" x14ac:dyDescent="0.25">
      <c r="A5" s="66"/>
      <c r="B5" s="2">
        <v>45505</v>
      </c>
      <c r="C5" s="3">
        <v>22168784</v>
      </c>
      <c r="D5" s="3">
        <v>1</v>
      </c>
      <c r="E5" s="4" t="s">
        <v>928</v>
      </c>
      <c r="F5" s="19" t="s">
        <v>52</v>
      </c>
      <c r="G5" s="5" t="s">
        <v>10</v>
      </c>
      <c r="H5" s="6">
        <v>25838</v>
      </c>
    </row>
    <row r="6" spans="1:8" ht="15" customHeight="1" x14ac:dyDescent="0.25">
      <c r="A6" s="66"/>
      <c r="B6" s="2">
        <v>45565</v>
      </c>
      <c r="C6" s="3">
        <v>2551662146</v>
      </c>
      <c r="D6" s="3">
        <v>1</v>
      </c>
      <c r="E6" s="4" t="s">
        <v>989</v>
      </c>
      <c r="F6" s="19" t="s">
        <v>52</v>
      </c>
      <c r="G6" s="5" t="s">
        <v>13</v>
      </c>
      <c r="H6" s="6">
        <v>23160</v>
      </c>
    </row>
    <row r="7" spans="1:8" ht="15" customHeight="1" x14ac:dyDescent="0.25">
      <c r="A7" s="66"/>
      <c r="B7" s="2">
        <v>45572</v>
      </c>
      <c r="C7" s="3">
        <v>3409134142</v>
      </c>
      <c r="D7" s="3">
        <v>1</v>
      </c>
      <c r="E7" s="4" t="s">
        <v>1070</v>
      </c>
      <c r="F7" s="19" t="s">
        <v>52</v>
      </c>
      <c r="G7" s="5" t="s">
        <v>13</v>
      </c>
      <c r="H7" s="6">
        <v>23160</v>
      </c>
    </row>
    <row r="8" spans="1:8" ht="15" customHeight="1" x14ac:dyDescent="0.25">
      <c r="A8" s="66"/>
      <c r="B8" s="2"/>
      <c r="C8" s="3"/>
      <c r="D8" s="3"/>
      <c r="E8" s="4"/>
      <c r="F8" s="19"/>
      <c r="G8" s="5"/>
      <c r="H8" s="6"/>
    </row>
    <row r="9" spans="1:8" ht="15" customHeight="1" x14ac:dyDescent="0.25">
      <c r="A9" s="66"/>
      <c r="B9" s="2"/>
      <c r="C9" s="3"/>
      <c r="D9" s="3"/>
      <c r="E9" s="4"/>
      <c r="F9" s="19"/>
      <c r="G9" s="5"/>
      <c r="H9" s="6"/>
    </row>
    <row r="10" spans="1:8" ht="15" customHeight="1" x14ac:dyDescent="0.25">
      <c r="A10" s="66"/>
      <c r="B10" s="2"/>
      <c r="C10" s="3"/>
      <c r="D10" s="3"/>
      <c r="E10" s="4"/>
      <c r="F10" s="19"/>
      <c r="G10" s="5"/>
      <c r="H10" s="6"/>
    </row>
    <row r="11" spans="1:8" ht="15" customHeight="1" x14ac:dyDescent="0.25">
      <c r="A11" s="66"/>
      <c r="B11" s="2"/>
      <c r="C11" s="3"/>
      <c r="D11" s="3"/>
      <c r="E11" s="4"/>
      <c r="F11" s="19"/>
      <c r="G11" s="5"/>
      <c r="H11" s="6"/>
    </row>
    <row r="12" spans="1:8" ht="20.100000000000001" customHeight="1" x14ac:dyDescent="0.25">
      <c r="A12" s="67"/>
      <c r="B12" s="13"/>
      <c r="C12" s="14"/>
      <c r="D12" s="14"/>
      <c r="E12" s="14" t="s">
        <v>5</v>
      </c>
      <c r="F12" s="15"/>
      <c r="G12" s="16"/>
      <c r="H12" s="17">
        <f>SUM(H3:H11)</f>
        <v>107658</v>
      </c>
    </row>
    <row r="13" spans="1:8" ht="20.100000000000001" customHeight="1" x14ac:dyDescent="0.25">
      <c r="A13" s="7"/>
      <c r="B13" s="8"/>
      <c r="C13" s="8"/>
      <c r="D13" s="8"/>
      <c r="E13" s="8"/>
      <c r="F13" s="12"/>
      <c r="G13" s="8"/>
      <c r="H13" s="9"/>
    </row>
  </sheetData>
  <mergeCells count="8">
    <mergeCell ref="G1:G2"/>
    <mergeCell ref="H1:H2"/>
    <mergeCell ref="A1:A12"/>
    <mergeCell ref="B1:B2"/>
    <mergeCell ref="C1:C2"/>
    <mergeCell ref="D1:D2"/>
    <mergeCell ref="E1:E2"/>
    <mergeCell ref="F1:F2"/>
  </mergeCells>
  <pageMargins left="0.7" right="0.7" top="0.75" bottom="0.75" header="0.3" footer="0.3"/>
  <pageSetup paperSize="9" orientation="portrait" horizontalDpi="120" verticalDpi="72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H30"/>
  <sheetViews>
    <sheetView topLeftCell="A3" workbookViewId="0">
      <selection activeCell="B25" sqref="B25:H25"/>
    </sheetView>
  </sheetViews>
  <sheetFormatPr baseColWidth="10" defaultColWidth="9.140625" defaultRowHeight="15" x14ac:dyDescent="0.25"/>
  <cols>
    <col min="1" max="1" width="16.28515625" customWidth="1"/>
    <col min="2" max="2" width="12.7109375" bestFit="1" customWidth="1"/>
    <col min="3" max="3" width="17.42578125" customWidth="1"/>
    <col min="4" max="4" width="11" customWidth="1"/>
    <col min="5" max="5" width="32.42578125" bestFit="1" customWidth="1"/>
    <col min="6" max="6" width="52.42578125" style="1" bestFit="1" customWidth="1"/>
    <col min="7" max="7" width="16.140625" customWidth="1"/>
    <col min="8" max="8" width="14.28515625" bestFit="1" customWidth="1"/>
  </cols>
  <sheetData>
    <row r="1" spans="1:8" ht="15" customHeight="1" x14ac:dyDescent="0.25">
      <c r="A1" s="65" t="s">
        <v>60</v>
      </c>
      <c r="B1" s="72" t="s">
        <v>0</v>
      </c>
      <c r="C1" s="74" t="s">
        <v>1</v>
      </c>
      <c r="D1" s="74" t="s">
        <v>2</v>
      </c>
      <c r="E1" s="74" t="s">
        <v>3</v>
      </c>
      <c r="F1" s="74" t="s">
        <v>8</v>
      </c>
      <c r="G1" s="68" t="s">
        <v>4</v>
      </c>
      <c r="H1" s="70" t="s">
        <v>5</v>
      </c>
    </row>
    <row r="2" spans="1:8" ht="15" customHeight="1" x14ac:dyDescent="0.25">
      <c r="A2" s="66"/>
      <c r="B2" s="73"/>
      <c r="C2" s="75"/>
      <c r="D2" s="75"/>
      <c r="E2" s="75"/>
      <c r="F2" s="75"/>
      <c r="G2" s="69"/>
      <c r="H2" s="71"/>
    </row>
    <row r="3" spans="1:8" ht="15" customHeight="1" x14ac:dyDescent="0.25">
      <c r="A3" s="66"/>
      <c r="B3" s="2">
        <v>45390</v>
      </c>
      <c r="C3" s="3">
        <v>1928940883</v>
      </c>
      <c r="D3" s="3">
        <v>1</v>
      </c>
      <c r="E3" s="4" t="s">
        <v>476</v>
      </c>
      <c r="F3" s="19" t="s">
        <v>541</v>
      </c>
      <c r="G3" s="10" t="s">
        <v>10</v>
      </c>
      <c r="H3" s="11">
        <v>850</v>
      </c>
    </row>
    <row r="4" spans="1:8" ht="15" customHeight="1" x14ac:dyDescent="0.25">
      <c r="A4" s="66"/>
      <c r="B4" s="2">
        <v>45397</v>
      </c>
      <c r="C4" s="3">
        <v>690832433</v>
      </c>
      <c r="D4" s="3">
        <v>1</v>
      </c>
      <c r="E4" s="4" t="s">
        <v>75</v>
      </c>
      <c r="F4" s="19" t="s">
        <v>541</v>
      </c>
      <c r="G4" s="10" t="s">
        <v>7</v>
      </c>
      <c r="H4" s="11">
        <v>750</v>
      </c>
    </row>
    <row r="5" spans="1:8" ht="15" customHeight="1" x14ac:dyDescent="0.25">
      <c r="A5" s="66"/>
      <c r="B5" s="2">
        <v>45400</v>
      </c>
      <c r="C5" s="3">
        <v>3693102747</v>
      </c>
      <c r="D5" s="3">
        <v>5</v>
      </c>
      <c r="E5" s="4" t="s">
        <v>471</v>
      </c>
      <c r="F5" s="19" t="s">
        <v>542</v>
      </c>
      <c r="G5" s="10" t="s">
        <v>11</v>
      </c>
      <c r="H5" s="11">
        <v>3900</v>
      </c>
    </row>
    <row r="6" spans="1:8" ht="15" customHeight="1" x14ac:dyDescent="0.25">
      <c r="A6" s="66"/>
      <c r="B6" s="2">
        <v>45436</v>
      </c>
      <c r="C6" s="3">
        <v>2759872259</v>
      </c>
      <c r="D6" s="3">
        <v>3</v>
      </c>
      <c r="E6" s="19" t="s">
        <v>628</v>
      </c>
      <c r="F6" s="19" t="s">
        <v>637</v>
      </c>
      <c r="G6" s="10" t="s">
        <v>7</v>
      </c>
      <c r="H6" s="11">
        <v>2550</v>
      </c>
    </row>
    <row r="7" spans="1:8" ht="15" customHeight="1" x14ac:dyDescent="0.25">
      <c r="A7" s="66"/>
      <c r="B7" s="2">
        <v>45440</v>
      </c>
      <c r="C7" s="3">
        <v>3116253629</v>
      </c>
      <c r="D7" s="3">
        <v>5</v>
      </c>
      <c r="E7" s="19" t="s">
        <v>75</v>
      </c>
      <c r="F7" s="19" t="s">
        <v>542</v>
      </c>
      <c r="G7" s="10" t="s">
        <v>7</v>
      </c>
      <c r="H7" s="11">
        <v>3800</v>
      </c>
    </row>
    <row r="8" spans="1:8" ht="15" customHeight="1" x14ac:dyDescent="0.25">
      <c r="A8" s="66"/>
      <c r="B8" s="2">
        <v>45456</v>
      </c>
      <c r="C8" s="3">
        <v>150097716</v>
      </c>
      <c r="D8" s="3">
        <v>5</v>
      </c>
      <c r="E8" s="19" t="s">
        <v>78</v>
      </c>
      <c r="F8" s="19" t="s">
        <v>542</v>
      </c>
      <c r="G8" s="10" t="s">
        <v>6</v>
      </c>
      <c r="H8" s="11">
        <v>3800</v>
      </c>
    </row>
    <row r="9" spans="1:8" ht="15" customHeight="1" x14ac:dyDescent="0.25">
      <c r="A9" s="66"/>
      <c r="B9" s="2">
        <v>45489</v>
      </c>
      <c r="C9" s="3">
        <v>4108995424</v>
      </c>
      <c r="D9" s="3">
        <v>1</v>
      </c>
      <c r="E9" s="4" t="s">
        <v>803</v>
      </c>
      <c r="F9" s="19" t="s">
        <v>542</v>
      </c>
      <c r="G9" s="5" t="s">
        <v>6</v>
      </c>
      <c r="H9" s="6">
        <v>550</v>
      </c>
    </row>
    <row r="10" spans="1:8" ht="15" customHeight="1" x14ac:dyDescent="0.25">
      <c r="A10" s="66"/>
      <c r="B10" s="2">
        <v>45498</v>
      </c>
      <c r="C10" s="3">
        <v>3244379101</v>
      </c>
      <c r="D10" s="3">
        <v>4</v>
      </c>
      <c r="E10" s="4" t="s">
        <v>78</v>
      </c>
      <c r="F10" s="19" t="s">
        <v>804</v>
      </c>
      <c r="G10" s="5" t="s">
        <v>6</v>
      </c>
      <c r="H10" s="6">
        <v>1800</v>
      </c>
    </row>
    <row r="11" spans="1:8" ht="15" customHeight="1" x14ac:dyDescent="0.25">
      <c r="A11" s="66"/>
      <c r="B11" s="2">
        <v>45502</v>
      </c>
      <c r="C11" s="3">
        <v>3042267056</v>
      </c>
      <c r="D11" s="3">
        <v>4</v>
      </c>
      <c r="E11" s="4" t="s">
        <v>342</v>
      </c>
      <c r="F11" s="19" t="s">
        <v>805</v>
      </c>
      <c r="G11" s="5" t="s">
        <v>19</v>
      </c>
      <c r="H11" s="6">
        <v>1800</v>
      </c>
    </row>
    <row r="12" spans="1:8" ht="15" customHeight="1" x14ac:dyDescent="0.25">
      <c r="A12" s="66"/>
      <c r="B12" s="2">
        <v>45503</v>
      </c>
      <c r="C12" s="3">
        <v>3704311757</v>
      </c>
      <c r="D12" s="3">
        <v>2</v>
      </c>
      <c r="E12" s="4" t="s">
        <v>169</v>
      </c>
      <c r="F12" s="19" t="s">
        <v>806</v>
      </c>
      <c r="G12" s="5" t="s">
        <v>19</v>
      </c>
      <c r="H12" s="6">
        <v>900</v>
      </c>
    </row>
    <row r="13" spans="1:8" ht="15" customHeight="1" x14ac:dyDescent="0.25">
      <c r="A13" s="66"/>
      <c r="B13" s="2">
        <v>45509</v>
      </c>
      <c r="C13" s="3">
        <v>933773783</v>
      </c>
      <c r="D13" s="3">
        <v>1</v>
      </c>
      <c r="E13" s="4" t="s">
        <v>887</v>
      </c>
      <c r="F13" s="19" t="s">
        <v>541</v>
      </c>
      <c r="G13" s="5" t="s">
        <v>7</v>
      </c>
      <c r="H13" s="6">
        <v>450</v>
      </c>
    </row>
    <row r="14" spans="1:8" ht="15" customHeight="1" x14ac:dyDescent="0.25">
      <c r="A14" s="66"/>
      <c r="B14" s="2">
        <v>45547</v>
      </c>
      <c r="C14" s="3">
        <v>2218086035</v>
      </c>
      <c r="D14" s="3">
        <v>1</v>
      </c>
      <c r="E14" s="4" t="s">
        <v>1009</v>
      </c>
      <c r="F14" s="19" t="s">
        <v>1010</v>
      </c>
      <c r="G14" s="5" t="s">
        <v>19</v>
      </c>
      <c r="H14" s="6">
        <v>650</v>
      </c>
    </row>
    <row r="15" spans="1:8" ht="15" customHeight="1" x14ac:dyDescent="0.25">
      <c r="A15" s="66"/>
      <c r="B15" s="2">
        <v>45554</v>
      </c>
      <c r="C15" s="3">
        <v>3929165550</v>
      </c>
      <c r="D15" s="3">
        <v>1</v>
      </c>
      <c r="E15" s="4" t="s">
        <v>106</v>
      </c>
      <c r="F15" s="19" t="s">
        <v>637</v>
      </c>
      <c r="G15" s="5" t="s">
        <v>11</v>
      </c>
      <c r="H15" s="6">
        <v>650</v>
      </c>
    </row>
    <row r="16" spans="1:8" ht="15" customHeight="1" x14ac:dyDescent="0.25">
      <c r="A16" s="66"/>
      <c r="B16" s="2">
        <v>45554</v>
      </c>
      <c r="C16" s="3">
        <v>3501737309</v>
      </c>
      <c r="D16" s="3">
        <v>1</v>
      </c>
      <c r="E16" s="4" t="s">
        <v>512</v>
      </c>
      <c r="F16" s="19" t="s">
        <v>637</v>
      </c>
      <c r="G16" s="5" t="s">
        <v>6</v>
      </c>
      <c r="H16" s="6">
        <v>650</v>
      </c>
    </row>
    <row r="17" spans="1:8" ht="15" customHeight="1" x14ac:dyDescent="0.25">
      <c r="A17" s="66"/>
      <c r="B17" s="2">
        <v>45554</v>
      </c>
      <c r="C17" s="3">
        <v>3852025881</v>
      </c>
      <c r="D17" s="3">
        <v>1</v>
      </c>
      <c r="E17" s="4" t="s">
        <v>1011</v>
      </c>
      <c r="F17" s="19" t="s">
        <v>1012</v>
      </c>
      <c r="G17" s="5" t="s">
        <v>7</v>
      </c>
      <c r="H17" s="6">
        <v>400</v>
      </c>
    </row>
    <row r="18" spans="1:8" ht="15" customHeight="1" x14ac:dyDescent="0.25">
      <c r="A18" s="66"/>
      <c r="B18" s="2">
        <v>45554</v>
      </c>
      <c r="C18" s="3">
        <v>3852025881</v>
      </c>
      <c r="D18" s="3">
        <v>1</v>
      </c>
      <c r="E18" s="4" t="s">
        <v>1011</v>
      </c>
      <c r="F18" s="19" t="s">
        <v>1013</v>
      </c>
      <c r="G18" s="5" t="s">
        <v>11</v>
      </c>
      <c r="H18" s="6">
        <v>250</v>
      </c>
    </row>
    <row r="19" spans="1:8" ht="15" customHeight="1" x14ac:dyDescent="0.25">
      <c r="A19" s="66"/>
      <c r="B19" s="2">
        <v>45565</v>
      </c>
      <c r="C19" s="3">
        <v>1317684759</v>
      </c>
      <c r="D19" s="3">
        <v>1</v>
      </c>
      <c r="E19" s="4" t="s">
        <v>228</v>
      </c>
      <c r="F19" s="19" t="s">
        <v>637</v>
      </c>
      <c r="G19" s="5" t="s">
        <v>11</v>
      </c>
      <c r="H19" s="6">
        <v>600</v>
      </c>
    </row>
    <row r="20" spans="1:8" ht="15" customHeight="1" x14ac:dyDescent="0.25">
      <c r="A20" s="66"/>
      <c r="B20" s="2">
        <v>45565</v>
      </c>
      <c r="C20" s="3">
        <v>1317684759</v>
      </c>
      <c r="D20" s="3">
        <v>1</v>
      </c>
      <c r="E20" s="4" t="s">
        <v>228</v>
      </c>
      <c r="F20" s="19" t="s">
        <v>1014</v>
      </c>
      <c r="G20" s="5" t="s">
        <v>11</v>
      </c>
      <c r="H20" s="6">
        <v>945</v>
      </c>
    </row>
    <row r="21" spans="1:8" ht="15" customHeight="1" x14ac:dyDescent="0.25">
      <c r="A21" s="66"/>
      <c r="B21" s="2">
        <v>45565</v>
      </c>
      <c r="C21" s="3">
        <v>1317684759</v>
      </c>
      <c r="D21" s="3">
        <v>1</v>
      </c>
      <c r="E21" s="4" t="s">
        <v>228</v>
      </c>
      <c r="F21" s="19" t="s">
        <v>1015</v>
      </c>
      <c r="G21" s="5" t="s">
        <v>11</v>
      </c>
      <c r="H21" s="6">
        <v>600</v>
      </c>
    </row>
    <row r="22" spans="1:8" ht="15" customHeight="1" x14ac:dyDescent="0.25">
      <c r="A22" s="66"/>
      <c r="B22" s="2">
        <v>45565</v>
      </c>
      <c r="C22" s="3">
        <v>1317684759</v>
      </c>
      <c r="D22" s="3">
        <v>1</v>
      </c>
      <c r="E22" s="4" t="s">
        <v>228</v>
      </c>
      <c r="F22" s="19" t="s">
        <v>1016</v>
      </c>
      <c r="G22" s="5" t="s">
        <v>11</v>
      </c>
      <c r="H22" s="6">
        <v>500</v>
      </c>
    </row>
    <row r="23" spans="1:8" ht="15" customHeight="1" x14ac:dyDescent="0.25">
      <c r="A23" s="66"/>
      <c r="B23" s="2">
        <v>45572</v>
      </c>
      <c r="C23" s="3">
        <v>3638314772</v>
      </c>
      <c r="D23" s="3">
        <v>3</v>
      </c>
      <c r="E23" s="4" t="s">
        <v>1093</v>
      </c>
      <c r="F23" s="19" t="s">
        <v>637</v>
      </c>
      <c r="G23" s="5" t="s">
        <v>6</v>
      </c>
      <c r="H23" s="6">
        <v>1950</v>
      </c>
    </row>
    <row r="24" spans="1:8" ht="15" customHeight="1" x14ac:dyDescent="0.25">
      <c r="A24" s="66"/>
      <c r="B24" s="2">
        <v>45594</v>
      </c>
      <c r="C24" s="3">
        <v>1213222143</v>
      </c>
      <c r="D24" s="3">
        <v>1</v>
      </c>
      <c r="E24" s="4" t="s">
        <v>107</v>
      </c>
      <c r="F24" s="19" t="s">
        <v>637</v>
      </c>
      <c r="G24" s="5" t="s">
        <v>6</v>
      </c>
      <c r="H24" s="6">
        <v>650</v>
      </c>
    </row>
    <row r="25" spans="1:8" ht="15" customHeight="1" x14ac:dyDescent="0.25">
      <c r="A25" s="66"/>
      <c r="B25" s="2">
        <v>45629</v>
      </c>
      <c r="C25" s="3">
        <v>3151973820</v>
      </c>
      <c r="D25" s="3">
        <v>1</v>
      </c>
      <c r="E25" s="4" t="s">
        <v>1069</v>
      </c>
      <c r="F25" s="19" t="s">
        <v>806</v>
      </c>
      <c r="G25" s="5" t="s">
        <v>6</v>
      </c>
      <c r="H25" s="6">
        <v>800</v>
      </c>
    </row>
    <row r="26" spans="1:8" ht="15" customHeight="1" x14ac:dyDescent="0.25">
      <c r="A26" s="66"/>
      <c r="B26" s="2"/>
      <c r="C26" s="3"/>
      <c r="D26" s="3"/>
      <c r="E26" s="4"/>
      <c r="F26" s="19"/>
      <c r="G26" s="5"/>
      <c r="H26" s="6"/>
    </row>
    <row r="27" spans="1:8" ht="15" customHeight="1" x14ac:dyDescent="0.25">
      <c r="A27" s="66"/>
      <c r="B27" s="2"/>
      <c r="C27" s="3"/>
      <c r="D27" s="3"/>
      <c r="E27" s="4"/>
      <c r="F27" s="19"/>
      <c r="G27" s="5"/>
      <c r="H27" s="6"/>
    </row>
    <row r="28" spans="1:8" ht="15" customHeight="1" x14ac:dyDescent="0.25">
      <c r="A28" s="66"/>
      <c r="B28" s="53"/>
      <c r="C28" s="53"/>
      <c r="D28" s="53"/>
      <c r="E28" s="53"/>
      <c r="F28" s="53"/>
      <c r="G28" s="53"/>
      <c r="H28" s="6"/>
    </row>
    <row r="29" spans="1:8" ht="20.100000000000001" customHeight="1" x14ac:dyDescent="0.25">
      <c r="A29" s="67"/>
      <c r="B29" s="13"/>
      <c r="C29" s="14"/>
      <c r="D29" s="14"/>
      <c r="E29" s="14" t="s">
        <v>5</v>
      </c>
      <c r="F29" s="15"/>
      <c r="G29" s="16"/>
      <c r="H29" s="17">
        <f>SUM(H3:H28)</f>
        <v>29795</v>
      </c>
    </row>
    <row r="30" spans="1:8" ht="20.100000000000001" customHeight="1" x14ac:dyDescent="0.25">
      <c r="A30" s="7"/>
      <c r="B30" s="8"/>
      <c r="C30" s="8"/>
      <c r="D30" s="8"/>
      <c r="E30" s="8"/>
      <c r="F30" s="12"/>
      <c r="G30" s="8"/>
      <c r="H30" s="9"/>
    </row>
  </sheetData>
  <mergeCells count="8">
    <mergeCell ref="G1:G2"/>
    <mergeCell ref="H1:H2"/>
    <mergeCell ref="A1:A29"/>
    <mergeCell ref="B1:B2"/>
    <mergeCell ref="C1:C2"/>
    <mergeCell ref="D1:D2"/>
    <mergeCell ref="E1:E2"/>
    <mergeCell ref="F1:F2"/>
  </mergeCells>
  <pageMargins left="0.7" right="0.7" top="0.75" bottom="0.75" header="0.3" footer="0.3"/>
  <pageSetup paperSize="9" orientation="portrait" horizontalDpi="120" verticalDpi="72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H33"/>
  <sheetViews>
    <sheetView workbookViewId="0">
      <selection activeCell="F22" sqref="F22"/>
    </sheetView>
  </sheetViews>
  <sheetFormatPr baseColWidth="10" defaultColWidth="9.140625" defaultRowHeight="15" x14ac:dyDescent="0.25"/>
  <cols>
    <col min="1" max="1" width="16.28515625" customWidth="1"/>
    <col min="2" max="2" width="12.7109375" bestFit="1" customWidth="1"/>
    <col min="3" max="3" width="17.42578125" customWidth="1"/>
    <col min="4" max="4" width="11" customWidth="1"/>
    <col min="5" max="5" width="32.42578125" bestFit="1" customWidth="1"/>
    <col min="6" max="6" width="52.42578125" style="1" bestFit="1" customWidth="1"/>
    <col min="7" max="7" width="11.5703125" bestFit="1" customWidth="1"/>
    <col min="8" max="8" width="14.28515625" bestFit="1" customWidth="1"/>
  </cols>
  <sheetData>
    <row r="1" spans="1:8" ht="15" customHeight="1" x14ac:dyDescent="0.25">
      <c r="A1" s="76" t="s">
        <v>61</v>
      </c>
      <c r="B1" s="72" t="s">
        <v>0</v>
      </c>
      <c r="C1" s="74" t="s">
        <v>1</v>
      </c>
      <c r="D1" s="74" t="s">
        <v>2</v>
      </c>
      <c r="E1" s="74" t="s">
        <v>3</v>
      </c>
      <c r="F1" s="74" t="s">
        <v>8</v>
      </c>
      <c r="G1" s="68" t="s">
        <v>4</v>
      </c>
      <c r="H1" s="70" t="s">
        <v>5</v>
      </c>
    </row>
    <row r="2" spans="1:8" ht="15" customHeight="1" x14ac:dyDescent="0.25">
      <c r="A2" s="77"/>
      <c r="B2" s="73"/>
      <c r="C2" s="75"/>
      <c r="D2" s="75"/>
      <c r="E2" s="75"/>
      <c r="F2" s="75"/>
      <c r="G2" s="69"/>
      <c r="H2" s="71"/>
    </row>
    <row r="3" spans="1:8" ht="15" customHeight="1" x14ac:dyDescent="0.25">
      <c r="A3" s="77"/>
      <c r="B3" s="2">
        <v>45392</v>
      </c>
      <c r="C3" s="3">
        <v>2054307925</v>
      </c>
      <c r="D3" s="3">
        <v>3</v>
      </c>
      <c r="E3" s="4" t="s">
        <v>228</v>
      </c>
      <c r="F3" s="19" t="s">
        <v>61</v>
      </c>
      <c r="G3" s="10" t="s">
        <v>7</v>
      </c>
      <c r="H3" s="11">
        <v>6000</v>
      </c>
    </row>
    <row r="4" spans="1:8" ht="15" customHeight="1" x14ac:dyDescent="0.25">
      <c r="A4" s="77"/>
      <c r="B4" s="2">
        <v>45394</v>
      </c>
      <c r="C4" s="3">
        <v>1712341042</v>
      </c>
      <c r="D4" s="3">
        <v>3</v>
      </c>
      <c r="E4" s="4" t="s">
        <v>517</v>
      </c>
      <c r="F4" s="19" t="s">
        <v>61</v>
      </c>
      <c r="G4" s="10" t="s">
        <v>19</v>
      </c>
      <c r="H4" s="11">
        <v>6000</v>
      </c>
    </row>
    <row r="5" spans="1:8" ht="15" customHeight="1" x14ac:dyDescent="0.25">
      <c r="A5" s="77"/>
      <c r="B5" s="2">
        <v>45412</v>
      </c>
      <c r="C5" s="3">
        <v>3848161816</v>
      </c>
      <c r="D5" s="3">
        <v>3</v>
      </c>
      <c r="E5" s="4" t="s">
        <v>473</v>
      </c>
      <c r="F5" s="19" t="s">
        <v>61</v>
      </c>
      <c r="G5" s="10" t="s">
        <v>7</v>
      </c>
      <c r="H5" s="11">
        <v>6000</v>
      </c>
    </row>
    <row r="6" spans="1:8" ht="15" customHeight="1" x14ac:dyDescent="0.25">
      <c r="A6" s="77"/>
      <c r="B6" s="2">
        <v>45495</v>
      </c>
      <c r="C6" s="3">
        <v>389694147</v>
      </c>
      <c r="D6" s="3">
        <v>3</v>
      </c>
      <c r="E6" s="4" t="s">
        <v>807</v>
      </c>
      <c r="F6" s="19" t="s">
        <v>61</v>
      </c>
      <c r="G6" s="5" t="s">
        <v>19</v>
      </c>
      <c r="H6" s="6">
        <v>6000</v>
      </c>
    </row>
    <row r="7" spans="1:8" ht="15" customHeight="1" x14ac:dyDescent="0.25">
      <c r="A7" s="77"/>
      <c r="B7" s="2">
        <v>45531</v>
      </c>
      <c r="C7" s="3">
        <v>963071948</v>
      </c>
      <c r="D7" s="3">
        <v>2</v>
      </c>
      <c r="E7" s="4" t="s">
        <v>933</v>
      </c>
      <c r="F7" s="19" t="s">
        <v>61</v>
      </c>
      <c r="G7" s="5" t="s">
        <v>6</v>
      </c>
      <c r="H7" s="6">
        <v>3666</v>
      </c>
    </row>
    <row r="8" spans="1:8" ht="15" customHeight="1" x14ac:dyDescent="0.25">
      <c r="A8" s="77"/>
      <c r="B8" s="2">
        <v>45531</v>
      </c>
      <c r="C8" s="3">
        <v>963071948</v>
      </c>
      <c r="D8" s="3">
        <v>1</v>
      </c>
      <c r="E8" s="4" t="s">
        <v>933</v>
      </c>
      <c r="F8" s="19" t="s">
        <v>61</v>
      </c>
      <c r="G8" s="5" t="s">
        <v>6</v>
      </c>
      <c r="H8" s="6">
        <v>1834</v>
      </c>
    </row>
    <row r="9" spans="1:8" ht="15" customHeight="1" x14ac:dyDescent="0.25">
      <c r="A9" s="77"/>
      <c r="B9" s="2">
        <v>45544</v>
      </c>
      <c r="C9" s="3">
        <v>1594442898</v>
      </c>
      <c r="D9" s="3">
        <v>1</v>
      </c>
      <c r="E9" s="4" t="s">
        <v>752</v>
      </c>
      <c r="F9" s="19" t="s">
        <v>61</v>
      </c>
      <c r="G9" s="5" t="s">
        <v>19</v>
      </c>
      <c r="H9" s="6">
        <v>1933</v>
      </c>
    </row>
    <row r="10" spans="1:8" ht="15" customHeight="1" x14ac:dyDescent="0.25">
      <c r="A10" s="77"/>
      <c r="B10" s="2">
        <v>45544</v>
      </c>
      <c r="C10" s="3">
        <v>1594442898</v>
      </c>
      <c r="D10" s="3">
        <v>1</v>
      </c>
      <c r="E10" s="4" t="s">
        <v>752</v>
      </c>
      <c r="F10" s="19" t="s">
        <v>1017</v>
      </c>
      <c r="G10" s="5" t="s">
        <v>19</v>
      </c>
      <c r="H10" s="6">
        <v>967</v>
      </c>
    </row>
    <row r="11" spans="1:8" ht="15" customHeight="1" x14ac:dyDescent="0.25">
      <c r="A11" s="77"/>
      <c r="B11" s="2">
        <v>45594</v>
      </c>
      <c r="C11" s="3">
        <v>2186232327</v>
      </c>
      <c r="D11" s="3">
        <v>1</v>
      </c>
      <c r="E11" s="4" t="s">
        <v>752</v>
      </c>
      <c r="F11" s="19" t="s">
        <v>1094</v>
      </c>
      <c r="G11" s="5" t="s">
        <v>7</v>
      </c>
      <c r="H11" s="6">
        <v>966</v>
      </c>
    </row>
    <row r="12" spans="1:8" ht="15" customHeight="1" x14ac:dyDescent="0.25">
      <c r="A12" s="77"/>
      <c r="B12" s="2">
        <v>45594</v>
      </c>
      <c r="C12" s="3">
        <v>2186232327</v>
      </c>
      <c r="D12" s="3">
        <v>1</v>
      </c>
      <c r="E12" s="4" t="s">
        <v>752</v>
      </c>
      <c r="F12" s="19" t="s">
        <v>1095</v>
      </c>
      <c r="G12" s="5" t="s">
        <v>7</v>
      </c>
      <c r="H12" s="6">
        <v>434</v>
      </c>
    </row>
    <row r="13" spans="1:8" ht="15" customHeight="1" x14ac:dyDescent="0.25">
      <c r="A13" s="77"/>
      <c r="B13" s="2"/>
      <c r="C13" s="3"/>
      <c r="D13" s="3"/>
      <c r="E13" s="4"/>
      <c r="F13" s="19"/>
      <c r="G13" s="5"/>
      <c r="H13" s="6"/>
    </row>
    <row r="14" spans="1:8" ht="15" customHeight="1" x14ac:dyDescent="0.25">
      <c r="A14" s="77"/>
      <c r="B14" s="2"/>
      <c r="C14" s="3"/>
      <c r="D14" s="3"/>
      <c r="E14" s="4"/>
      <c r="F14" s="19"/>
      <c r="G14" s="5"/>
      <c r="H14" s="6"/>
    </row>
    <row r="15" spans="1:8" ht="15" customHeight="1" x14ac:dyDescent="0.25">
      <c r="A15" s="77"/>
      <c r="B15" s="2"/>
      <c r="C15" s="3"/>
      <c r="D15" s="3"/>
      <c r="E15" s="4"/>
      <c r="F15" s="19"/>
      <c r="G15" s="5"/>
      <c r="H15" s="6"/>
    </row>
    <row r="16" spans="1:8" ht="15" customHeight="1" x14ac:dyDescent="0.25">
      <c r="A16" s="77"/>
      <c r="B16" s="2"/>
      <c r="C16" s="3"/>
      <c r="D16" s="3"/>
      <c r="E16" s="4"/>
      <c r="F16" s="19"/>
      <c r="G16" s="5"/>
      <c r="H16" s="6"/>
    </row>
    <row r="17" spans="1:8" ht="15" customHeight="1" x14ac:dyDescent="0.25">
      <c r="A17" s="77"/>
      <c r="B17" s="2"/>
      <c r="C17" s="3"/>
      <c r="D17" s="3"/>
      <c r="E17" s="4"/>
      <c r="F17" s="19"/>
      <c r="G17" s="5"/>
      <c r="H17" s="6"/>
    </row>
    <row r="18" spans="1:8" ht="15" customHeight="1" x14ac:dyDescent="0.25">
      <c r="A18" s="77"/>
      <c r="B18" s="2"/>
      <c r="C18" s="3"/>
      <c r="D18" s="3"/>
      <c r="E18" s="4"/>
      <c r="F18" s="19"/>
      <c r="G18" s="5"/>
      <c r="H18" s="6"/>
    </row>
    <row r="19" spans="1:8" ht="15" customHeight="1" x14ac:dyDescent="0.25">
      <c r="A19" s="77"/>
      <c r="B19" s="2"/>
      <c r="C19" s="3"/>
      <c r="D19" s="3"/>
      <c r="E19" s="4"/>
      <c r="F19" s="19"/>
      <c r="G19" s="5"/>
      <c r="H19" s="6"/>
    </row>
    <row r="20" spans="1:8" ht="15" customHeight="1" x14ac:dyDescent="0.25">
      <c r="A20" s="77"/>
      <c r="B20" s="2"/>
      <c r="C20" s="3"/>
      <c r="D20" s="3"/>
      <c r="E20" s="4"/>
      <c r="F20" s="19"/>
      <c r="G20" s="5"/>
      <c r="H20" s="6"/>
    </row>
    <row r="21" spans="1:8" ht="15" customHeight="1" x14ac:dyDescent="0.25">
      <c r="A21" s="77"/>
      <c r="B21" s="2"/>
      <c r="C21" s="3"/>
      <c r="D21" s="3"/>
      <c r="E21" s="4"/>
      <c r="F21" s="19"/>
      <c r="G21" s="5"/>
      <c r="H21" s="6"/>
    </row>
    <row r="22" spans="1:8" ht="15" customHeight="1" x14ac:dyDescent="0.25">
      <c r="A22" s="77"/>
      <c r="B22" s="2"/>
      <c r="C22" s="3"/>
      <c r="D22" s="3"/>
      <c r="E22" s="4"/>
      <c r="F22" s="19"/>
      <c r="G22" s="5"/>
      <c r="H22" s="6"/>
    </row>
    <row r="23" spans="1:8" ht="15" customHeight="1" x14ac:dyDescent="0.25">
      <c r="A23" s="77"/>
      <c r="B23" s="2"/>
      <c r="C23" s="3"/>
      <c r="D23" s="3"/>
      <c r="E23" s="4"/>
      <c r="F23" s="19"/>
      <c r="G23" s="5"/>
      <c r="H23" s="6"/>
    </row>
    <row r="24" spans="1:8" ht="15" customHeight="1" x14ac:dyDescent="0.25">
      <c r="A24" s="77"/>
      <c r="B24" s="2"/>
      <c r="C24" s="3"/>
      <c r="D24" s="3"/>
      <c r="E24" s="4"/>
      <c r="F24" s="19"/>
      <c r="G24" s="5"/>
      <c r="H24" s="6"/>
    </row>
    <row r="25" spans="1:8" ht="15" customHeight="1" x14ac:dyDescent="0.25">
      <c r="A25" s="77"/>
      <c r="B25" s="2"/>
      <c r="C25" s="3"/>
      <c r="D25" s="3"/>
      <c r="E25" s="4"/>
      <c r="F25" s="19"/>
      <c r="G25" s="5"/>
      <c r="H25" s="6"/>
    </row>
    <row r="26" spans="1:8" ht="15" customHeight="1" x14ac:dyDescent="0.25">
      <c r="A26" s="77"/>
      <c r="B26" s="2"/>
      <c r="C26" s="3"/>
      <c r="D26" s="3"/>
      <c r="E26" s="4"/>
      <c r="F26" s="19"/>
      <c r="G26" s="5"/>
      <c r="H26" s="6"/>
    </row>
    <row r="27" spans="1:8" ht="15" customHeight="1" x14ac:dyDescent="0.25">
      <c r="A27" s="77"/>
      <c r="B27" s="2"/>
      <c r="C27" s="3"/>
      <c r="D27" s="3"/>
      <c r="E27" s="4"/>
      <c r="F27" s="19"/>
      <c r="G27" s="5"/>
      <c r="H27" s="6"/>
    </row>
    <row r="28" spans="1:8" ht="15" customHeight="1" x14ac:dyDescent="0.25">
      <c r="A28" s="77"/>
      <c r="B28" s="2"/>
      <c r="C28" s="3"/>
      <c r="D28" s="3"/>
      <c r="E28" s="4"/>
      <c r="F28" s="19"/>
      <c r="G28" s="5"/>
      <c r="H28" s="6"/>
    </row>
    <row r="29" spans="1:8" ht="15" customHeight="1" x14ac:dyDescent="0.25">
      <c r="A29" s="77"/>
      <c r="B29" s="2"/>
      <c r="C29" s="3"/>
      <c r="D29" s="3"/>
      <c r="E29" s="4"/>
      <c r="F29" s="19"/>
      <c r="G29" s="5"/>
      <c r="H29" s="6"/>
    </row>
    <row r="30" spans="1:8" ht="15" customHeight="1" x14ac:dyDescent="0.25">
      <c r="A30" s="77"/>
      <c r="B30" s="2"/>
      <c r="C30" s="3"/>
      <c r="D30" s="3"/>
      <c r="E30" s="4"/>
      <c r="F30" s="19"/>
      <c r="G30" s="5"/>
      <c r="H30" s="6"/>
    </row>
    <row r="31" spans="1:8" ht="15" customHeight="1" x14ac:dyDescent="0.25">
      <c r="A31" s="77"/>
      <c r="B31" s="2"/>
      <c r="C31" s="3"/>
      <c r="D31" s="3"/>
      <c r="E31" s="4"/>
      <c r="F31" s="19"/>
      <c r="G31" s="5"/>
      <c r="H31" s="6"/>
    </row>
    <row r="32" spans="1:8" ht="20.100000000000001" customHeight="1" x14ac:dyDescent="0.25">
      <c r="A32" s="78"/>
      <c r="B32" s="13"/>
      <c r="C32" s="14"/>
      <c r="D32" s="14"/>
      <c r="E32" s="14" t="s">
        <v>5</v>
      </c>
      <c r="F32" s="15"/>
      <c r="G32" s="16"/>
      <c r="H32" s="17">
        <f>SUM(H3:H31)</f>
        <v>33800</v>
      </c>
    </row>
    <row r="33" spans="1:8" ht="20.100000000000001" customHeight="1" x14ac:dyDescent="0.25">
      <c r="A33" s="7"/>
      <c r="B33" s="8"/>
      <c r="C33" s="8"/>
      <c r="D33" s="8"/>
      <c r="E33" s="8"/>
      <c r="F33" s="12"/>
      <c r="G33" s="8"/>
      <c r="H33" s="9"/>
    </row>
  </sheetData>
  <mergeCells count="8">
    <mergeCell ref="G1:G2"/>
    <mergeCell ref="H1:H2"/>
    <mergeCell ref="A1:A32"/>
    <mergeCell ref="B1:B2"/>
    <mergeCell ref="C1:C2"/>
    <mergeCell ref="D1:D2"/>
    <mergeCell ref="E1:E2"/>
    <mergeCell ref="F1:F2"/>
  </mergeCells>
  <pageMargins left="0.7" right="0.7" top="0.75" bottom="0.75" header="0.3" footer="0.3"/>
  <pageSetup paperSize="9" orientation="portrait" horizontalDpi="120" verticalDpi="72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H5"/>
  <sheetViews>
    <sheetView workbookViewId="0">
      <selection activeCell="E14" sqref="E14"/>
    </sheetView>
  </sheetViews>
  <sheetFormatPr baseColWidth="10" defaultColWidth="9.140625" defaultRowHeight="15" x14ac:dyDescent="0.25"/>
  <cols>
    <col min="1" max="1" width="16.28515625" customWidth="1"/>
    <col min="2" max="2" width="12.7109375" bestFit="1" customWidth="1"/>
    <col min="3" max="3" width="17.42578125" customWidth="1"/>
    <col min="4" max="4" width="11" customWidth="1"/>
    <col min="5" max="5" width="32.42578125" bestFit="1" customWidth="1"/>
    <col min="6" max="6" width="52.42578125" style="1" bestFit="1" customWidth="1"/>
    <col min="7" max="7" width="16.140625" customWidth="1"/>
    <col min="8" max="8" width="14.28515625" bestFit="1" customWidth="1"/>
  </cols>
  <sheetData>
    <row r="1" spans="1:8" ht="15" customHeight="1" x14ac:dyDescent="0.25">
      <c r="A1" s="76" t="s">
        <v>62</v>
      </c>
      <c r="B1" s="72" t="s">
        <v>0</v>
      </c>
      <c r="C1" s="74" t="s">
        <v>1</v>
      </c>
      <c r="D1" s="74" t="s">
        <v>2</v>
      </c>
      <c r="E1" s="74" t="s">
        <v>3</v>
      </c>
      <c r="F1" s="74" t="s">
        <v>8</v>
      </c>
      <c r="G1" s="68" t="s">
        <v>4</v>
      </c>
      <c r="H1" s="70" t="s">
        <v>5</v>
      </c>
    </row>
    <row r="2" spans="1:8" ht="15" customHeight="1" x14ac:dyDescent="0.25">
      <c r="A2" s="77"/>
      <c r="B2" s="73"/>
      <c r="C2" s="75"/>
      <c r="D2" s="75"/>
      <c r="E2" s="75"/>
      <c r="F2" s="75"/>
      <c r="G2" s="69"/>
      <c r="H2" s="71"/>
    </row>
    <row r="3" spans="1:8" ht="15" customHeight="1" x14ac:dyDescent="0.25">
      <c r="A3" s="77"/>
      <c r="B3" s="53" t="s">
        <v>113</v>
      </c>
      <c r="C3" s="53" t="s">
        <v>113</v>
      </c>
      <c r="D3" s="53" t="s">
        <v>113</v>
      </c>
      <c r="E3" s="53" t="s">
        <v>113</v>
      </c>
      <c r="F3" s="53" t="s">
        <v>113</v>
      </c>
      <c r="G3" s="53" t="s">
        <v>113</v>
      </c>
      <c r="H3" s="6">
        <v>0</v>
      </c>
    </row>
    <row r="4" spans="1:8" ht="20.100000000000001" customHeight="1" x14ac:dyDescent="0.25">
      <c r="A4" s="78"/>
      <c r="B4" s="13"/>
      <c r="C4" s="14"/>
      <c r="D4" s="14"/>
      <c r="E4" s="14" t="s">
        <v>5</v>
      </c>
      <c r="F4" s="15"/>
      <c r="G4" s="16"/>
      <c r="H4" s="17">
        <f>SUM(H3:H3)</f>
        <v>0</v>
      </c>
    </row>
    <row r="5" spans="1:8" ht="20.100000000000001" customHeight="1" x14ac:dyDescent="0.25">
      <c r="A5" s="7"/>
      <c r="B5" s="8"/>
      <c r="C5" s="8"/>
      <c r="D5" s="8"/>
      <c r="E5" s="8"/>
      <c r="F5" s="12"/>
      <c r="G5" s="8"/>
      <c r="H5" s="9"/>
    </row>
  </sheetData>
  <mergeCells count="8">
    <mergeCell ref="G1:G2"/>
    <mergeCell ref="H1:H2"/>
    <mergeCell ref="A1:A4"/>
    <mergeCell ref="B1:B2"/>
    <mergeCell ref="C1:C2"/>
    <mergeCell ref="D1:D2"/>
    <mergeCell ref="E1:E2"/>
    <mergeCell ref="F1:F2"/>
  </mergeCells>
  <pageMargins left="0.7" right="0.7" top="0.75" bottom="0.75" header="0.3" footer="0.3"/>
  <pageSetup paperSize="9" orientation="portrait" horizontalDpi="120" verticalDpi="72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H350"/>
  <sheetViews>
    <sheetView topLeftCell="A333" workbookViewId="0">
      <selection activeCell="E341" sqref="E341"/>
    </sheetView>
  </sheetViews>
  <sheetFormatPr baseColWidth="10" defaultColWidth="9.140625" defaultRowHeight="15" x14ac:dyDescent="0.25"/>
  <cols>
    <col min="1" max="1" width="16.28515625" customWidth="1"/>
    <col min="2" max="2" width="12.7109375" bestFit="1" customWidth="1"/>
    <col min="3" max="3" width="17.42578125" customWidth="1"/>
    <col min="4" max="4" width="11" customWidth="1"/>
    <col min="5" max="5" width="32.42578125" bestFit="1" customWidth="1"/>
    <col min="6" max="6" width="52.42578125" style="1" bestFit="1" customWidth="1"/>
    <col min="7" max="7" width="16.140625" customWidth="1"/>
    <col min="8" max="8" width="14.28515625" bestFit="1" customWidth="1"/>
  </cols>
  <sheetData>
    <row r="1" spans="1:8" ht="15" customHeight="1" x14ac:dyDescent="0.25">
      <c r="A1" s="65" t="s">
        <v>64</v>
      </c>
      <c r="B1" s="72" t="s">
        <v>0</v>
      </c>
      <c r="C1" s="74" t="s">
        <v>1</v>
      </c>
      <c r="D1" s="74" t="s">
        <v>2</v>
      </c>
      <c r="E1" s="74" t="s">
        <v>3</v>
      </c>
      <c r="F1" s="74" t="s">
        <v>8</v>
      </c>
      <c r="G1" s="68" t="s">
        <v>4</v>
      </c>
      <c r="H1" s="70" t="s">
        <v>5</v>
      </c>
    </row>
    <row r="2" spans="1:8" ht="15" customHeight="1" x14ac:dyDescent="0.25">
      <c r="A2" s="66"/>
      <c r="B2" s="73"/>
      <c r="C2" s="75"/>
      <c r="D2" s="75"/>
      <c r="E2" s="75"/>
      <c r="F2" s="75"/>
      <c r="G2" s="69"/>
      <c r="H2" s="71"/>
    </row>
    <row r="3" spans="1:8" ht="15" customHeight="1" x14ac:dyDescent="0.25">
      <c r="A3" s="66"/>
      <c r="B3" s="2">
        <v>45321</v>
      </c>
      <c r="C3" s="3">
        <v>3704505037</v>
      </c>
      <c r="D3" s="3">
        <v>55</v>
      </c>
      <c r="E3" s="4" t="s">
        <v>186</v>
      </c>
      <c r="F3" s="19" t="s">
        <v>87</v>
      </c>
      <c r="G3" s="5" t="s">
        <v>6</v>
      </c>
      <c r="H3" s="6">
        <v>3025</v>
      </c>
    </row>
    <row r="4" spans="1:8" ht="15" customHeight="1" x14ac:dyDescent="0.25">
      <c r="A4" s="66"/>
      <c r="B4" s="2">
        <v>45321</v>
      </c>
      <c r="C4" s="3">
        <v>3912912174</v>
      </c>
      <c r="D4" s="3">
        <v>24</v>
      </c>
      <c r="E4" s="4" t="s">
        <v>187</v>
      </c>
      <c r="F4" s="19" t="s">
        <v>87</v>
      </c>
      <c r="G4" s="5" t="s">
        <v>6</v>
      </c>
      <c r="H4" s="6">
        <v>1320</v>
      </c>
    </row>
    <row r="5" spans="1:8" ht="15" customHeight="1" x14ac:dyDescent="0.25">
      <c r="A5" s="66"/>
      <c r="B5" s="2">
        <v>45348</v>
      </c>
      <c r="C5" s="3">
        <v>3643622117</v>
      </c>
      <c r="D5" s="3">
        <v>50</v>
      </c>
      <c r="E5" s="4" t="s">
        <v>75</v>
      </c>
      <c r="F5" s="19" t="s">
        <v>87</v>
      </c>
      <c r="G5" s="10" t="s">
        <v>10</v>
      </c>
      <c r="H5" s="11">
        <v>2750</v>
      </c>
    </row>
    <row r="6" spans="1:8" ht="15" customHeight="1" x14ac:dyDescent="0.25">
      <c r="A6" s="66"/>
      <c r="B6" s="2">
        <v>45349</v>
      </c>
      <c r="C6" s="3">
        <v>2784511046</v>
      </c>
      <c r="D6" s="3">
        <v>54</v>
      </c>
      <c r="E6" s="4" t="s">
        <v>214</v>
      </c>
      <c r="F6" s="19" t="s">
        <v>87</v>
      </c>
      <c r="G6" s="10" t="s">
        <v>6</v>
      </c>
      <c r="H6" s="11">
        <v>2970</v>
      </c>
    </row>
    <row r="7" spans="1:8" ht="15" customHeight="1" x14ac:dyDescent="0.25">
      <c r="A7" s="66"/>
      <c r="B7" s="2">
        <v>45370</v>
      </c>
      <c r="C7" s="3">
        <v>3729477430</v>
      </c>
      <c r="D7" s="3">
        <v>38</v>
      </c>
      <c r="E7" s="4" t="s">
        <v>355</v>
      </c>
      <c r="F7" s="19" t="s">
        <v>87</v>
      </c>
      <c r="G7" s="10" t="s">
        <v>11</v>
      </c>
      <c r="H7" s="11">
        <v>2090</v>
      </c>
    </row>
    <row r="8" spans="1:8" ht="15" customHeight="1" x14ac:dyDescent="0.25">
      <c r="A8" s="66"/>
      <c r="B8" s="2">
        <v>45370</v>
      </c>
      <c r="C8" s="3">
        <v>2451982431</v>
      </c>
      <c r="D8" s="3">
        <v>56</v>
      </c>
      <c r="E8" s="4" t="s">
        <v>356</v>
      </c>
      <c r="F8" s="19" t="s">
        <v>87</v>
      </c>
      <c r="G8" s="10" t="s">
        <v>6</v>
      </c>
      <c r="H8" s="11">
        <v>3080</v>
      </c>
    </row>
    <row r="9" spans="1:8" ht="15" customHeight="1" x14ac:dyDescent="0.25">
      <c r="A9" s="66"/>
      <c r="B9" s="2">
        <v>45370</v>
      </c>
      <c r="C9" s="3">
        <v>1874742448</v>
      </c>
      <c r="D9" s="3">
        <v>6</v>
      </c>
      <c r="E9" s="4" t="s">
        <v>357</v>
      </c>
      <c r="F9" s="19" t="s">
        <v>87</v>
      </c>
      <c r="G9" s="10" t="s">
        <v>6</v>
      </c>
      <c r="H9" s="11">
        <v>330</v>
      </c>
    </row>
    <row r="10" spans="1:8" ht="15" customHeight="1" x14ac:dyDescent="0.25">
      <c r="A10" s="66"/>
      <c r="B10" s="2">
        <v>45370</v>
      </c>
      <c r="C10" s="3">
        <v>265570270</v>
      </c>
      <c r="D10" s="3">
        <v>56</v>
      </c>
      <c r="E10" s="4" t="s">
        <v>358</v>
      </c>
      <c r="F10" s="19" t="s">
        <v>87</v>
      </c>
      <c r="G10" s="10" t="s">
        <v>6</v>
      </c>
      <c r="H10" s="11">
        <v>3080</v>
      </c>
    </row>
    <row r="11" spans="1:8" ht="15" customHeight="1" x14ac:dyDescent="0.25">
      <c r="A11" s="66"/>
      <c r="B11" s="2">
        <v>45370</v>
      </c>
      <c r="C11" s="3">
        <v>2083343497</v>
      </c>
      <c r="D11" s="3">
        <v>35</v>
      </c>
      <c r="E11" s="4" t="s">
        <v>359</v>
      </c>
      <c r="F11" s="19" t="s">
        <v>87</v>
      </c>
      <c r="G11" s="10" t="s">
        <v>11</v>
      </c>
      <c r="H11" s="11">
        <v>1925</v>
      </c>
    </row>
    <row r="12" spans="1:8" ht="15" customHeight="1" x14ac:dyDescent="0.25">
      <c r="A12" s="66"/>
      <c r="B12" s="2">
        <v>45370</v>
      </c>
      <c r="C12" s="3">
        <v>315310982</v>
      </c>
      <c r="D12" s="3">
        <v>56</v>
      </c>
      <c r="E12" s="4" t="s">
        <v>360</v>
      </c>
      <c r="F12" s="19" t="s">
        <v>87</v>
      </c>
      <c r="G12" s="10" t="s">
        <v>6</v>
      </c>
      <c r="H12" s="11">
        <v>3080</v>
      </c>
    </row>
    <row r="13" spans="1:8" ht="15" customHeight="1" x14ac:dyDescent="0.25">
      <c r="A13" s="66"/>
      <c r="B13" s="2">
        <v>45370</v>
      </c>
      <c r="C13" s="3">
        <v>4027335242</v>
      </c>
      <c r="D13" s="3">
        <v>56</v>
      </c>
      <c r="E13" s="4" t="s">
        <v>361</v>
      </c>
      <c r="F13" s="19" t="s">
        <v>87</v>
      </c>
      <c r="G13" s="10" t="s">
        <v>6</v>
      </c>
      <c r="H13" s="11">
        <v>3080</v>
      </c>
    </row>
    <row r="14" spans="1:8" ht="15" customHeight="1" x14ac:dyDescent="0.25">
      <c r="A14" s="66"/>
      <c r="B14" s="2">
        <v>45370</v>
      </c>
      <c r="C14" s="3">
        <v>3545845509</v>
      </c>
      <c r="D14" s="3">
        <v>56</v>
      </c>
      <c r="E14" s="4" t="s">
        <v>89</v>
      </c>
      <c r="F14" s="19" t="s">
        <v>87</v>
      </c>
      <c r="G14" s="10" t="s">
        <v>6</v>
      </c>
      <c r="H14" s="11">
        <v>3080</v>
      </c>
    </row>
    <row r="15" spans="1:8" ht="15" customHeight="1" x14ac:dyDescent="0.25">
      <c r="A15" s="66"/>
      <c r="B15" s="2">
        <v>45370</v>
      </c>
      <c r="C15" s="3">
        <v>1444760654</v>
      </c>
      <c r="D15" s="3">
        <v>38</v>
      </c>
      <c r="E15" s="4" t="s">
        <v>362</v>
      </c>
      <c r="F15" s="19" t="s">
        <v>87</v>
      </c>
      <c r="G15" s="10" t="s">
        <v>6</v>
      </c>
      <c r="H15" s="11">
        <v>2090</v>
      </c>
    </row>
    <row r="16" spans="1:8" ht="15" customHeight="1" x14ac:dyDescent="0.25">
      <c r="A16" s="66"/>
      <c r="B16" s="2">
        <v>45370</v>
      </c>
      <c r="C16" s="3">
        <v>1801995785</v>
      </c>
      <c r="D16" s="3">
        <v>30</v>
      </c>
      <c r="E16" s="4" t="s">
        <v>363</v>
      </c>
      <c r="F16" s="19" t="s">
        <v>87</v>
      </c>
      <c r="G16" s="10" t="s">
        <v>7</v>
      </c>
      <c r="H16" s="11">
        <v>1650</v>
      </c>
    </row>
    <row r="17" spans="1:8" ht="15" customHeight="1" x14ac:dyDescent="0.25">
      <c r="A17" s="66"/>
      <c r="B17" s="2">
        <v>45370</v>
      </c>
      <c r="C17" s="3">
        <v>54414698</v>
      </c>
      <c r="D17" s="3">
        <v>56</v>
      </c>
      <c r="E17" s="4" t="s">
        <v>309</v>
      </c>
      <c r="F17" s="19" t="s">
        <v>87</v>
      </c>
      <c r="G17" s="10" t="s">
        <v>6</v>
      </c>
      <c r="H17" s="11">
        <v>3080</v>
      </c>
    </row>
    <row r="18" spans="1:8" ht="15" customHeight="1" x14ac:dyDescent="0.25">
      <c r="A18" s="66"/>
      <c r="B18" s="2">
        <v>45370</v>
      </c>
      <c r="C18" s="3">
        <v>4159259412</v>
      </c>
      <c r="D18" s="3">
        <v>38</v>
      </c>
      <c r="E18" s="4" t="s">
        <v>364</v>
      </c>
      <c r="F18" s="19" t="s">
        <v>87</v>
      </c>
      <c r="G18" s="10" t="s">
        <v>6</v>
      </c>
      <c r="H18" s="11">
        <v>2079.9983999999999</v>
      </c>
    </row>
    <row r="19" spans="1:8" ht="15" customHeight="1" x14ac:dyDescent="0.25">
      <c r="A19" s="66"/>
      <c r="B19" s="2">
        <v>45370</v>
      </c>
      <c r="C19" s="3">
        <v>4159259412</v>
      </c>
      <c r="D19" s="3">
        <v>18</v>
      </c>
      <c r="E19" s="4" t="s">
        <v>364</v>
      </c>
      <c r="F19" s="19" t="s">
        <v>87</v>
      </c>
      <c r="G19" s="10" t="s">
        <v>11</v>
      </c>
      <c r="H19" s="11">
        <v>999.99900000000002</v>
      </c>
    </row>
    <row r="20" spans="1:8" ht="15" customHeight="1" x14ac:dyDescent="0.25">
      <c r="A20" s="66"/>
      <c r="B20" s="2">
        <v>45370</v>
      </c>
      <c r="C20" s="3">
        <v>3191751671</v>
      </c>
      <c r="D20" s="3">
        <v>38</v>
      </c>
      <c r="E20" s="4" t="s">
        <v>365</v>
      </c>
      <c r="F20" s="19" t="s">
        <v>87</v>
      </c>
      <c r="G20" s="10" t="s">
        <v>6</v>
      </c>
      <c r="H20" s="11">
        <v>2090</v>
      </c>
    </row>
    <row r="21" spans="1:8" ht="15" customHeight="1" x14ac:dyDescent="0.25">
      <c r="A21" s="66"/>
      <c r="B21" s="2">
        <v>45370</v>
      </c>
      <c r="C21" s="3">
        <v>3945876986</v>
      </c>
      <c r="D21" s="3">
        <v>56</v>
      </c>
      <c r="E21" s="4" t="s">
        <v>366</v>
      </c>
      <c r="F21" s="19" t="s">
        <v>87</v>
      </c>
      <c r="G21" s="10" t="s">
        <v>6</v>
      </c>
      <c r="H21" s="11">
        <v>3080</v>
      </c>
    </row>
    <row r="22" spans="1:8" ht="15" customHeight="1" x14ac:dyDescent="0.25">
      <c r="A22" s="66"/>
      <c r="B22" s="2">
        <v>45370</v>
      </c>
      <c r="C22" s="3">
        <v>3360640572</v>
      </c>
      <c r="D22" s="3">
        <v>56</v>
      </c>
      <c r="E22" s="4" t="s">
        <v>367</v>
      </c>
      <c r="F22" s="19" t="s">
        <v>87</v>
      </c>
      <c r="G22" s="10" t="s">
        <v>6</v>
      </c>
      <c r="H22" s="11">
        <v>3080</v>
      </c>
    </row>
    <row r="23" spans="1:8" ht="15" customHeight="1" x14ac:dyDescent="0.25">
      <c r="A23" s="66"/>
      <c r="B23" s="2">
        <v>45370</v>
      </c>
      <c r="C23" s="3">
        <v>2816887054</v>
      </c>
      <c r="D23" s="3">
        <v>38</v>
      </c>
      <c r="E23" s="4" t="s">
        <v>368</v>
      </c>
      <c r="F23" s="19" t="s">
        <v>87</v>
      </c>
      <c r="G23" s="10" t="s">
        <v>6</v>
      </c>
      <c r="H23" s="11">
        <v>2090</v>
      </c>
    </row>
    <row r="24" spans="1:8" ht="15" customHeight="1" x14ac:dyDescent="0.25">
      <c r="A24" s="66"/>
      <c r="B24" s="2">
        <v>45370</v>
      </c>
      <c r="C24" s="3">
        <v>192103939</v>
      </c>
      <c r="D24" s="3">
        <v>38</v>
      </c>
      <c r="E24" s="4" t="s">
        <v>223</v>
      </c>
      <c r="F24" s="19" t="s">
        <v>87</v>
      </c>
      <c r="G24" s="10" t="s">
        <v>6</v>
      </c>
      <c r="H24" s="11">
        <v>2090</v>
      </c>
    </row>
    <row r="25" spans="1:8" ht="15" customHeight="1" x14ac:dyDescent="0.25">
      <c r="A25" s="66"/>
      <c r="B25" s="2">
        <v>45370</v>
      </c>
      <c r="C25" s="3">
        <v>2945535092</v>
      </c>
      <c r="D25" s="3">
        <v>56</v>
      </c>
      <c r="E25" s="4" t="s">
        <v>369</v>
      </c>
      <c r="F25" s="19" t="s">
        <v>87</v>
      </c>
      <c r="G25" s="10" t="s">
        <v>6</v>
      </c>
      <c r="H25" s="11">
        <v>3080</v>
      </c>
    </row>
    <row r="26" spans="1:8" ht="15" customHeight="1" x14ac:dyDescent="0.25">
      <c r="A26" s="66"/>
      <c r="B26" s="2">
        <v>45370</v>
      </c>
      <c r="C26" s="3">
        <v>340546732</v>
      </c>
      <c r="D26" s="3">
        <v>38</v>
      </c>
      <c r="E26" s="4" t="s">
        <v>370</v>
      </c>
      <c r="F26" s="19" t="s">
        <v>87</v>
      </c>
      <c r="G26" s="10" t="s">
        <v>11</v>
      </c>
      <c r="H26" s="11">
        <v>2090</v>
      </c>
    </row>
    <row r="27" spans="1:8" ht="15" customHeight="1" x14ac:dyDescent="0.25">
      <c r="A27" s="66"/>
      <c r="B27" s="2">
        <v>45370</v>
      </c>
      <c r="C27" s="3">
        <v>1235829422</v>
      </c>
      <c r="D27" s="3">
        <v>52</v>
      </c>
      <c r="E27" s="4" t="s">
        <v>371</v>
      </c>
      <c r="F27" s="19" t="s">
        <v>87</v>
      </c>
      <c r="G27" s="10" t="s">
        <v>6</v>
      </c>
      <c r="H27" s="11">
        <v>2860</v>
      </c>
    </row>
    <row r="28" spans="1:8" ht="15" customHeight="1" x14ac:dyDescent="0.25">
      <c r="A28" s="66"/>
      <c r="B28" s="2">
        <v>45370</v>
      </c>
      <c r="C28" s="3">
        <v>2577157424</v>
      </c>
      <c r="D28" s="3">
        <v>50</v>
      </c>
      <c r="E28" s="4" t="s">
        <v>372</v>
      </c>
      <c r="F28" s="19" t="s">
        <v>87</v>
      </c>
      <c r="G28" s="10" t="s">
        <v>6</v>
      </c>
      <c r="H28" s="11">
        <v>2750</v>
      </c>
    </row>
    <row r="29" spans="1:8" ht="15" customHeight="1" x14ac:dyDescent="0.25">
      <c r="A29" s="66"/>
      <c r="B29" s="2">
        <v>45370</v>
      </c>
      <c r="C29" s="3">
        <v>3765978662</v>
      </c>
      <c r="D29" s="3">
        <v>56</v>
      </c>
      <c r="E29" s="4" t="s">
        <v>373</v>
      </c>
      <c r="F29" s="19" t="s">
        <v>87</v>
      </c>
      <c r="G29" s="10" t="s">
        <v>6</v>
      </c>
      <c r="H29" s="11">
        <v>3080</v>
      </c>
    </row>
    <row r="30" spans="1:8" ht="15" customHeight="1" x14ac:dyDescent="0.25">
      <c r="A30" s="66"/>
      <c r="B30" s="2">
        <v>45370</v>
      </c>
      <c r="C30" s="3">
        <v>3165212122</v>
      </c>
      <c r="D30" s="3">
        <v>60</v>
      </c>
      <c r="E30" s="4" t="s">
        <v>374</v>
      </c>
      <c r="F30" s="19" t="s">
        <v>87</v>
      </c>
      <c r="G30" s="10" t="s">
        <v>6</v>
      </c>
      <c r="H30" s="11">
        <v>3300</v>
      </c>
    </row>
    <row r="31" spans="1:8" ht="15" customHeight="1" x14ac:dyDescent="0.25">
      <c r="A31" s="66"/>
      <c r="B31" s="2">
        <v>45370</v>
      </c>
      <c r="C31" s="3">
        <v>3684847390</v>
      </c>
      <c r="D31" s="3">
        <v>39</v>
      </c>
      <c r="E31" s="4" t="s">
        <v>375</v>
      </c>
      <c r="F31" s="19" t="s">
        <v>87</v>
      </c>
      <c r="G31" s="10" t="s">
        <v>6</v>
      </c>
      <c r="H31" s="11">
        <v>2145</v>
      </c>
    </row>
    <row r="32" spans="1:8" ht="15" customHeight="1" x14ac:dyDescent="0.25">
      <c r="A32" s="66"/>
      <c r="B32" s="2">
        <v>45370</v>
      </c>
      <c r="C32" s="3">
        <v>870992068</v>
      </c>
      <c r="D32" s="3">
        <v>38</v>
      </c>
      <c r="E32" s="4" t="s">
        <v>376</v>
      </c>
      <c r="F32" s="19" t="s">
        <v>87</v>
      </c>
      <c r="G32" s="10" t="s">
        <v>6</v>
      </c>
      <c r="H32" s="11">
        <v>2090</v>
      </c>
    </row>
    <row r="33" spans="1:8" ht="15" customHeight="1" x14ac:dyDescent="0.25">
      <c r="A33" s="66"/>
      <c r="B33" s="2">
        <v>45370</v>
      </c>
      <c r="C33" s="3">
        <v>2930855807</v>
      </c>
      <c r="D33" s="3">
        <v>56</v>
      </c>
      <c r="E33" s="4" t="s">
        <v>377</v>
      </c>
      <c r="F33" s="19" t="s">
        <v>87</v>
      </c>
      <c r="G33" s="10" t="s">
        <v>6</v>
      </c>
      <c r="H33" s="11">
        <v>3080</v>
      </c>
    </row>
    <row r="34" spans="1:8" ht="15" customHeight="1" x14ac:dyDescent="0.25">
      <c r="A34" s="66"/>
      <c r="B34" s="2">
        <v>45370</v>
      </c>
      <c r="C34" s="3">
        <v>3321843594</v>
      </c>
      <c r="D34" s="3">
        <v>38</v>
      </c>
      <c r="E34" s="4" t="s">
        <v>378</v>
      </c>
      <c r="F34" s="19" t="s">
        <v>87</v>
      </c>
      <c r="G34" s="10" t="s">
        <v>6</v>
      </c>
      <c r="H34" s="11">
        <v>2090</v>
      </c>
    </row>
    <row r="35" spans="1:8" ht="15" customHeight="1" x14ac:dyDescent="0.25">
      <c r="A35" s="66"/>
      <c r="B35" s="2">
        <v>45370</v>
      </c>
      <c r="C35" s="3">
        <v>988038838</v>
      </c>
      <c r="D35" s="3">
        <v>38</v>
      </c>
      <c r="E35" s="4" t="s">
        <v>86</v>
      </c>
      <c r="F35" s="19" t="s">
        <v>87</v>
      </c>
      <c r="G35" s="10" t="s">
        <v>6</v>
      </c>
      <c r="H35" s="11">
        <v>2090</v>
      </c>
    </row>
    <row r="36" spans="1:8" ht="15" customHeight="1" x14ac:dyDescent="0.25">
      <c r="A36" s="66"/>
      <c r="B36" s="2">
        <v>45370</v>
      </c>
      <c r="C36" s="3">
        <v>128011734</v>
      </c>
      <c r="D36" s="3">
        <v>40</v>
      </c>
      <c r="E36" s="4" t="s">
        <v>379</v>
      </c>
      <c r="F36" s="19" t="s">
        <v>87</v>
      </c>
      <c r="G36" s="10" t="s">
        <v>6</v>
      </c>
      <c r="H36" s="11">
        <v>2200</v>
      </c>
    </row>
    <row r="37" spans="1:8" ht="15" customHeight="1" x14ac:dyDescent="0.25">
      <c r="A37" s="66"/>
      <c r="B37" s="2">
        <v>45370</v>
      </c>
      <c r="C37" s="3">
        <v>1299399818</v>
      </c>
      <c r="D37" s="3">
        <v>6</v>
      </c>
      <c r="E37" s="4" t="s">
        <v>380</v>
      </c>
      <c r="F37" s="19" t="s">
        <v>87</v>
      </c>
      <c r="G37" s="10" t="s">
        <v>6</v>
      </c>
      <c r="H37" s="11">
        <v>330</v>
      </c>
    </row>
    <row r="38" spans="1:8" ht="15" customHeight="1" x14ac:dyDescent="0.25">
      <c r="A38" s="66"/>
      <c r="B38" s="2">
        <v>45370</v>
      </c>
      <c r="C38" s="3">
        <v>3059893492</v>
      </c>
      <c r="D38" s="3">
        <v>56</v>
      </c>
      <c r="E38" s="4" t="s">
        <v>381</v>
      </c>
      <c r="F38" s="19" t="s">
        <v>87</v>
      </c>
      <c r="G38" s="10" t="s">
        <v>6</v>
      </c>
      <c r="H38" s="11">
        <v>3080</v>
      </c>
    </row>
    <row r="39" spans="1:8" ht="15" customHeight="1" x14ac:dyDescent="0.25">
      <c r="A39" s="66"/>
      <c r="B39" s="2">
        <v>45370</v>
      </c>
      <c r="C39" s="3">
        <v>1190675134</v>
      </c>
      <c r="D39" s="3">
        <v>38</v>
      </c>
      <c r="E39" s="4" t="s">
        <v>382</v>
      </c>
      <c r="F39" s="19" t="s">
        <v>87</v>
      </c>
      <c r="G39" s="10" t="s">
        <v>6</v>
      </c>
      <c r="H39" s="11">
        <v>2090</v>
      </c>
    </row>
    <row r="40" spans="1:8" ht="15" customHeight="1" x14ac:dyDescent="0.25">
      <c r="A40" s="66"/>
      <c r="B40" s="2">
        <v>45371</v>
      </c>
      <c r="C40" s="3">
        <v>4104801256</v>
      </c>
      <c r="D40" s="3">
        <v>18</v>
      </c>
      <c r="E40" s="4" t="s">
        <v>383</v>
      </c>
      <c r="F40" s="19" t="s">
        <v>87</v>
      </c>
      <c r="G40" s="10" t="s">
        <v>11</v>
      </c>
      <c r="H40" s="11">
        <v>990</v>
      </c>
    </row>
    <row r="41" spans="1:8" ht="15" customHeight="1" x14ac:dyDescent="0.25">
      <c r="A41" s="66"/>
      <c r="B41" s="2">
        <v>45371</v>
      </c>
      <c r="C41" s="3">
        <v>68069519</v>
      </c>
      <c r="D41" s="3">
        <v>18</v>
      </c>
      <c r="E41" s="4" t="s">
        <v>384</v>
      </c>
      <c r="F41" s="19" t="s">
        <v>87</v>
      </c>
      <c r="G41" s="10" t="s">
        <v>13</v>
      </c>
      <c r="H41" s="11">
        <v>990</v>
      </c>
    </row>
    <row r="42" spans="1:8" ht="15" customHeight="1" x14ac:dyDescent="0.25">
      <c r="A42" s="66"/>
      <c r="B42" s="2">
        <v>45371</v>
      </c>
      <c r="C42" s="3">
        <v>476137710</v>
      </c>
      <c r="D42" s="3">
        <v>18</v>
      </c>
      <c r="E42" s="4" t="s">
        <v>384</v>
      </c>
      <c r="F42" s="19" t="s">
        <v>87</v>
      </c>
      <c r="G42" s="10" t="s">
        <v>13</v>
      </c>
      <c r="H42" s="11">
        <v>990</v>
      </c>
    </row>
    <row r="43" spans="1:8" ht="15" customHeight="1" x14ac:dyDescent="0.25">
      <c r="A43" s="66"/>
      <c r="B43" s="2">
        <v>45371</v>
      </c>
      <c r="C43" s="3">
        <v>1541621355</v>
      </c>
      <c r="D43" s="3">
        <v>20</v>
      </c>
      <c r="E43" s="4" t="s">
        <v>384</v>
      </c>
      <c r="F43" s="19" t="s">
        <v>87</v>
      </c>
      <c r="G43" s="10" t="s">
        <v>13</v>
      </c>
      <c r="H43" s="11">
        <v>1100</v>
      </c>
    </row>
    <row r="44" spans="1:8" ht="15" customHeight="1" x14ac:dyDescent="0.25">
      <c r="A44" s="66"/>
      <c r="B44" s="2">
        <v>45371</v>
      </c>
      <c r="C44" s="3">
        <v>4136650114</v>
      </c>
      <c r="D44" s="3">
        <v>56</v>
      </c>
      <c r="E44" s="4" t="s">
        <v>385</v>
      </c>
      <c r="F44" s="19" t="s">
        <v>87</v>
      </c>
      <c r="G44" s="10" t="s">
        <v>6</v>
      </c>
      <c r="H44" s="11">
        <v>3080</v>
      </c>
    </row>
    <row r="45" spans="1:8" ht="15" customHeight="1" x14ac:dyDescent="0.25">
      <c r="A45" s="66"/>
      <c r="B45" s="2">
        <v>45371</v>
      </c>
      <c r="C45" s="3">
        <v>2044610907</v>
      </c>
      <c r="D45" s="3">
        <v>56</v>
      </c>
      <c r="E45" s="4" t="s">
        <v>386</v>
      </c>
      <c r="F45" s="19" t="s">
        <v>87</v>
      </c>
      <c r="G45" s="10" t="s">
        <v>6</v>
      </c>
      <c r="H45" s="11">
        <v>3080</v>
      </c>
    </row>
    <row r="46" spans="1:8" ht="15" customHeight="1" x14ac:dyDescent="0.25">
      <c r="A46" s="66"/>
      <c r="B46" s="2">
        <v>45371</v>
      </c>
      <c r="C46" s="3">
        <v>2875900204</v>
      </c>
      <c r="D46" s="3">
        <v>18</v>
      </c>
      <c r="E46" s="4" t="s">
        <v>387</v>
      </c>
      <c r="F46" s="19" t="s">
        <v>87</v>
      </c>
      <c r="G46" s="10" t="s">
        <v>6</v>
      </c>
      <c r="H46" s="11">
        <v>990</v>
      </c>
    </row>
    <row r="47" spans="1:8" ht="15" customHeight="1" x14ac:dyDescent="0.25">
      <c r="A47" s="66"/>
      <c r="B47" s="2">
        <v>45371</v>
      </c>
      <c r="C47" s="3">
        <v>4091102538</v>
      </c>
      <c r="D47" s="3">
        <v>48</v>
      </c>
      <c r="E47" s="4" t="s">
        <v>388</v>
      </c>
      <c r="F47" s="19" t="s">
        <v>87</v>
      </c>
      <c r="G47" s="10" t="s">
        <v>6</v>
      </c>
      <c r="H47" s="11">
        <v>2640</v>
      </c>
    </row>
    <row r="48" spans="1:8" ht="15" customHeight="1" x14ac:dyDescent="0.25">
      <c r="A48" s="66"/>
      <c r="B48" s="2">
        <v>45371</v>
      </c>
      <c r="C48" s="3">
        <v>4091102538</v>
      </c>
      <c r="D48" s="3">
        <v>48</v>
      </c>
      <c r="E48" s="4" t="s">
        <v>389</v>
      </c>
      <c r="F48" s="19" t="s">
        <v>87</v>
      </c>
      <c r="G48" s="10" t="s">
        <v>6</v>
      </c>
      <c r="H48" s="11">
        <v>2640</v>
      </c>
    </row>
    <row r="49" spans="1:8" ht="15" customHeight="1" x14ac:dyDescent="0.25">
      <c r="A49" s="66"/>
      <c r="B49" s="2">
        <v>45371</v>
      </c>
      <c r="C49" s="3">
        <v>1162362955</v>
      </c>
      <c r="D49" s="3">
        <v>46</v>
      </c>
      <c r="E49" s="4" t="s">
        <v>106</v>
      </c>
      <c r="F49" s="19" t="s">
        <v>87</v>
      </c>
      <c r="G49" s="10" t="s">
        <v>11</v>
      </c>
      <c r="H49" s="11">
        <v>2499.9997199999998</v>
      </c>
    </row>
    <row r="50" spans="1:8" ht="15" customHeight="1" x14ac:dyDescent="0.25">
      <c r="A50" s="66"/>
      <c r="B50" s="2">
        <v>45371</v>
      </c>
      <c r="C50" s="3">
        <v>1162362955</v>
      </c>
      <c r="D50" s="3">
        <v>10</v>
      </c>
      <c r="E50" s="4" t="s">
        <v>106</v>
      </c>
      <c r="F50" s="19" t="s">
        <v>87</v>
      </c>
      <c r="G50" s="10" t="s">
        <v>6</v>
      </c>
      <c r="H50" s="11">
        <v>580</v>
      </c>
    </row>
    <row r="51" spans="1:8" ht="15" customHeight="1" x14ac:dyDescent="0.25">
      <c r="A51" s="66"/>
      <c r="B51" s="2">
        <v>45371</v>
      </c>
      <c r="C51" s="3">
        <v>3210953209</v>
      </c>
      <c r="D51" s="3">
        <v>56</v>
      </c>
      <c r="E51" s="4" t="s">
        <v>390</v>
      </c>
      <c r="F51" s="19" t="s">
        <v>87</v>
      </c>
      <c r="G51" s="10" t="s">
        <v>6</v>
      </c>
      <c r="H51" s="11">
        <v>3080</v>
      </c>
    </row>
    <row r="52" spans="1:8" ht="15" customHeight="1" x14ac:dyDescent="0.25">
      <c r="A52" s="66"/>
      <c r="B52" s="2">
        <v>45371</v>
      </c>
      <c r="C52" s="3">
        <v>1503217017</v>
      </c>
      <c r="D52" s="3">
        <v>56</v>
      </c>
      <c r="E52" s="4" t="s">
        <v>391</v>
      </c>
      <c r="F52" s="19" t="s">
        <v>87</v>
      </c>
      <c r="G52" s="10" t="s">
        <v>6</v>
      </c>
      <c r="H52" s="11">
        <v>3080</v>
      </c>
    </row>
    <row r="53" spans="1:8" ht="15" customHeight="1" x14ac:dyDescent="0.25">
      <c r="A53" s="66"/>
      <c r="B53" s="2">
        <v>45371</v>
      </c>
      <c r="C53" s="3">
        <v>3494723989</v>
      </c>
      <c r="D53" s="3">
        <v>56</v>
      </c>
      <c r="E53" s="4" t="s">
        <v>298</v>
      </c>
      <c r="F53" s="19" t="s">
        <v>87</v>
      </c>
      <c r="G53" s="10" t="s">
        <v>6</v>
      </c>
      <c r="H53" s="11">
        <v>3080</v>
      </c>
    </row>
    <row r="54" spans="1:8" ht="15" customHeight="1" x14ac:dyDescent="0.25">
      <c r="A54" s="66"/>
      <c r="B54" s="2">
        <v>45371</v>
      </c>
      <c r="C54" s="3">
        <v>3494723989</v>
      </c>
      <c r="D54" s="3">
        <v>56</v>
      </c>
      <c r="E54" s="4" t="s">
        <v>392</v>
      </c>
      <c r="F54" s="19" t="s">
        <v>87</v>
      </c>
      <c r="G54" s="10" t="s">
        <v>6</v>
      </c>
      <c r="H54" s="11">
        <v>3080</v>
      </c>
    </row>
    <row r="55" spans="1:8" ht="15" customHeight="1" x14ac:dyDescent="0.25">
      <c r="A55" s="66"/>
      <c r="B55" s="2">
        <v>45371</v>
      </c>
      <c r="C55" s="3">
        <v>2941928314</v>
      </c>
      <c r="D55" s="3">
        <v>44</v>
      </c>
      <c r="E55" s="4" t="s">
        <v>393</v>
      </c>
      <c r="F55" s="19" t="s">
        <v>87</v>
      </c>
      <c r="G55" s="10" t="s">
        <v>6</v>
      </c>
      <c r="H55" s="11">
        <v>2420</v>
      </c>
    </row>
    <row r="56" spans="1:8" ht="15" customHeight="1" x14ac:dyDescent="0.25">
      <c r="A56" s="66"/>
      <c r="B56" s="2">
        <v>45371</v>
      </c>
      <c r="C56" s="3">
        <v>3202895771</v>
      </c>
      <c r="D56" s="3">
        <v>18</v>
      </c>
      <c r="E56" s="4" t="s">
        <v>299</v>
      </c>
      <c r="F56" s="19" t="s">
        <v>87</v>
      </c>
      <c r="G56" s="10" t="s">
        <v>6</v>
      </c>
      <c r="H56" s="11">
        <v>990</v>
      </c>
    </row>
    <row r="57" spans="1:8" ht="15" customHeight="1" x14ac:dyDescent="0.25">
      <c r="A57" s="66"/>
      <c r="B57" s="2">
        <v>45371</v>
      </c>
      <c r="C57" s="3">
        <v>2060734078</v>
      </c>
      <c r="D57" s="3">
        <v>44</v>
      </c>
      <c r="E57" s="4" t="s">
        <v>394</v>
      </c>
      <c r="F57" s="19" t="s">
        <v>87</v>
      </c>
      <c r="G57" s="10" t="s">
        <v>6</v>
      </c>
      <c r="H57" s="11">
        <v>2420</v>
      </c>
    </row>
    <row r="58" spans="1:8" ht="15" customHeight="1" x14ac:dyDescent="0.25">
      <c r="A58" s="66"/>
      <c r="B58" s="2">
        <v>45371</v>
      </c>
      <c r="C58" s="3">
        <v>805915562</v>
      </c>
      <c r="D58" s="3">
        <v>35</v>
      </c>
      <c r="E58" s="4" t="s">
        <v>395</v>
      </c>
      <c r="F58" s="19" t="s">
        <v>87</v>
      </c>
      <c r="G58" s="10" t="s">
        <v>6</v>
      </c>
      <c r="H58" s="11">
        <v>1925</v>
      </c>
    </row>
    <row r="59" spans="1:8" ht="15" customHeight="1" x14ac:dyDescent="0.25">
      <c r="A59" s="66"/>
      <c r="B59" s="2">
        <v>45371</v>
      </c>
      <c r="C59" s="3">
        <v>2687323496</v>
      </c>
      <c r="D59" s="3">
        <v>56</v>
      </c>
      <c r="E59" s="4" t="s">
        <v>396</v>
      </c>
      <c r="F59" s="19" t="s">
        <v>87</v>
      </c>
      <c r="G59" s="10" t="s">
        <v>13</v>
      </c>
      <c r="H59" s="11">
        <v>3080</v>
      </c>
    </row>
    <row r="60" spans="1:8" ht="15" customHeight="1" x14ac:dyDescent="0.25">
      <c r="A60" s="66"/>
      <c r="B60" s="2">
        <v>45371</v>
      </c>
      <c r="C60" s="3">
        <v>199581150</v>
      </c>
      <c r="D60" s="3">
        <v>56</v>
      </c>
      <c r="E60" s="4" t="s">
        <v>397</v>
      </c>
      <c r="F60" s="19" t="s">
        <v>87</v>
      </c>
      <c r="G60" s="10" t="s">
        <v>6</v>
      </c>
      <c r="H60" s="11">
        <v>3080</v>
      </c>
    </row>
    <row r="61" spans="1:8" ht="15" customHeight="1" x14ac:dyDescent="0.25">
      <c r="A61" s="66"/>
      <c r="B61" s="2">
        <v>45371</v>
      </c>
      <c r="C61" s="3">
        <v>3594798522</v>
      </c>
      <c r="D61" s="3">
        <v>56</v>
      </c>
      <c r="E61" s="4" t="s">
        <v>398</v>
      </c>
      <c r="F61" s="19" t="s">
        <v>87</v>
      </c>
      <c r="G61" s="10" t="s">
        <v>6</v>
      </c>
      <c r="H61" s="11">
        <v>3080</v>
      </c>
    </row>
    <row r="62" spans="1:8" ht="15" customHeight="1" x14ac:dyDescent="0.25">
      <c r="A62" s="66"/>
      <c r="B62" s="2">
        <v>45371</v>
      </c>
      <c r="C62" s="3">
        <v>1260143426</v>
      </c>
      <c r="D62" s="3">
        <v>18</v>
      </c>
      <c r="E62" s="4" t="s">
        <v>399</v>
      </c>
      <c r="F62" s="19" t="s">
        <v>87</v>
      </c>
      <c r="G62" s="10" t="s">
        <v>13</v>
      </c>
      <c r="H62" s="11">
        <v>990</v>
      </c>
    </row>
    <row r="63" spans="1:8" ht="15" customHeight="1" x14ac:dyDescent="0.25">
      <c r="A63" s="66"/>
      <c r="B63" s="2">
        <v>45371</v>
      </c>
      <c r="C63" s="3">
        <v>1071795558</v>
      </c>
      <c r="D63" s="3">
        <v>25</v>
      </c>
      <c r="E63" s="4" t="s">
        <v>400</v>
      </c>
      <c r="F63" s="19" t="s">
        <v>87</v>
      </c>
      <c r="G63" s="10" t="s">
        <v>6</v>
      </c>
      <c r="H63" s="11">
        <v>1375</v>
      </c>
    </row>
    <row r="64" spans="1:8" ht="15" customHeight="1" x14ac:dyDescent="0.25">
      <c r="A64" s="66"/>
      <c r="B64" s="2">
        <v>45371</v>
      </c>
      <c r="C64" s="3">
        <v>1357860128</v>
      </c>
      <c r="D64" s="3">
        <v>38</v>
      </c>
      <c r="E64" s="4" t="s">
        <v>401</v>
      </c>
      <c r="F64" s="19" t="s">
        <v>87</v>
      </c>
      <c r="G64" s="10" t="s">
        <v>6</v>
      </c>
      <c r="H64" s="11">
        <v>2090</v>
      </c>
    </row>
    <row r="65" spans="1:8" ht="15" customHeight="1" x14ac:dyDescent="0.25">
      <c r="A65" s="66"/>
      <c r="B65" s="2">
        <v>45371</v>
      </c>
      <c r="C65" s="3">
        <v>12208712</v>
      </c>
      <c r="D65" s="3">
        <v>28</v>
      </c>
      <c r="E65" s="4" t="s">
        <v>402</v>
      </c>
      <c r="F65" s="19" t="s">
        <v>87</v>
      </c>
      <c r="G65" s="10" t="s">
        <v>11</v>
      </c>
      <c r="H65" s="11">
        <v>1540</v>
      </c>
    </row>
    <row r="66" spans="1:8" ht="15" customHeight="1" x14ac:dyDescent="0.25">
      <c r="A66" s="66"/>
      <c r="B66" s="2">
        <v>45371</v>
      </c>
      <c r="C66" s="3">
        <v>816597376</v>
      </c>
      <c r="D66" s="3">
        <v>35</v>
      </c>
      <c r="E66" s="4" t="s">
        <v>403</v>
      </c>
      <c r="F66" s="19" t="s">
        <v>87</v>
      </c>
      <c r="G66" s="10" t="s">
        <v>6</v>
      </c>
      <c r="H66" s="11">
        <v>1925</v>
      </c>
    </row>
    <row r="67" spans="1:8" ht="15" customHeight="1" x14ac:dyDescent="0.25">
      <c r="A67" s="66"/>
      <c r="B67" s="2">
        <v>45371</v>
      </c>
      <c r="C67" s="3">
        <v>4129375396</v>
      </c>
      <c r="D67" s="3">
        <v>38</v>
      </c>
      <c r="E67" s="4" t="s">
        <v>404</v>
      </c>
      <c r="F67" s="19" t="s">
        <v>87</v>
      </c>
      <c r="G67" s="10" t="s">
        <v>6</v>
      </c>
      <c r="H67" s="11">
        <v>2090</v>
      </c>
    </row>
    <row r="68" spans="1:8" ht="15" customHeight="1" x14ac:dyDescent="0.25">
      <c r="A68" s="66"/>
      <c r="B68" s="2">
        <v>45371</v>
      </c>
      <c r="C68" s="3">
        <v>3627765153</v>
      </c>
      <c r="D68" s="3">
        <v>56</v>
      </c>
      <c r="E68" s="4" t="s">
        <v>405</v>
      </c>
      <c r="F68" s="19" t="s">
        <v>87</v>
      </c>
      <c r="G68" s="10" t="s">
        <v>7</v>
      </c>
      <c r="H68" s="11">
        <v>3080</v>
      </c>
    </row>
    <row r="69" spans="1:8" ht="15" customHeight="1" x14ac:dyDescent="0.25">
      <c r="A69" s="66"/>
      <c r="B69" s="2">
        <v>45371</v>
      </c>
      <c r="C69" s="3">
        <v>986924979</v>
      </c>
      <c r="D69" s="3">
        <v>18</v>
      </c>
      <c r="E69" s="4" t="s">
        <v>406</v>
      </c>
      <c r="F69" s="19" t="s">
        <v>87</v>
      </c>
      <c r="G69" s="10" t="s">
        <v>6</v>
      </c>
      <c r="H69" s="11">
        <v>990</v>
      </c>
    </row>
    <row r="70" spans="1:8" ht="15" customHeight="1" x14ac:dyDescent="0.25">
      <c r="A70" s="66"/>
      <c r="B70" s="2">
        <v>45371</v>
      </c>
      <c r="C70" s="3">
        <v>831081327</v>
      </c>
      <c r="D70" s="3">
        <v>56</v>
      </c>
      <c r="E70" s="4" t="s">
        <v>407</v>
      </c>
      <c r="F70" s="19" t="s">
        <v>87</v>
      </c>
      <c r="G70" s="10" t="s">
        <v>6</v>
      </c>
      <c r="H70" s="11">
        <v>3080</v>
      </c>
    </row>
    <row r="71" spans="1:8" ht="15" customHeight="1" x14ac:dyDescent="0.25">
      <c r="A71" s="66"/>
      <c r="B71" s="2">
        <v>45371</v>
      </c>
      <c r="C71" s="3">
        <v>3250014853</v>
      </c>
      <c r="D71" s="3">
        <v>18</v>
      </c>
      <c r="E71" s="4" t="s">
        <v>168</v>
      </c>
      <c r="F71" s="19" t="s">
        <v>87</v>
      </c>
      <c r="G71" s="10" t="s">
        <v>11</v>
      </c>
      <c r="H71" s="11">
        <v>990</v>
      </c>
    </row>
    <row r="72" spans="1:8" ht="15" customHeight="1" x14ac:dyDescent="0.25">
      <c r="A72" s="66"/>
      <c r="B72" s="2">
        <v>45371</v>
      </c>
      <c r="C72" s="3">
        <v>114510906</v>
      </c>
      <c r="D72" s="3">
        <v>56</v>
      </c>
      <c r="E72" s="4" t="s">
        <v>408</v>
      </c>
      <c r="F72" s="19" t="s">
        <v>87</v>
      </c>
      <c r="G72" s="10" t="s">
        <v>6</v>
      </c>
      <c r="H72" s="11">
        <v>3080</v>
      </c>
    </row>
    <row r="73" spans="1:8" ht="15" customHeight="1" x14ac:dyDescent="0.25">
      <c r="A73" s="66"/>
      <c r="B73" s="2">
        <v>45371</v>
      </c>
      <c r="C73" s="3">
        <v>489638383</v>
      </c>
      <c r="D73" s="3">
        <v>38</v>
      </c>
      <c r="E73" s="4" t="s">
        <v>409</v>
      </c>
      <c r="F73" s="19" t="s">
        <v>87</v>
      </c>
      <c r="G73" s="10" t="s">
        <v>6</v>
      </c>
      <c r="H73" s="11">
        <v>2090</v>
      </c>
    </row>
    <row r="74" spans="1:8" ht="15" customHeight="1" x14ac:dyDescent="0.25">
      <c r="A74" s="66"/>
      <c r="B74" s="2">
        <v>45371</v>
      </c>
      <c r="C74" s="3">
        <v>560614224</v>
      </c>
      <c r="D74" s="3">
        <v>48</v>
      </c>
      <c r="E74" s="4" t="s">
        <v>410</v>
      </c>
      <c r="F74" s="19" t="s">
        <v>87</v>
      </c>
      <c r="G74" s="10" t="s">
        <v>6</v>
      </c>
      <c r="H74" s="11">
        <v>2640</v>
      </c>
    </row>
    <row r="75" spans="1:8" ht="15" customHeight="1" x14ac:dyDescent="0.25">
      <c r="A75" s="66"/>
      <c r="B75" s="2">
        <v>45371</v>
      </c>
      <c r="C75" s="3">
        <v>560614224</v>
      </c>
      <c r="D75" s="3">
        <v>28</v>
      </c>
      <c r="E75" s="4" t="s">
        <v>411</v>
      </c>
      <c r="F75" s="19" t="s">
        <v>87</v>
      </c>
      <c r="G75" s="10" t="s">
        <v>6</v>
      </c>
      <c r="H75" s="11">
        <v>1540</v>
      </c>
    </row>
    <row r="76" spans="1:8" ht="15" customHeight="1" x14ac:dyDescent="0.25">
      <c r="A76" s="66"/>
      <c r="B76" s="2">
        <v>45371</v>
      </c>
      <c r="C76" s="3">
        <v>560614224</v>
      </c>
      <c r="D76" s="3">
        <v>40</v>
      </c>
      <c r="E76" s="4" t="s">
        <v>410</v>
      </c>
      <c r="F76" s="19" t="s">
        <v>87</v>
      </c>
      <c r="G76" s="10" t="s">
        <v>6</v>
      </c>
      <c r="H76" s="11">
        <v>2200</v>
      </c>
    </row>
    <row r="77" spans="1:8" ht="15" customHeight="1" x14ac:dyDescent="0.25">
      <c r="A77" s="66"/>
      <c r="B77" s="2">
        <v>45371</v>
      </c>
      <c r="C77" s="3">
        <v>967198290</v>
      </c>
      <c r="D77" s="3">
        <v>18</v>
      </c>
      <c r="E77" s="4" t="s">
        <v>412</v>
      </c>
      <c r="F77" s="19" t="s">
        <v>87</v>
      </c>
      <c r="G77" s="10" t="s">
        <v>6</v>
      </c>
      <c r="H77" s="11">
        <v>990</v>
      </c>
    </row>
    <row r="78" spans="1:8" ht="15" customHeight="1" x14ac:dyDescent="0.25">
      <c r="A78" s="66"/>
      <c r="B78" s="2">
        <v>45371</v>
      </c>
      <c r="C78" s="3">
        <v>3963506566</v>
      </c>
      <c r="D78" s="3">
        <v>45</v>
      </c>
      <c r="E78" s="4" t="s">
        <v>413</v>
      </c>
      <c r="F78" s="19" t="s">
        <v>87</v>
      </c>
      <c r="G78" s="10" t="s">
        <v>6</v>
      </c>
      <c r="H78" s="11">
        <v>2475</v>
      </c>
    </row>
    <row r="79" spans="1:8" ht="15" customHeight="1" x14ac:dyDescent="0.25">
      <c r="A79" s="66"/>
      <c r="B79" s="2">
        <v>45371</v>
      </c>
      <c r="C79" s="3">
        <v>1253132984</v>
      </c>
      <c r="D79" s="3">
        <v>18</v>
      </c>
      <c r="E79" s="4" t="s">
        <v>414</v>
      </c>
      <c r="F79" s="19" t="s">
        <v>87</v>
      </c>
      <c r="G79" s="10" t="s">
        <v>6</v>
      </c>
      <c r="H79" s="11">
        <v>990</v>
      </c>
    </row>
    <row r="80" spans="1:8" ht="15" customHeight="1" x14ac:dyDescent="0.25">
      <c r="A80" s="66"/>
      <c r="B80" s="2">
        <v>45371</v>
      </c>
      <c r="C80" s="3">
        <v>3197389166</v>
      </c>
      <c r="D80" s="3">
        <v>18</v>
      </c>
      <c r="E80" s="4" t="s">
        <v>415</v>
      </c>
      <c r="F80" s="19" t="s">
        <v>87</v>
      </c>
      <c r="G80" s="10" t="s">
        <v>6</v>
      </c>
      <c r="H80" s="11">
        <v>990</v>
      </c>
    </row>
    <row r="81" spans="1:8" ht="15" customHeight="1" x14ac:dyDescent="0.25">
      <c r="A81" s="66"/>
      <c r="B81" s="2">
        <v>45371</v>
      </c>
      <c r="C81" s="3">
        <v>230967223</v>
      </c>
      <c r="D81" s="3">
        <v>35</v>
      </c>
      <c r="E81" s="4" t="s">
        <v>416</v>
      </c>
      <c r="F81" s="19" t="s">
        <v>87</v>
      </c>
      <c r="G81" s="10" t="s">
        <v>6</v>
      </c>
      <c r="H81" s="11">
        <v>1925</v>
      </c>
    </row>
    <row r="82" spans="1:8" ht="15" customHeight="1" x14ac:dyDescent="0.25">
      <c r="A82" s="66"/>
      <c r="B82" s="2">
        <v>45371</v>
      </c>
      <c r="C82" s="3">
        <v>4174332717</v>
      </c>
      <c r="D82" s="3">
        <v>38</v>
      </c>
      <c r="E82" s="4" t="s">
        <v>417</v>
      </c>
      <c r="F82" s="19" t="s">
        <v>87</v>
      </c>
      <c r="G82" s="10" t="s">
        <v>6</v>
      </c>
      <c r="H82" s="11">
        <v>2090</v>
      </c>
    </row>
    <row r="83" spans="1:8" ht="15" customHeight="1" x14ac:dyDescent="0.25">
      <c r="A83" s="66"/>
      <c r="B83" s="2">
        <v>45371</v>
      </c>
      <c r="C83" s="3">
        <v>2782808002</v>
      </c>
      <c r="D83" s="3">
        <v>30</v>
      </c>
      <c r="E83" s="4" t="s">
        <v>418</v>
      </c>
      <c r="F83" s="19" t="s">
        <v>87</v>
      </c>
      <c r="G83" s="10" t="s">
        <v>7</v>
      </c>
      <c r="H83" s="11">
        <v>1650</v>
      </c>
    </row>
    <row r="84" spans="1:8" ht="15" customHeight="1" x14ac:dyDescent="0.25">
      <c r="A84" s="66"/>
      <c r="B84" s="2">
        <v>45372</v>
      </c>
      <c r="C84" s="3">
        <v>3214360735</v>
      </c>
      <c r="D84" s="3">
        <v>38</v>
      </c>
      <c r="E84" s="4" t="s">
        <v>419</v>
      </c>
      <c r="F84" s="19" t="s">
        <v>87</v>
      </c>
      <c r="G84" s="10" t="s">
        <v>6</v>
      </c>
      <c r="H84" s="11">
        <v>2090</v>
      </c>
    </row>
    <row r="85" spans="1:8" ht="15" customHeight="1" x14ac:dyDescent="0.25">
      <c r="A85" s="66"/>
      <c r="B85" s="2">
        <v>45372</v>
      </c>
      <c r="C85" s="3">
        <v>2010924160</v>
      </c>
      <c r="D85" s="3">
        <v>56</v>
      </c>
      <c r="E85" s="4" t="s">
        <v>420</v>
      </c>
      <c r="F85" s="19" t="s">
        <v>87</v>
      </c>
      <c r="G85" s="10" t="s">
        <v>6</v>
      </c>
      <c r="H85" s="11">
        <v>3080</v>
      </c>
    </row>
    <row r="86" spans="1:8" ht="15" customHeight="1" x14ac:dyDescent="0.25">
      <c r="A86" s="66"/>
      <c r="B86" s="2">
        <v>45372</v>
      </c>
      <c r="C86" s="3">
        <v>888819159</v>
      </c>
      <c r="D86" s="3">
        <v>13</v>
      </c>
      <c r="E86" s="4" t="s">
        <v>421</v>
      </c>
      <c r="F86" s="19" t="s">
        <v>87</v>
      </c>
      <c r="G86" s="10" t="s">
        <v>26</v>
      </c>
      <c r="H86" s="11">
        <v>758.99979999999994</v>
      </c>
    </row>
    <row r="87" spans="1:8" ht="15" customHeight="1" x14ac:dyDescent="0.25">
      <c r="A87" s="66"/>
      <c r="B87" s="2">
        <v>45372</v>
      </c>
      <c r="C87" s="3">
        <v>888819159</v>
      </c>
      <c r="D87" s="3">
        <v>25</v>
      </c>
      <c r="E87" s="4" t="s">
        <v>421</v>
      </c>
      <c r="F87" s="19" t="s">
        <v>87</v>
      </c>
      <c r="G87" s="10" t="s">
        <v>6</v>
      </c>
      <c r="H87" s="11">
        <v>1331</v>
      </c>
    </row>
    <row r="88" spans="1:8" ht="15" customHeight="1" x14ac:dyDescent="0.25">
      <c r="A88" s="66"/>
      <c r="B88" s="2">
        <v>45372</v>
      </c>
      <c r="C88" s="3">
        <v>4163715584</v>
      </c>
      <c r="D88" s="3">
        <v>10</v>
      </c>
      <c r="E88" s="4" t="s">
        <v>85</v>
      </c>
      <c r="F88" s="19" t="s">
        <v>87</v>
      </c>
      <c r="G88" s="10" t="s">
        <v>6</v>
      </c>
      <c r="H88" s="11">
        <v>540</v>
      </c>
    </row>
    <row r="89" spans="1:8" ht="15" customHeight="1" x14ac:dyDescent="0.25">
      <c r="A89" s="66"/>
      <c r="B89" s="2">
        <v>45372</v>
      </c>
      <c r="C89" s="3">
        <v>4163715584</v>
      </c>
      <c r="D89" s="3">
        <v>18</v>
      </c>
      <c r="E89" s="4" t="s">
        <v>85</v>
      </c>
      <c r="F89" s="19" t="s">
        <v>87</v>
      </c>
      <c r="G89" s="10" t="s">
        <v>11</v>
      </c>
      <c r="H89" s="11">
        <v>999.99900000000002</v>
      </c>
    </row>
    <row r="90" spans="1:8" ht="15" customHeight="1" x14ac:dyDescent="0.25">
      <c r="A90" s="66"/>
      <c r="B90" s="2">
        <v>45372</v>
      </c>
      <c r="C90" s="3">
        <v>2138326976</v>
      </c>
      <c r="D90" s="3">
        <v>56</v>
      </c>
      <c r="E90" s="4" t="s">
        <v>422</v>
      </c>
      <c r="F90" s="19" t="s">
        <v>87</v>
      </c>
      <c r="G90" s="10" t="s">
        <v>6</v>
      </c>
      <c r="H90" s="11">
        <v>3080</v>
      </c>
    </row>
    <row r="91" spans="1:8" ht="15" customHeight="1" x14ac:dyDescent="0.25">
      <c r="A91" s="66"/>
      <c r="B91" s="2">
        <v>45372</v>
      </c>
      <c r="C91" s="3">
        <v>2673496015</v>
      </c>
      <c r="D91" s="3">
        <v>38</v>
      </c>
      <c r="E91" s="4" t="s">
        <v>423</v>
      </c>
      <c r="F91" s="19" t="s">
        <v>87</v>
      </c>
      <c r="G91" s="10" t="s">
        <v>6</v>
      </c>
      <c r="H91" s="11">
        <v>2090</v>
      </c>
    </row>
    <row r="92" spans="1:8" ht="15" customHeight="1" x14ac:dyDescent="0.25">
      <c r="A92" s="66"/>
      <c r="B92" s="2">
        <v>45372</v>
      </c>
      <c r="C92" s="3">
        <v>1605517480</v>
      </c>
      <c r="D92" s="3">
        <v>56</v>
      </c>
      <c r="E92" s="4" t="s">
        <v>424</v>
      </c>
      <c r="F92" s="19" t="s">
        <v>87</v>
      </c>
      <c r="G92" s="10" t="s">
        <v>10</v>
      </c>
      <c r="H92" s="11">
        <v>3080</v>
      </c>
    </row>
    <row r="93" spans="1:8" ht="15" customHeight="1" x14ac:dyDescent="0.25">
      <c r="A93" s="66"/>
      <c r="B93" s="2">
        <v>45372</v>
      </c>
      <c r="C93" s="3">
        <v>3029159330</v>
      </c>
      <c r="D93" s="3">
        <v>40</v>
      </c>
      <c r="E93" s="4" t="s">
        <v>425</v>
      </c>
      <c r="F93" s="19" t="s">
        <v>87</v>
      </c>
      <c r="G93" s="10" t="s">
        <v>6</v>
      </c>
      <c r="H93" s="11">
        <v>2200</v>
      </c>
    </row>
    <row r="94" spans="1:8" ht="15" customHeight="1" x14ac:dyDescent="0.25">
      <c r="A94" s="66"/>
      <c r="B94" s="2">
        <v>45372</v>
      </c>
      <c r="C94" s="3">
        <v>2415936898</v>
      </c>
      <c r="D94" s="3">
        <v>38</v>
      </c>
      <c r="E94" s="4" t="s">
        <v>426</v>
      </c>
      <c r="F94" s="19" t="s">
        <v>87</v>
      </c>
      <c r="G94" s="10" t="s">
        <v>6</v>
      </c>
      <c r="H94" s="11">
        <v>2090</v>
      </c>
    </row>
    <row r="95" spans="1:8" ht="15" customHeight="1" x14ac:dyDescent="0.25">
      <c r="A95" s="66"/>
      <c r="B95" s="2">
        <v>45372</v>
      </c>
      <c r="C95" s="3">
        <v>120604910</v>
      </c>
      <c r="D95" s="3">
        <v>18</v>
      </c>
      <c r="E95" s="4" t="s">
        <v>427</v>
      </c>
      <c r="F95" s="19" t="s">
        <v>87</v>
      </c>
      <c r="G95" s="10" t="s">
        <v>6</v>
      </c>
      <c r="H95" s="11">
        <v>990</v>
      </c>
    </row>
    <row r="96" spans="1:8" ht="15" customHeight="1" x14ac:dyDescent="0.25">
      <c r="A96" s="66"/>
      <c r="B96" s="2">
        <v>45372</v>
      </c>
      <c r="C96" s="3">
        <v>1818182084</v>
      </c>
      <c r="D96" s="3">
        <v>28</v>
      </c>
      <c r="E96" s="4" t="s">
        <v>428</v>
      </c>
      <c r="F96" s="19" t="s">
        <v>87</v>
      </c>
      <c r="G96" s="10" t="s">
        <v>11</v>
      </c>
      <c r="H96" s="11">
        <v>1540</v>
      </c>
    </row>
    <row r="97" spans="1:8" ht="15" customHeight="1" x14ac:dyDescent="0.25">
      <c r="A97" s="66"/>
      <c r="B97" s="2">
        <v>45372</v>
      </c>
      <c r="C97" s="3">
        <v>1818182084</v>
      </c>
      <c r="D97" s="3">
        <v>38</v>
      </c>
      <c r="E97" s="4" t="s">
        <v>429</v>
      </c>
      <c r="F97" s="19" t="s">
        <v>87</v>
      </c>
      <c r="G97" s="10" t="s">
        <v>11</v>
      </c>
      <c r="H97" s="11">
        <v>2090</v>
      </c>
    </row>
    <row r="98" spans="1:8" ht="15" customHeight="1" x14ac:dyDescent="0.25">
      <c r="A98" s="66"/>
      <c r="B98" s="2">
        <v>45372</v>
      </c>
      <c r="C98" s="3">
        <v>3529591180</v>
      </c>
      <c r="D98" s="3">
        <v>56</v>
      </c>
      <c r="E98" s="4" t="s">
        <v>430</v>
      </c>
      <c r="F98" s="19" t="s">
        <v>87</v>
      </c>
      <c r="G98" s="10" t="s">
        <v>6</v>
      </c>
      <c r="H98" s="11">
        <v>3080</v>
      </c>
    </row>
    <row r="99" spans="1:8" ht="15" customHeight="1" x14ac:dyDescent="0.25">
      <c r="A99" s="66"/>
      <c r="B99" s="2">
        <v>45372</v>
      </c>
      <c r="C99" s="3">
        <v>515591126</v>
      </c>
      <c r="D99" s="3">
        <v>38</v>
      </c>
      <c r="E99" s="4" t="s">
        <v>431</v>
      </c>
      <c r="F99" s="19" t="s">
        <v>87</v>
      </c>
      <c r="G99" s="10" t="s">
        <v>6</v>
      </c>
      <c r="H99" s="11">
        <v>2090</v>
      </c>
    </row>
    <row r="100" spans="1:8" ht="15" customHeight="1" x14ac:dyDescent="0.25">
      <c r="A100" s="66"/>
      <c r="B100" s="2">
        <v>45372</v>
      </c>
      <c r="C100" s="3">
        <v>2471576011</v>
      </c>
      <c r="D100" s="3">
        <v>56</v>
      </c>
      <c r="E100" s="4" t="s">
        <v>353</v>
      </c>
      <c r="F100" s="19" t="s">
        <v>87</v>
      </c>
      <c r="G100" s="10" t="s">
        <v>6</v>
      </c>
      <c r="H100" s="11">
        <v>3080</v>
      </c>
    </row>
    <row r="101" spans="1:8" ht="15" customHeight="1" x14ac:dyDescent="0.25">
      <c r="A101" s="66"/>
      <c r="B101" s="2">
        <v>45372</v>
      </c>
      <c r="C101" s="3">
        <v>4279320814</v>
      </c>
      <c r="D101" s="3">
        <v>38</v>
      </c>
      <c r="E101" s="4" t="s">
        <v>432</v>
      </c>
      <c r="F101" s="19" t="s">
        <v>87</v>
      </c>
      <c r="G101" s="10" t="s">
        <v>6</v>
      </c>
      <c r="H101" s="11">
        <v>2090</v>
      </c>
    </row>
    <row r="102" spans="1:8" ht="15" customHeight="1" x14ac:dyDescent="0.25">
      <c r="A102" s="66"/>
      <c r="B102" s="2">
        <v>45372</v>
      </c>
      <c r="C102" s="3">
        <v>3075621024</v>
      </c>
      <c r="D102" s="3">
        <v>56</v>
      </c>
      <c r="E102" s="4" t="s">
        <v>433</v>
      </c>
      <c r="F102" s="19" t="s">
        <v>87</v>
      </c>
      <c r="G102" s="10" t="s">
        <v>6</v>
      </c>
      <c r="H102" s="11">
        <v>3080</v>
      </c>
    </row>
    <row r="103" spans="1:8" ht="15" customHeight="1" x14ac:dyDescent="0.25">
      <c r="A103" s="66"/>
      <c r="B103" s="2">
        <v>45372</v>
      </c>
      <c r="C103" s="3">
        <v>628637919</v>
      </c>
      <c r="D103" s="3">
        <v>18</v>
      </c>
      <c r="E103" s="4" t="s">
        <v>434</v>
      </c>
      <c r="F103" s="19" t="s">
        <v>87</v>
      </c>
      <c r="G103" s="10" t="s">
        <v>6</v>
      </c>
      <c r="H103" s="11">
        <v>990</v>
      </c>
    </row>
    <row r="104" spans="1:8" ht="15" customHeight="1" x14ac:dyDescent="0.25">
      <c r="A104" s="66"/>
      <c r="B104" s="2">
        <v>45372</v>
      </c>
      <c r="C104" s="3">
        <v>104088313</v>
      </c>
      <c r="D104" s="3">
        <v>18</v>
      </c>
      <c r="E104" s="4" t="s">
        <v>435</v>
      </c>
      <c r="F104" s="19" t="s">
        <v>87</v>
      </c>
      <c r="G104" s="10" t="s">
        <v>11</v>
      </c>
      <c r="H104" s="11">
        <v>990</v>
      </c>
    </row>
    <row r="105" spans="1:8" ht="15" customHeight="1" x14ac:dyDescent="0.25">
      <c r="A105" s="66"/>
      <c r="B105" s="2">
        <v>45372</v>
      </c>
      <c r="C105" s="3">
        <v>2700822483</v>
      </c>
      <c r="D105" s="3">
        <v>38</v>
      </c>
      <c r="E105" s="4" t="s">
        <v>436</v>
      </c>
      <c r="F105" s="19" t="s">
        <v>87</v>
      </c>
      <c r="G105" s="10" t="s">
        <v>6</v>
      </c>
      <c r="H105" s="11">
        <v>2090</v>
      </c>
    </row>
    <row r="106" spans="1:8" ht="15" customHeight="1" x14ac:dyDescent="0.25">
      <c r="A106" s="66"/>
      <c r="B106" s="2">
        <v>45372</v>
      </c>
      <c r="C106" s="3">
        <v>2073120262</v>
      </c>
      <c r="D106" s="3">
        <v>18</v>
      </c>
      <c r="E106" s="4" t="s">
        <v>437</v>
      </c>
      <c r="F106" s="19" t="s">
        <v>87</v>
      </c>
      <c r="G106" s="10" t="s">
        <v>6</v>
      </c>
      <c r="H106" s="11">
        <v>990</v>
      </c>
    </row>
    <row r="107" spans="1:8" ht="15" customHeight="1" x14ac:dyDescent="0.25">
      <c r="A107" s="66"/>
      <c r="B107" s="2">
        <v>45372</v>
      </c>
      <c r="C107" s="3">
        <v>4029564293</v>
      </c>
      <c r="D107" s="3">
        <v>22</v>
      </c>
      <c r="E107" s="4" t="s">
        <v>438</v>
      </c>
      <c r="F107" s="19" t="s">
        <v>87</v>
      </c>
      <c r="G107" s="10" t="s">
        <v>6</v>
      </c>
      <c r="H107" s="11">
        <v>1210</v>
      </c>
    </row>
    <row r="108" spans="1:8" ht="15" customHeight="1" x14ac:dyDescent="0.25">
      <c r="A108" s="66"/>
      <c r="B108" s="2">
        <v>45372</v>
      </c>
      <c r="C108" s="3">
        <v>2008958092</v>
      </c>
      <c r="D108" s="3">
        <v>44</v>
      </c>
      <c r="E108" s="4" t="s">
        <v>439</v>
      </c>
      <c r="F108" s="19" t="s">
        <v>87</v>
      </c>
      <c r="G108" s="10" t="s">
        <v>7</v>
      </c>
      <c r="H108" s="11">
        <v>2420</v>
      </c>
    </row>
    <row r="109" spans="1:8" ht="15" customHeight="1" x14ac:dyDescent="0.25">
      <c r="A109" s="66"/>
      <c r="B109" s="2">
        <v>45372</v>
      </c>
      <c r="C109" s="3">
        <v>1369589544</v>
      </c>
      <c r="D109" s="3">
        <v>54</v>
      </c>
      <c r="E109" s="4" t="s">
        <v>324</v>
      </c>
      <c r="F109" s="19" t="s">
        <v>87</v>
      </c>
      <c r="G109" s="10" t="s">
        <v>7</v>
      </c>
      <c r="H109" s="11">
        <v>2970</v>
      </c>
    </row>
    <row r="110" spans="1:8" ht="15" customHeight="1" x14ac:dyDescent="0.25">
      <c r="A110" s="66"/>
      <c r="B110" s="2">
        <v>45372</v>
      </c>
      <c r="C110" s="3">
        <v>3676917705</v>
      </c>
      <c r="D110" s="3">
        <v>22</v>
      </c>
      <c r="E110" s="4" t="s">
        <v>440</v>
      </c>
      <c r="F110" s="19" t="s">
        <v>87</v>
      </c>
      <c r="G110" s="10" t="s">
        <v>6</v>
      </c>
      <c r="H110" s="11">
        <v>1210</v>
      </c>
    </row>
    <row r="111" spans="1:8" ht="15" customHeight="1" x14ac:dyDescent="0.25">
      <c r="A111" s="66"/>
      <c r="B111" s="2">
        <v>45372</v>
      </c>
      <c r="C111" s="3">
        <v>904021578</v>
      </c>
      <c r="D111" s="3">
        <v>18</v>
      </c>
      <c r="E111" s="4" t="s">
        <v>441</v>
      </c>
      <c r="F111" s="19" t="s">
        <v>87</v>
      </c>
      <c r="G111" s="10" t="s">
        <v>6</v>
      </c>
      <c r="H111" s="11">
        <v>990</v>
      </c>
    </row>
    <row r="112" spans="1:8" ht="15" customHeight="1" x14ac:dyDescent="0.25">
      <c r="A112" s="66"/>
      <c r="B112" s="2">
        <v>45372</v>
      </c>
      <c r="C112" s="3">
        <v>904021578</v>
      </c>
      <c r="D112" s="3">
        <v>58</v>
      </c>
      <c r="E112" s="4" t="s">
        <v>442</v>
      </c>
      <c r="F112" s="19" t="s">
        <v>87</v>
      </c>
      <c r="G112" s="10" t="s">
        <v>6</v>
      </c>
      <c r="H112" s="11">
        <v>3190</v>
      </c>
    </row>
    <row r="113" spans="1:8" ht="15" customHeight="1" x14ac:dyDescent="0.25">
      <c r="A113" s="66"/>
      <c r="B113" s="2">
        <v>45372</v>
      </c>
      <c r="C113" s="3">
        <v>4074523835</v>
      </c>
      <c r="D113" s="3">
        <v>38</v>
      </c>
      <c r="E113" s="4" t="s">
        <v>443</v>
      </c>
      <c r="F113" s="19" t="s">
        <v>87</v>
      </c>
      <c r="G113" s="10" t="s">
        <v>6</v>
      </c>
      <c r="H113" s="11">
        <v>2090</v>
      </c>
    </row>
    <row r="114" spans="1:8" ht="15" customHeight="1" x14ac:dyDescent="0.25">
      <c r="A114" s="66"/>
      <c r="B114" s="2">
        <v>45372</v>
      </c>
      <c r="C114" s="3">
        <v>2344567167</v>
      </c>
      <c r="D114" s="3">
        <v>30</v>
      </c>
      <c r="E114" s="4" t="s">
        <v>198</v>
      </c>
      <c r="F114" s="19" t="s">
        <v>87</v>
      </c>
      <c r="G114" s="10" t="s">
        <v>13</v>
      </c>
      <c r="H114" s="11">
        <v>1650</v>
      </c>
    </row>
    <row r="115" spans="1:8" ht="15" customHeight="1" x14ac:dyDescent="0.25">
      <c r="A115" s="66"/>
      <c r="B115" s="2">
        <v>45372</v>
      </c>
      <c r="C115" s="3">
        <v>1867793470</v>
      </c>
      <c r="D115" s="3">
        <v>40</v>
      </c>
      <c r="E115" s="4" t="s">
        <v>444</v>
      </c>
      <c r="F115" s="19" t="s">
        <v>87</v>
      </c>
      <c r="G115" s="10" t="s">
        <v>7</v>
      </c>
      <c r="H115" s="11">
        <v>2200</v>
      </c>
    </row>
    <row r="116" spans="1:8" ht="15" customHeight="1" x14ac:dyDescent="0.25">
      <c r="A116" s="66"/>
      <c r="B116" s="2">
        <v>45496</v>
      </c>
      <c r="C116" s="3">
        <v>1327123649</v>
      </c>
      <c r="D116" s="3">
        <v>38</v>
      </c>
      <c r="E116" s="4" t="s">
        <v>808</v>
      </c>
      <c r="F116" s="19" t="s">
        <v>87</v>
      </c>
      <c r="G116" s="10" t="s">
        <v>6</v>
      </c>
      <c r="H116" s="11">
        <v>2090</v>
      </c>
    </row>
    <row r="117" spans="1:8" ht="15" customHeight="1" x14ac:dyDescent="0.25">
      <c r="A117" s="66"/>
      <c r="B117" s="2">
        <v>45496</v>
      </c>
      <c r="C117" s="3">
        <v>2912240970</v>
      </c>
      <c r="D117" s="3">
        <v>38</v>
      </c>
      <c r="E117" s="4" t="s">
        <v>809</v>
      </c>
      <c r="F117" s="19" t="s">
        <v>87</v>
      </c>
      <c r="G117" s="10" t="s">
        <v>6</v>
      </c>
      <c r="H117" s="11">
        <v>2090</v>
      </c>
    </row>
    <row r="118" spans="1:8" ht="15" customHeight="1" x14ac:dyDescent="0.25">
      <c r="A118" s="66"/>
      <c r="B118" s="2">
        <v>45496</v>
      </c>
      <c r="C118" s="3">
        <v>583618371</v>
      </c>
      <c r="D118" s="3">
        <v>62</v>
      </c>
      <c r="E118" s="4" t="s">
        <v>512</v>
      </c>
      <c r="F118" s="19" t="s">
        <v>87</v>
      </c>
      <c r="G118" s="10" t="s">
        <v>6</v>
      </c>
      <c r="H118" s="11">
        <v>3410</v>
      </c>
    </row>
    <row r="119" spans="1:8" ht="15" customHeight="1" x14ac:dyDescent="0.25">
      <c r="A119" s="66"/>
      <c r="B119" s="2">
        <v>45496</v>
      </c>
      <c r="C119" s="3">
        <v>2194361382</v>
      </c>
      <c r="D119" s="3">
        <v>38</v>
      </c>
      <c r="E119" s="4" t="s">
        <v>361</v>
      </c>
      <c r="F119" s="19" t="s">
        <v>87</v>
      </c>
      <c r="G119" s="10" t="s">
        <v>6</v>
      </c>
      <c r="H119" s="11">
        <v>2090</v>
      </c>
    </row>
    <row r="120" spans="1:8" ht="15" customHeight="1" x14ac:dyDescent="0.25">
      <c r="A120" s="66"/>
      <c r="B120" s="2">
        <v>45496</v>
      </c>
      <c r="C120" s="3">
        <v>3233566170</v>
      </c>
      <c r="D120" s="3">
        <v>38</v>
      </c>
      <c r="E120" s="4" t="s">
        <v>810</v>
      </c>
      <c r="F120" s="19" t="s">
        <v>87</v>
      </c>
      <c r="G120" s="10" t="s">
        <v>6</v>
      </c>
      <c r="H120" s="11">
        <v>2090</v>
      </c>
    </row>
    <row r="121" spans="1:8" ht="15" customHeight="1" x14ac:dyDescent="0.25">
      <c r="A121" s="66"/>
      <c r="B121" s="2">
        <v>45496</v>
      </c>
      <c r="C121" s="3">
        <v>452311430</v>
      </c>
      <c r="D121" s="3">
        <v>38</v>
      </c>
      <c r="E121" s="4" t="s">
        <v>811</v>
      </c>
      <c r="F121" s="19" t="s">
        <v>87</v>
      </c>
      <c r="G121" s="10" t="s">
        <v>6</v>
      </c>
      <c r="H121" s="11">
        <v>2090</v>
      </c>
    </row>
    <row r="122" spans="1:8" ht="15" customHeight="1" x14ac:dyDescent="0.25">
      <c r="A122" s="66"/>
      <c r="B122" s="2">
        <v>45496</v>
      </c>
      <c r="C122" s="3">
        <v>3389933760</v>
      </c>
      <c r="D122" s="3">
        <v>56</v>
      </c>
      <c r="E122" s="4" t="s">
        <v>812</v>
      </c>
      <c r="F122" s="19" t="s">
        <v>87</v>
      </c>
      <c r="G122" s="10" t="s">
        <v>6</v>
      </c>
      <c r="H122" s="11">
        <v>3080</v>
      </c>
    </row>
    <row r="123" spans="1:8" ht="15" customHeight="1" x14ac:dyDescent="0.25">
      <c r="A123" s="66"/>
      <c r="B123" s="2">
        <v>45496</v>
      </c>
      <c r="C123" s="3">
        <v>1719682686</v>
      </c>
      <c r="D123" s="3">
        <v>18</v>
      </c>
      <c r="E123" s="4" t="s">
        <v>768</v>
      </c>
      <c r="F123" s="19" t="s">
        <v>87</v>
      </c>
      <c r="G123" s="10" t="s">
        <v>11</v>
      </c>
      <c r="H123" s="11">
        <v>990</v>
      </c>
    </row>
    <row r="124" spans="1:8" ht="15" customHeight="1" x14ac:dyDescent="0.25">
      <c r="A124" s="66"/>
      <c r="B124" s="2">
        <v>45496</v>
      </c>
      <c r="C124" s="3">
        <v>1855472503</v>
      </c>
      <c r="D124" s="3">
        <v>38</v>
      </c>
      <c r="E124" s="4" t="s">
        <v>813</v>
      </c>
      <c r="F124" s="19" t="s">
        <v>87</v>
      </c>
      <c r="G124" s="10" t="s">
        <v>6</v>
      </c>
      <c r="H124" s="11">
        <v>2090</v>
      </c>
    </row>
    <row r="125" spans="1:8" ht="15" customHeight="1" x14ac:dyDescent="0.25">
      <c r="A125" s="66"/>
      <c r="B125" s="2">
        <v>45496</v>
      </c>
      <c r="C125" s="3">
        <v>1401176719</v>
      </c>
      <c r="D125" s="3">
        <v>56</v>
      </c>
      <c r="E125" s="4" t="s">
        <v>369</v>
      </c>
      <c r="F125" s="19" t="s">
        <v>87</v>
      </c>
      <c r="G125" s="10" t="s">
        <v>6</v>
      </c>
      <c r="H125" s="11">
        <v>3080</v>
      </c>
    </row>
    <row r="126" spans="1:8" ht="15" customHeight="1" x14ac:dyDescent="0.25">
      <c r="A126" s="66"/>
      <c r="B126" s="2">
        <v>45496</v>
      </c>
      <c r="C126" s="3">
        <v>720782192</v>
      </c>
      <c r="D126" s="3">
        <v>38</v>
      </c>
      <c r="E126" s="4" t="s">
        <v>756</v>
      </c>
      <c r="F126" s="19" t="s">
        <v>87</v>
      </c>
      <c r="G126" s="10" t="s">
        <v>6</v>
      </c>
      <c r="H126" s="11">
        <v>2090</v>
      </c>
    </row>
    <row r="127" spans="1:8" ht="15" customHeight="1" x14ac:dyDescent="0.25">
      <c r="A127" s="66"/>
      <c r="B127" s="2">
        <v>45496</v>
      </c>
      <c r="C127" s="3">
        <v>4182263651</v>
      </c>
      <c r="D127" s="3">
        <v>38</v>
      </c>
      <c r="E127" s="4" t="s">
        <v>370</v>
      </c>
      <c r="F127" s="19" t="s">
        <v>87</v>
      </c>
      <c r="G127" s="10" t="s">
        <v>11</v>
      </c>
      <c r="H127" s="11">
        <v>2090</v>
      </c>
    </row>
    <row r="128" spans="1:8" ht="15" customHeight="1" x14ac:dyDescent="0.25">
      <c r="A128" s="66"/>
      <c r="B128" s="2">
        <v>45496</v>
      </c>
      <c r="C128" s="3">
        <v>1749239720</v>
      </c>
      <c r="D128" s="3">
        <v>24</v>
      </c>
      <c r="E128" s="4" t="s">
        <v>814</v>
      </c>
      <c r="F128" s="19" t="s">
        <v>87</v>
      </c>
      <c r="G128" s="10" t="s">
        <v>6</v>
      </c>
      <c r="H128" s="11">
        <v>1320</v>
      </c>
    </row>
    <row r="129" spans="1:8" ht="15" customHeight="1" x14ac:dyDescent="0.25">
      <c r="A129" s="66"/>
      <c r="B129" s="2">
        <v>45496</v>
      </c>
      <c r="C129" s="3">
        <v>56838297</v>
      </c>
      <c r="D129" s="3">
        <v>24</v>
      </c>
      <c r="E129" s="4" t="s">
        <v>814</v>
      </c>
      <c r="F129" s="19" t="s">
        <v>87</v>
      </c>
      <c r="G129" s="10" t="s">
        <v>6</v>
      </c>
      <c r="H129" s="11">
        <v>1320</v>
      </c>
    </row>
    <row r="130" spans="1:8" ht="15" customHeight="1" x14ac:dyDescent="0.25">
      <c r="A130" s="66"/>
      <c r="B130" s="2">
        <v>45496</v>
      </c>
      <c r="C130" s="3">
        <v>1259227311</v>
      </c>
      <c r="D130" s="3">
        <v>38</v>
      </c>
      <c r="E130" s="4" t="s">
        <v>423</v>
      </c>
      <c r="F130" s="19" t="s">
        <v>87</v>
      </c>
      <c r="G130" s="10" t="s">
        <v>6</v>
      </c>
      <c r="H130" s="11">
        <v>2090</v>
      </c>
    </row>
    <row r="131" spans="1:8" ht="15" customHeight="1" x14ac:dyDescent="0.25">
      <c r="A131" s="66"/>
      <c r="B131" s="2">
        <v>45496</v>
      </c>
      <c r="C131" s="3">
        <v>3576778546</v>
      </c>
      <c r="D131" s="3">
        <v>56</v>
      </c>
      <c r="E131" s="4" t="s">
        <v>616</v>
      </c>
      <c r="F131" s="19" t="s">
        <v>87</v>
      </c>
      <c r="G131" s="10" t="s">
        <v>6</v>
      </c>
      <c r="H131" s="11">
        <v>3080</v>
      </c>
    </row>
    <row r="132" spans="1:8" ht="15" customHeight="1" x14ac:dyDescent="0.25">
      <c r="A132" s="66"/>
      <c r="B132" s="2">
        <v>45496</v>
      </c>
      <c r="C132" s="3">
        <v>1216892136</v>
      </c>
      <c r="D132" s="3">
        <v>38</v>
      </c>
      <c r="E132" s="4" t="s">
        <v>367</v>
      </c>
      <c r="F132" s="19" t="s">
        <v>87</v>
      </c>
      <c r="G132" s="10" t="s">
        <v>6</v>
      </c>
      <c r="H132" s="11">
        <v>2090</v>
      </c>
    </row>
    <row r="133" spans="1:8" ht="15" customHeight="1" x14ac:dyDescent="0.25">
      <c r="A133" s="66"/>
      <c r="B133" s="2">
        <v>45496</v>
      </c>
      <c r="C133" s="3">
        <v>4176692819</v>
      </c>
      <c r="D133" s="3">
        <v>42</v>
      </c>
      <c r="E133" s="4" t="s">
        <v>391</v>
      </c>
      <c r="F133" s="19" t="s">
        <v>87</v>
      </c>
      <c r="G133" s="10" t="s">
        <v>6</v>
      </c>
      <c r="H133" s="11">
        <v>2310</v>
      </c>
    </row>
    <row r="134" spans="1:8" ht="15" customHeight="1" x14ac:dyDescent="0.25">
      <c r="A134" s="66"/>
      <c r="B134" s="2">
        <v>45496</v>
      </c>
      <c r="C134" s="3">
        <v>1759920295</v>
      </c>
      <c r="D134" s="3">
        <v>56</v>
      </c>
      <c r="E134" s="4" t="s">
        <v>377</v>
      </c>
      <c r="F134" s="19" t="s">
        <v>87</v>
      </c>
      <c r="G134" s="10" t="s">
        <v>6</v>
      </c>
      <c r="H134" s="11">
        <v>3080</v>
      </c>
    </row>
    <row r="135" spans="1:8" ht="15" customHeight="1" x14ac:dyDescent="0.25">
      <c r="A135" s="66"/>
      <c r="B135" s="2">
        <v>45496</v>
      </c>
      <c r="C135" s="3">
        <v>2553102690</v>
      </c>
      <c r="D135" s="3">
        <v>4</v>
      </c>
      <c r="E135" s="4" t="s">
        <v>815</v>
      </c>
      <c r="F135" s="19" t="s">
        <v>87</v>
      </c>
      <c r="G135" s="10" t="s">
        <v>6</v>
      </c>
      <c r="H135" s="11">
        <v>215</v>
      </c>
    </row>
    <row r="136" spans="1:8" ht="15" customHeight="1" x14ac:dyDescent="0.25">
      <c r="A136" s="66"/>
      <c r="B136" s="2">
        <v>45496</v>
      </c>
      <c r="C136" s="3">
        <v>2553102690</v>
      </c>
      <c r="D136" s="3">
        <v>29</v>
      </c>
      <c r="E136" s="4" t="s">
        <v>815</v>
      </c>
      <c r="F136" s="19" t="s">
        <v>87</v>
      </c>
      <c r="G136" s="10" t="s">
        <v>11</v>
      </c>
      <c r="H136" s="11">
        <v>1599.9996000000001</v>
      </c>
    </row>
    <row r="137" spans="1:8" ht="15" customHeight="1" x14ac:dyDescent="0.25">
      <c r="A137" s="66"/>
      <c r="B137" s="2">
        <v>45496</v>
      </c>
      <c r="C137" s="3">
        <v>3059893366</v>
      </c>
      <c r="D137" s="3">
        <v>38</v>
      </c>
      <c r="E137" s="4" t="s">
        <v>816</v>
      </c>
      <c r="F137" s="19" t="s">
        <v>87</v>
      </c>
      <c r="G137" s="10" t="s">
        <v>6</v>
      </c>
      <c r="H137" s="11">
        <v>2090</v>
      </c>
    </row>
    <row r="138" spans="1:8" ht="15" customHeight="1" x14ac:dyDescent="0.25">
      <c r="A138" s="66"/>
      <c r="B138" s="2">
        <v>45496</v>
      </c>
      <c r="C138" s="3">
        <v>2930264011</v>
      </c>
      <c r="D138" s="3">
        <v>38</v>
      </c>
      <c r="E138" s="4" t="s">
        <v>817</v>
      </c>
      <c r="F138" s="19" t="s">
        <v>87</v>
      </c>
      <c r="G138" s="10" t="s">
        <v>7</v>
      </c>
      <c r="H138" s="11">
        <v>2090</v>
      </c>
    </row>
    <row r="139" spans="1:8" ht="15" customHeight="1" x14ac:dyDescent="0.25">
      <c r="A139" s="66"/>
      <c r="B139" s="2">
        <v>45496</v>
      </c>
      <c r="C139" s="3">
        <v>3966321930</v>
      </c>
      <c r="D139" s="3">
        <v>18</v>
      </c>
      <c r="E139" s="4" t="s">
        <v>818</v>
      </c>
      <c r="F139" s="19" t="s">
        <v>87</v>
      </c>
      <c r="G139" s="10" t="s">
        <v>6</v>
      </c>
      <c r="H139" s="11">
        <v>990</v>
      </c>
    </row>
    <row r="140" spans="1:8" ht="15" customHeight="1" x14ac:dyDescent="0.25">
      <c r="A140" s="66"/>
      <c r="B140" s="2">
        <v>45496</v>
      </c>
      <c r="C140" s="3">
        <v>1925333085</v>
      </c>
      <c r="D140" s="3">
        <v>49</v>
      </c>
      <c r="E140" s="4" t="s">
        <v>819</v>
      </c>
      <c r="F140" s="19" t="s">
        <v>87</v>
      </c>
      <c r="G140" s="10" t="s">
        <v>6</v>
      </c>
      <c r="H140" s="11">
        <v>2695</v>
      </c>
    </row>
    <row r="141" spans="1:8" ht="15" customHeight="1" x14ac:dyDescent="0.25">
      <c r="A141" s="66"/>
      <c r="B141" s="2">
        <v>45496</v>
      </c>
      <c r="C141" s="3">
        <v>1058489902</v>
      </c>
      <c r="D141" s="3">
        <v>56</v>
      </c>
      <c r="E141" s="4" t="s">
        <v>820</v>
      </c>
      <c r="F141" s="19" t="s">
        <v>87</v>
      </c>
      <c r="G141" s="10" t="s">
        <v>6</v>
      </c>
      <c r="H141" s="11">
        <v>3080</v>
      </c>
    </row>
    <row r="142" spans="1:8" ht="15" customHeight="1" x14ac:dyDescent="0.25">
      <c r="A142" s="66"/>
      <c r="B142" s="2">
        <v>45497</v>
      </c>
      <c r="C142" s="3">
        <v>4088321675</v>
      </c>
      <c r="D142" s="3">
        <v>28</v>
      </c>
      <c r="E142" s="4" t="s">
        <v>821</v>
      </c>
      <c r="F142" s="19" t="s">
        <v>87</v>
      </c>
      <c r="G142" s="10" t="s">
        <v>10</v>
      </c>
      <c r="H142" s="11">
        <v>1540</v>
      </c>
    </row>
    <row r="143" spans="1:8" ht="15" customHeight="1" x14ac:dyDescent="0.25">
      <c r="A143" s="66"/>
      <c r="B143" s="2">
        <v>45497</v>
      </c>
      <c r="C143" s="3">
        <v>119949259</v>
      </c>
      <c r="D143" s="3">
        <v>56</v>
      </c>
      <c r="E143" s="4" t="s">
        <v>223</v>
      </c>
      <c r="F143" s="19" t="s">
        <v>87</v>
      </c>
      <c r="G143" s="10" t="s">
        <v>6</v>
      </c>
      <c r="H143" s="11">
        <v>3080</v>
      </c>
    </row>
    <row r="144" spans="1:8" ht="15" customHeight="1" x14ac:dyDescent="0.25">
      <c r="A144" s="66"/>
      <c r="B144" s="2">
        <v>45497</v>
      </c>
      <c r="C144" s="3">
        <v>188630769</v>
      </c>
      <c r="D144" s="3">
        <v>25</v>
      </c>
      <c r="E144" s="4" t="s">
        <v>822</v>
      </c>
      <c r="F144" s="19" t="s">
        <v>87</v>
      </c>
      <c r="G144" s="10" t="s">
        <v>6</v>
      </c>
      <c r="H144" s="11">
        <v>1375</v>
      </c>
    </row>
    <row r="145" spans="1:8" ht="15" customHeight="1" x14ac:dyDescent="0.25">
      <c r="A145" s="66"/>
      <c r="B145" s="2">
        <v>45497</v>
      </c>
      <c r="C145" s="3">
        <v>434324258</v>
      </c>
      <c r="D145" s="3">
        <v>50</v>
      </c>
      <c r="E145" s="4" t="s">
        <v>823</v>
      </c>
      <c r="F145" s="19" t="s">
        <v>87</v>
      </c>
      <c r="G145" s="10" t="s">
        <v>6</v>
      </c>
      <c r="H145" s="11">
        <v>2750</v>
      </c>
    </row>
    <row r="146" spans="1:8" ht="15" customHeight="1" x14ac:dyDescent="0.25">
      <c r="A146" s="66"/>
      <c r="B146" s="2">
        <v>45497</v>
      </c>
      <c r="C146" s="3">
        <v>529746073</v>
      </c>
      <c r="D146" s="3">
        <v>56</v>
      </c>
      <c r="E146" s="4" t="s">
        <v>417</v>
      </c>
      <c r="F146" s="19" t="s">
        <v>87</v>
      </c>
      <c r="G146" s="10" t="s">
        <v>6</v>
      </c>
      <c r="H146" s="11">
        <v>3080</v>
      </c>
    </row>
    <row r="147" spans="1:8" ht="15" customHeight="1" x14ac:dyDescent="0.25">
      <c r="A147" s="66"/>
      <c r="B147" s="2">
        <v>45497</v>
      </c>
      <c r="C147" s="3">
        <v>4018160520</v>
      </c>
      <c r="D147" s="3">
        <v>4</v>
      </c>
      <c r="E147" s="4" t="s">
        <v>824</v>
      </c>
      <c r="F147" s="19" t="s">
        <v>87</v>
      </c>
      <c r="G147" s="10" t="s">
        <v>6</v>
      </c>
      <c r="H147" s="11">
        <v>210</v>
      </c>
    </row>
    <row r="148" spans="1:8" ht="15" customHeight="1" x14ac:dyDescent="0.25">
      <c r="A148" s="66"/>
      <c r="B148" s="2">
        <v>45497</v>
      </c>
      <c r="C148" s="3">
        <v>4018160520</v>
      </c>
      <c r="D148" s="3">
        <v>18</v>
      </c>
      <c r="E148" s="4" t="s">
        <v>824</v>
      </c>
      <c r="F148" s="19" t="s">
        <v>87</v>
      </c>
      <c r="G148" s="10" t="s">
        <v>11</v>
      </c>
      <c r="H148" s="11">
        <v>999.99900000000002</v>
      </c>
    </row>
    <row r="149" spans="1:8" ht="15" customHeight="1" x14ac:dyDescent="0.25">
      <c r="A149" s="66"/>
      <c r="B149" s="2">
        <v>45497</v>
      </c>
      <c r="C149" s="3">
        <v>2794078251</v>
      </c>
      <c r="D149" s="3">
        <v>28</v>
      </c>
      <c r="E149" s="4" t="s">
        <v>383</v>
      </c>
      <c r="F149" s="19" t="s">
        <v>87</v>
      </c>
      <c r="G149" s="10" t="s">
        <v>11</v>
      </c>
      <c r="H149" s="11">
        <v>1540</v>
      </c>
    </row>
    <row r="150" spans="1:8" ht="15" customHeight="1" x14ac:dyDescent="0.25">
      <c r="A150" s="66"/>
      <c r="B150" s="2">
        <v>45497</v>
      </c>
      <c r="C150" s="3">
        <v>4111091978</v>
      </c>
      <c r="D150" s="3">
        <v>23</v>
      </c>
      <c r="E150" s="4" t="s">
        <v>383</v>
      </c>
      <c r="F150" s="19" t="s">
        <v>87</v>
      </c>
      <c r="G150" s="10" t="s">
        <v>11</v>
      </c>
      <c r="H150" s="11">
        <v>1259.9998000000001</v>
      </c>
    </row>
    <row r="151" spans="1:8" ht="15" customHeight="1" x14ac:dyDescent="0.25">
      <c r="A151" s="66"/>
      <c r="B151" s="2">
        <v>45497</v>
      </c>
      <c r="C151" s="3">
        <v>4111091978</v>
      </c>
      <c r="D151" s="3">
        <v>5</v>
      </c>
      <c r="E151" s="4" t="s">
        <v>383</v>
      </c>
      <c r="F151" s="19" t="s">
        <v>87</v>
      </c>
      <c r="G151" s="10" t="s">
        <v>13</v>
      </c>
      <c r="H151" s="11">
        <v>280</v>
      </c>
    </row>
    <row r="152" spans="1:8" ht="15" customHeight="1" x14ac:dyDescent="0.25">
      <c r="A152" s="66"/>
      <c r="B152" s="2">
        <v>45497</v>
      </c>
      <c r="C152" s="3">
        <v>3485814206</v>
      </c>
      <c r="D152" s="3">
        <v>38</v>
      </c>
      <c r="E152" s="4" t="s">
        <v>825</v>
      </c>
      <c r="F152" s="19" t="s">
        <v>87</v>
      </c>
      <c r="G152" s="10" t="s">
        <v>6</v>
      </c>
      <c r="H152" s="11">
        <v>2090</v>
      </c>
    </row>
    <row r="153" spans="1:8" ht="15" customHeight="1" x14ac:dyDescent="0.25">
      <c r="A153" s="66"/>
      <c r="B153" s="2">
        <v>45497</v>
      </c>
      <c r="C153" s="3">
        <v>1353927844</v>
      </c>
      <c r="D153" s="3">
        <v>18</v>
      </c>
      <c r="E153" s="4" t="s">
        <v>686</v>
      </c>
      <c r="F153" s="19" t="s">
        <v>87</v>
      </c>
      <c r="G153" s="10" t="s">
        <v>6</v>
      </c>
      <c r="H153" s="11">
        <v>990</v>
      </c>
    </row>
    <row r="154" spans="1:8" ht="15" customHeight="1" x14ac:dyDescent="0.25">
      <c r="A154" s="66"/>
      <c r="B154" s="2">
        <v>45497</v>
      </c>
      <c r="C154" s="3">
        <v>29770327</v>
      </c>
      <c r="D154" s="3">
        <v>10</v>
      </c>
      <c r="E154" s="4" t="s">
        <v>359</v>
      </c>
      <c r="F154" s="19" t="s">
        <v>87</v>
      </c>
      <c r="G154" s="10" t="s">
        <v>6</v>
      </c>
      <c r="H154" s="11">
        <v>540</v>
      </c>
    </row>
    <row r="155" spans="1:8" ht="15" customHeight="1" x14ac:dyDescent="0.25">
      <c r="A155" s="66"/>
      <c r="B155" s="2">
        <v>45497</v>
      </c>
      <c r="C155" s="3">
        <v>29770327</v>
      </c>
      <c r="D155" s="3">
        <v>18</v>
      </c>
      <c r="E155" s="4" t="s">
        <v>359</v>
      </c>
      <c r="F155" s="19" t="s">
        <v>87</v>
      </c>
      <c r="G155" s="10" t="s">
        <v>11</v>
      </c>
      <c r="H155" s="11">
        <v>999.99900000000002</v>
      </c>
    </row>
    <row r="156" spans="1:8" ht="15" customHeight="1" x14ac:dyDescent="0.25">
      <c r="A156" s="66"/>
      <c r="B156" s="2">
        <v>45497</v>
      </c>
      <c r="C156" s="3">
        <v>2771404188</v>
      </c>
      <c r="D156" s="3">
        <v>38</v>
      </c>
      <c r="E156" s="4" t="s">
        <v>826</v>
      </c>
      <c r="F156" s="19" t="s">
        <v>87</v>
      </c>
      <c r="G156" s="10" t="s">
        <v>6</v>
      </c>
      <c r="H156" s="11">
        <v>2090</v>
      </c>
    </row>
    <row r="157" spans="1:8" ht="15" customHeight="1" x14ac:dyDescent="0.25">
      <c r="A157" s="66"/>
      <c r="B157" s="2">
        <v>45497</v>
      </c>
      <c r="C157" s="3">
        <v>2339982520</v>
      </c>
      <c r="D157" s="3">
        <v>2</v>
      </c>
      <c r="E157" s="4" t="s">
        <v>827</v>
      </c>
      <c r="F157" s="19" t="s">
        <v>87</v>
      </c>
      <c r="G157" s="10" t="s">
        <v>11</v>
      </c>
      <c r="H157" s="11">
        <v>100</v>
      </c>
    </row>
    <row r="158" spans="1:8" ht="15" customHeight="1" x14ac:dyDescent="0.25">
      <c r="A158" s="66"/>
      <c r="B158" s="2">
        <v>45497</v>
      </c>
      <c r="C158" s="3">
        <v>2339982520</v>
      </c>
      <c r="D158" s="3">
        <v>28</v>
      </c>
      <c r="E158" s="4" t="s">
        <v>827</v>
      </c>
      <c r="F158" s="19" t="s">
        <v>87</v>
      </c>
      <c r="G158" s="10" t="s">
        <v>26</v>
      </c>
      <c r="H158" s="11">
        <v>1549.9988000000001</v>
      </c>
    </row>
    <row r="159" spans="1:8" ht="15" customHeight="1" x14ac:dyDescent="0.25">
      <c r="A159" s="66"/>
      <c r="B159" s="2">
        <v>45497</v>
      </c>
      <c r="C159" s="3">
        <v>1307593193</v>
      </c>
      <c r="D159" s="3">
        <v>38</v>
      </c>
      <c r="E159" s="4" t="s">
        <v>362</v>
      </c>
      <c r="F159" s="19" t="s">
        <v>87</v>
      </c>
      <c r="G159" s="10" t="s">
        <v>6</v>
      </c>
      <c r="H159" s="11">
        <v>2090</v>
      </c>
    </row>
    <row r="160" spans="1:8" ht="15" customHeight="1" x14ac:dyDescent="0.25">
      <c r="A160" s="66"/>
      <c r="B160" s="2">
        <v>45497</v>
      </c>
      <c r="C160" s="3">
        <v>228017512</v>
      </c>
      <c r="D160" s="3">
        <v>38</v>
      </c>
      <c r="E160" s="4" t="s">
        <v>86</v>
      </c>
      <c r="F160" s="19" t="s">
        <v>87</v>
      </c>
      <c r="G160" s="10" t="s">
        <v>6</v>
      </c>
      <c r="H160" s="11">
        <v>2090</v>
      </c>
    </row>
    <row r="161" spans="1:8" ht="15" customHeight="1" x14ac:dyDescent="0.25">
      <c r="A161" s="66"/>
      <c r="B161" s="2">
        <v>45497</v>
      </c>
      <c r="C161" s="3">
        <v>992103652</v>
      </c>
      <c r="D161" s="3">
        <v>10</v>
      </c>
      <c r="E161" s="4" t="s">
        <v>828</v>
      </c>
      <c r="F161" s="19" t="s">
        <v>87</v>
      </c>
      <c r="G161" s="10" t="s">
        <v>6</v>
      </c>
      <c r="H161" s="11">
        <v>550</v>
      </c>
    </row>
    <row r="162" spans="1:8" ht="15" customHeight="1" x14ac:dyDescent="0.25">
      <c r="A162" s="66"/>
      <c r="B162" s="2">
        <v>45497</v>
      </c>
      <c r="C162" s="3">
        <v>3079753649</v>
      </c>
      <c r="D162" s="3">
        <v>38</v>
      </c>
      <c r="E162" s="4" t="s">
        <v>829</v>
      </c>
      <c r="F162" s="19" t="s">
        <v>87</v>
      </c>
      <c r="G162" s="10" t="s">
        <v>6</v>
      </c>
      <c r="H162" s="11">
        <v>2090</v>
      </c>
    </row>
    <row r="163" spans="1:8" ht="15" customHeight="1" x14ac:dyDescent="0.25">
      <c r="A163" s="66"/>
      <c r="B163" s="2">
        <v>45497</v>
      </c>
      <c r="C163" s="3">
        <v>3016969266</v>
      </c>
      <c r="D163" s="3">
        <v>28</v>
      </c>
      <c r="E163" s="4" t="s">
        <v>761</v>
      </c>
      <c r="F163" s="19" t="s">
        <v>87</v>
      </c>
      <c r="G163" s="10" t="s">
        <v>6</v>
      </c>
      <c r="H163" s="11">
        <v>1540</v>
      </c>
    </row>
    <row r="164" spans="1:8" ht="15" customHeight="1" x14ac:dyDescent="0.25">
      <c r="A164" s="66"/>
      <c r="B164" s="2">
        <v>45497</v>
      </c>
      <c r="C164" s="3">
        <v>1673281715</v>
      </c>
      <c r="D164" s="3">
        <v>28</v>
      </c>
      <c r="E164" s="4" t="s">
        <v>761</v>
      </c>
      <c r="F164" s="19" t="s">
        <v>87</v>
      </c>
      <c r="G164" s="10" t="s">
        <v>6</v>
      </c>
      <c r="H164" s="11">
        <v>1540</v>
      </c>
    </row>
    <row r="165" spans="1:8" ht="15" customHeight="1" x14ac:dyDescent="0.25">
      <c r="A165" s="66"/>
      <c r="B165" s="2">
        <v>45497</v>
      </c>
      <c r="C165" s="3">
        <v>1065109742</v>
      </c>
      <c r="D165" s="3">
        <v>56</v>
      </c>
      <c r="E165" s="4" t="s">
        <v>402</v>
      </c>
      <c r="F165" s="19" t="s">
        <v>87</v>
      </c>
      <c r="G165" s="10" t="s">
        <v>6</v>
      </c>
      <c r="H165" s="11">
        <v>3080</v>
      </c>
    </row>
    <row r="166" spans="1:8" ht="15" customHeight="1" x14ac:dyDescent="0.25">
      <c r="A166" s="66"/>
      <c r="B166" s="2">
        <v>45497</v>
      </c>
      <c r="C166" s="3">
        <v>3031518597</v>
      </c>
      <c r="D166" s="3">
        <v>18</v>
      </c>
      <c r="E166" s="4" t="s">
        <v>830</v>
      </c>
      <c r="F166" s="19" t="s">
        <v>87</v>
      </c>
      <c r="G166" s="10" t="s">
        <v>6</v>
      </c>
      <c r="H166" s="11">
        <v>990</v>
      </c>
    </row>
    <row r="167" spans="1:8" ht="15" customHeight="1" x14ac:dyDescent="0.25">
      <c r="A167" s="66"/>
      <c r="B167" s="2">
        <v>45497</v>
      </c>
      <c r="C167" s="3">
        <v>3826927260</v>
      </c>
      <c r="D167" s="3">
        <v>60</v>
      </c>
      <c r="E167" s="4" t="s">
        <v>433</v>
      </c>
      <c r="F167" s="19" t="s">
        <v>87</v>
      </c>
      <c r="G167" s="10" t="s">
        <v>6</v>
      </c>
      <c r="H167" s="11">
        <v>3300</v>
      </c>
    </row>
    <row r="168" spans="1:8" ht="15" customHeight="1" x14ac:dyDescent="0.25">
      <c r="A168" s="66"/>
      <c r="B168" s="2">
        <v>45497</v>
      </c>
      <c r="C168" s="3">
        <v>442974311</v>
      </c>
      <c r="D168" s="3">
        <v>56</v>
      </c>
      <c r="E168" s="4" t="s">
        <v>299</v>
      </c>
      <c r="F168" s="19" t="s">
        <v>87</v>
      </c>
      <c r="G168" s="10" t="s">
        <v>6</v>
      </c>
      <c r="H168" s="11">
        <v>3080</v>
      </c>
    </row>
    <row r="169" spans="1:8" ht="15" customHeight="1" x14ac:dyDescent="0.25">
      <c r="A169" s="66"/>
      <c r="B169" s="2">
        <v>45497</v>
      </c>
      <c r="C169" s="3">
        <v>3679142629</v>
      </c>
      <c r="D169" s="3">
        <v>15</v>
      </c>
      <c r="E169" s="4" t="s">
        <v>399</v>
      </c>
      <c r="F169" s="19" t="s">
        <v>87</v>
      </c>
      <c r="G169" s="10" t="s">
        <v>13</v>
      </c>
      <c r="H169" s="11">
        <v>825</v>
      </c>
    </row>
    <row r="170" spans="1:8" ht="15" customHeight="1" x14ac:dyDescent="0.25">
      <c r="A170" s="66"/>
      <c r="B170" s="2">
        <v>45497</v>
      </c>
      <c r="C170" s="3">
        <v>2352890660</v>
      </c>
      <c r="D170" s="3">
        <v>60</v>
      </c>
      <c r="E170" s="4" t="s">
        <v>269</v>
      </c>
      <c r="F170" s="19" t="s">
        <v>87</v>
      </c>
      <c r="G170" s="10" t="s">
        <v>6</v>
      </c>
      <c r="H170" s="11">
        <v>3300</v>
      </c>
    </row>
    <row r="171" spans="1:8" ht="15" customHeight="1" x14ac:dyDescent="0.25">
      <c r="A171" s="66"/>
      <c r="B171" s="2">
        <v>45497</v>
      </c>
      <c r="C171" s="3">
        <v>2252556658</v>
      </c>
      <c r="D171" s="3">
        <v>56</v>
      </c>
      <c r="E171" s="4" t="s">
        <v>831</v>
      </c>
      <c r="F171" s="19" t="s">
        <v>87</v>
      </c>
      <c r="G171" s="10" t="s">
        <v>6</v>
      </c>
      <c r="H171" s="11">
        <v>3080</v>
      </c>
    </row>
    <row r="172" spans="1:8" ht="15" customHeight="1" x14ac:dyDescent="0.25">
      <c r="A172" s="66"/>
      <c r="B172" s="2">
        <v>45497</v>
      </c>
      <c r="C172" s="3">
        <v>59919042</v>
      </c>
      <c r="D172" s="3">
        <v>70</v>
      </c>
      <c r="E172" s="4" t="s">
        <v>832</v>
      </c>
      <c r="F172" s="19" t="s">
        <v>87</v>
      </c>
      <c r="G172" s="10" t="s">
        <v>6</v>
      </c>
      <c r="H172" s="11">
        <v>3850</v>
      </c>
    </row>
    <row r="173" spans="1:8" ht="15" customHeight="1" x14ac:dyDescent="0.25">
      <c r="A173" s="66"/>
      <c r="B173" s="2">
        <v>45497</v>
      </c>
      <c r="C173" s="3">
        <v>348997281</v>
      </c>
      <c r="D173" s="3">
        <v>18</v>
      </c>
      <c r="E173" s="4" t="s">
        <v>378</v>
      </c>
      <c r="F173" s="19" t="s">
        <v>87</v>
      </c>
      <c r="G173" s="10" t="s">
        <v>6</v>
      </c>
      <c r="H173" s="11">
        <v>990</v>
      </c>
    </row>
    <row r="174" spans="1:8" ht="15" customHeight="1" x14ac:dyDescent="0.25">
      <c r="A174" s="66"/>
      <c r="B174" s="2">
        <v>45497</v>
      </c>
      <c r="C174" s="3">
        <v>1566459988</v>
      </c>
      <c r="D174" s="3">
        <v>38</v>
      </c>
      <c r="E174" s="4" t="s">
        <v>833</v>
      </c>
      <c r="F174" s="19" t="s">
        <v>87</v>
      </c>
      <c r="G174" s="10" t="s">
        <v>6</v>
      </c>
      <c r="H174" s="11">
        <v>2090</v>
      </c>
    </row>
    <row r="175" spans="1:8" ht="15" customHeight="1" x14ac:dyDescent="0.25">
      <c r="A175" s="66"/>
      <c r="B175" s="2">
        <v>45497</v>
      </c>
      <c r="C175" s="3">
        <v>3528147194</v>
      </c>
      <c r="D175" s="3">
        <v>60</v>
      </c>
      <c r="E175" s="4" t="s">
        <v>394</v>
      </c>
      <c r="F175" s="19" t="s">
        <v>87</v>
      </c>
      <c r="G175" s="10" t="s">
        <v>6</v>
      </c>
      <c r="H175" s="11">
        <v>3300</v>
      </c>
    </row>
    <row r="176" spans="1:8" ht="15" customHeight="1" x14ac:dyDescent="0.25">
      <c r="A176" s="66"/>
      <c r="B176" s="2">
        <v>45497</v>
      </c>
      <c r="C176" s="3">
        <v>4075307238</v>
      </c>
      <c r="D176" s="3">
        <v>56</v>
      </c>
      <c r="E176" s="4" t="s">
        <v>834</v>
      </c>
      <c r="F176" s="19" t="s">
        <v>87</v>
      </c>
      <c r="G176" s="10" t="s">
        <v>11</v>
      </c>
      <c r="H176" s="11">
        <v>3080</v>
      </c>
    </row>
    <row r="177" spans="1:8" ht="15" customHeight="1" x14ac:dyDescent="0.25">
      <c r="A177" s="66"/>
      <c r="B177" s="2">
        <v>45497</v>
      </c>
      <c r="C177" s="3">
        <v>689587239</v>
      </c>
      <c r="D177" s="3">
        <v>56</v>
      </c>
      <c r="E177" s="4" t="s">
        <v>835</v>
      </c>
      <c r="F177" s="19" t="s">
        <v>87</v>
      </c>
      <c r="G177" s="10" t="s">
        <v>6</v>
      </c>
      <c r="H177" s="11">
        <v>3080</v>
      </c>
    </row>
    <row r="178" spans="1:8" ht="15" customHeight="1" x14ac:dyDescent="0.25">
      <c r="A178" s="66"/>
      <c r="B178" s="2">
        <v>45497</v>
      </c>
      <c r="C178" s="3">
        <v>627396504</v>
      </c>
      <c r="D178" s="3">
        <v>16</v>
      </c>
      <c r="E178" s="4" t="s">
        <v>836</v>
      </c>
      <c r="F178" s="19" t="s">
        <v>87</v>
      </c>
      <c r="G178" s="10" t="s">
        <v>6</v>
      </c>
      <c r="H178" s="11">
        <v>880</v>
      </c>
    </row>
    <row r="179" spans="1:8" ht="15" customHeight="1" x14ac:dyDescent="0.25">
      <c r="A179" s="66"/>
      <c r="B179" s="2">
        <v>45497</v>
      </c>
      <c r="C179" s="3">
        <v>4008068768</v>
      </c>
      <c r="D179" s="3">
        <v>38</v>
      </c>
      <c r="E179" s="4" t="s">
        <v>388</v>
      </c>
      <c r="F179" s="19" t="s">
        <v>87</v>
      </c>
      <c r="G179" s="10" t="s">
        <v>11</v>
      </c>
      <c r="H179" s="11">
        <v>2090</v>
      </c>
    </row>
    <row r="180" spans="1:8" ht="15" customHeight="1" x14ac:dyDescent="0.25">
      <c r="A180" s="66"/>
      <c r="B180" s="2">
        <v>45497</v>
      </c>
      <c r="C180" s="3">
        <v>2571191595</v>
      </c>
      <c r="D180" s="3">
        <v>32</v>
      </c>
      <c r="E180" s="4" t="s">
        <v>837</v>
      </c>
      <c r="F180" s="19" t="s">
        <v>87</v>
      </c>
      <c r="G180" s="10" t="s">
        <v>6</v>
      </c>
      <c r="H180" s="11">
        <v>1760</v>
      </c>
    </row>
    <row r="181" spans="1:8" ht="15" customHeight="1" x14ac:dyDescent="0.25">
      <c r="A181" s="66"/>
      <c r="B181" s="2">
        <v>45497</v>
      </c>
      <c r="C181" s="3">
        <v>2143109147</v>
      </c>
      <c r="D181" s="3">
        <v>50</v>
      </c>
      <c r="E181" s="4" t="s">
        <v>838</v>
      </c>
      <c r="F181" s="19" t="s">
        <v>87</v>
      </c>
      <c r="G181" s="10" t="s">
        <v>6</v>
      </c>
      <c r="H181" s="11">
        <v>2750</v>
      </c>
    </row>
    <row r="182" spans="1:8" ht="15" customHeight="1" x14ac:dyDescent="0.25">
      <c r="A182" s="66"/>
      <c r="B182" s="2">
        <v>45498</v>
      </c>
      <c r="C182" s="3">
        <v>4014229739</v>
      </c>
      <c r="D182" s="3">
        <v>36</v>
      </c>
      <c r="E182" s="4" t="s">
        <v>228</v>
      </c>
      <c r="F182" s="19" t="s">
        <v>87</v>
      </c>
      <c r="G182" s="10" t="s">
        <v>7</v>
      </c>
      <c r="H182" s="11">
        <v>1980</v>
      </c>
    </row>
    <row r="183" spans="1:8" ht="15" customHeight="1" x14ac:dyDescent="0.25">
      <c r="A183" s="66"/>
      <c r="B183" s="2">
        <v>45498</v>
      </c>
      <c r="C183" s="3">
        <v>2053000065</v>
      </c>
      <c r="D183" s="3">
        <v>18</v>
      </c>
      <c r="E183" s="4" t="s">
        <v>839</v>
      </c>
      <c r="F183" s="19" t="s">
        <v>87</v>
      </c>
      <c r="G183" s="10" t="s">
        <v>6</v>
      </c>
      <c r="H183" s="11">
        <v>990</v>
      </c>
    </row>
    <row r="184" spans="1:8" ht="15" customHeight="1" x14ac:dyDescent="0.25">
      <c r="A184" s="66"/>
      <c r="B184" s="2">
        <v>45498</v>
      </c>
      <c r="C184" s="3">
        <v>2425572460</v>
      </c>
      <c r="D184" s="3">
        <v>56</v>
      </c>
      <c r="E184" s="4" t="s">
        <v>840</v>
      </c>
      <c r="F184" s="19" t="s">
        <v>87</v>
      </c>
      <c r="G184" s="10" t="s">
        <v>6</v>
      </c>
      <c r="H184" s="11">
        <v>3080</v>
      </c>
    </row>
    <row r="185" spans="1:8" ht="15" customHeight="1" x14ac:dyDescent="0.25">
      <c r="A185" s="66"/>
      <c r="B185" s="2">
        <v>45498</v>
      </c>
      <c r="C185" s="3">
        <v>3839312364</v>
      </c>
      <c r="D185" s="3">
        <v>56</v>
      </c>
      <c r="E185" s="4" t="s">
        <v>841</v>
      </c>
      <c r="F185" s="19" t="s">
        <v>87</v>
      </c>
      <c r="G185" s="10" t="s">
        <v>6</v>
      </c>
      <c r="H185" s="11">
        <v>3080</v>
      </c>
    </row>
    <row r="186" spans="1:8" ht="15" customHeight="1" x14ac:dyDescent="0.25">
      <c r="A186" s="66"/>
      <c r="B186" s="2">
        <v>45498</v>
      </c>
      <c r="C186" s="3">
        <v>1060455036</v>
      </c>
      <c r="D186" s="3">
        <v>30</v>
      </c>
      <c r="E186" s="4" t="s">
        <v>842</v>
      </c>
      <c r="F186" s="19" t="s">
        <v>87</v>
      </c>
      <c r="G186" s="10" t="s">
        <v>6</v>
      </c>
      <c r="H186" s="11">
        <v>1050</v>
      </c>
    </row>
    <row r="187" spans="1:8" ht="15" customHeight="1" x14ac:dyDescent="0.25">
      <c r="A187" s="66"/>
      <c r="B187" s="2">
        <v>45498</v>
      </c>
      <c r="C187" s="3">
        <v>1403404614</v>
      </c>
      <c r="D187" s="3">
        <v>38</v>
      </c>
      <c r="E187" s="4" t="s">
        <v>353</v>
      </c>
      <c r="F187" s="19" t="s">
        <v>87</v>
      </c>
      <c r="G187" s="10" t="s">
        <v>6</v>
      </c>
      <c r="H187" s="11">
        <v>2090</v>
      </c>
    </row>
    <row r="188" spans="1:8" ht="15" customHeight="1" x14ac:dyDescent="0.25">
      <c r="A188" s="66"/>
      <c r="B188" s="2">
        <v>45498</v>
      </c>
      <c r="C188" s="3">
        <v>2275885932</v>
      </c>
      <c r="D188" s="3">
        <v>18</v>
      </c>
      <c r="E188" s="4" t="s">
        <v>680</v>
      </c>
      <c r="F188" s="19" t="s">
        <v>87</v>
      </c>
      <c r="G188" s="10" t="s">
        <v>6</v>
      </c>
      <c r="H188" s="11">
        <v>990</v>
      </c>
    </row>
    <row r="189" spans="1:8" ht="15" customHeight="1" x14ac:dyDescent="0.25">
      <c r="A189" s="66"/>
      <c r="B189" s="2">
        <v>45498</v>
      </c>
      <c r="C189" s="3">
        <v>1408454508</v>
      </c>
      <c r="D189" s="3">
        <v>38</v>
      </c>
      <c r="E189" s="4" t="s">
        <v>430</v>
      </c>
      <c r="F189" s="19" t="s">
        <v>87</v>
      </c>
      <c r="G189" s="10" t="s">
        <v>6</v>
      </c>
      <c r="H189" s="11">
        <v>2090</v>
      </c>
    </row>
    <row r="190" spans="1:8" ht="15" customHeight="1" x14ac:dyDescent="0.25">
      <c r="A190" s="66"/>
      <c r="B190" s="2">
        <v>45498</v>
      </c>
      <c r="C190" s="3">
        <v>598690289</v>
      </c>
      <c r="D190" s="3">
        <v>60</v>
      </c>
      <c r="E190" s="4" t="s">
        <v>106</v>
      </c>
      <c r="F190" s="19" t="s">
        <v>87</v>
      </c>
      <c r="G190" s="10" t="s">
        <v>11</v>
      </c>
      <c r="H190" s="11">
        <v>3300</v>
      </c>
    </row>
    <row r="191" spans="1:8" ht="15" customHeight="1" x14ac:dyDescent="0.25">
      <c r="A191" s="66"/>
      <c r="B191" s="2">
        <v>45498</v>
      </c>
      <c r="C191" s="3">
        <v>1158627473</v>
      </c>
      <c r="D191" s="3">
        <v>38</v>
      </c>
      <c r="E191" s="4" t="s">
        <v>843</v>
      </c>
      <c r="F191" s="19" t="s">
        <v>87</v>
      </c>
      <c r="G191" s="10" t="s">
        <v>6</v>
      </c>
      <c r="H191" s="11">
        <v>2090</v>
      </c>
    </row>
    <row r="192" spans="1:8" ht="15" customHeight="1" x14ac:dyDescent="0.25">
      <c r="A192" s="66"/>
      <c r="B192" s="2">
        <v>45498</v>
      </c>
      <c r="C192" s="3">
        <v>2133999769</v>
      </c>
      <c r="D192" s="3">
        <v>18</v>
      </c>
      <c r="E192" s="4" t="s">
        <v>844</v>
      </c>
      <c r="F192" s="19" t="s">
        <v>87</v>
      </c>
      <c r="G192" s="10" t="s">
        <v>6</v>
      </c>
      <c r="H192" s="11">
        <v>990</v>
      </c>
    </row>
    <row r="193" spans="1:8" ht="15" customHeight="1" x14ac:dyDescent="0.25">
      <c r="A193" s="66"/>
      <c r="B193" s="2">
        <v>45498</v>
      </c>
      <c r="C193" s="3">
        <v>2133999769</v>
      </c>
      <c r="D193" s="3">
        <v>56</v>
      </c>
      <c r="E193" s="4" t="s">
        <v>845</v>
      </c>
      <c r="F193" s="19" t="s">
        <v>87</v>
      </c>
      <c r="G193" s="10" t="s">
        <v>6</v>
      </c>
      <c r="H193" s="11">
        <v>3080</v>
      </c>
    </row>
    <row r="194" spans="1:8" ht="15" customHeight="1" x14ac:dyDescent="0.25">
      <c r="A194" s="66"/>
      <c r="B194" s="2">
        <v>45498</v>
      </c>
      <c r="C194" s="3">
        <v>3930015248</v>
      </c>
      <c r="D194" s="3">
        <v>48</v>
      </c>
      <c r="E194" s="4" t="s">
        <v>846</v>
      </c>
      <c r="F194" s="19" t="s">
        <v>87</v>
      </c>
      <c r="G194" s="10" t="s">
        <v>6</v>
      </c>
      <c r="H194" s="11">
        <v>2640</v>
      </c>
    </row>
    <row r="195" spans="1:8" ht="15" customHeight="1" x14ac:dyDescent="0.25">
      <c r="A195" s="66"/>
      <c r="B195" s="2">
        <v>45498</v>
      </c>
      <c r="C195" s="3">
        <v>399458901</v>
      </c>
      <c r="D195" s="3">
        <v>18</v>
      </c>
      <c r="E195" s="4" t="s">
        <v>847</v>
      </c>
      <c r="F195" s="19" t="s">
        <v>87</v>
      </c>
      <c r="G195" s="10" t="s">
        <v>6</v>
      </c>
      <c r="H195" s="11">
        <v>990</v>
      </c>
    </row>
    <row r="196" spans="1:8" ht="15" customHeight="1" x14ac:dyDescent="0.25">
      <c r="A196" s="66"/>
      <c r="B196" s="2">
        <v>45498</v>
      </c>
      <c r="C196" s="3">
        <v>3021490178</v>
      </c>
      <c r="D196" s="3">
        <v>38</v>
      </c>
      <c r="E196" s="4" t="s">
        <v>848</v>
      </c>
      <c r="F196" s="19" t="s">
        <v>87</v>
      </c>
      <c r="G196" s="10" t="s">
        <v>6</v>
      </c>
      <c r="H196" s="11">
        <v>2090</v>
      </c>
    </row>
    <row r="197" spans="1:8" ht="15" customHeight="1" x14ac:dyDescent="0.25">
      <c r="A197" s="66"/>
      <c r="B197" s="2">
        <v>45498</v>
      </c>
      <c r="C197" s="3">
        <v>1675841310</v>
      </c>
      <c r="D197" s="3">
        <v>16</v>
      </c>
      <c r="E197" s="4" t="s">
        <v>81</v>
      </c>
      <c r="F197" s="19" t="s">
        <v>87</v>
      </c>
      <c r="G197" s="10" t="s">
        <v>11</v>
      </c>
      <c r="H197" s="11">
        <v>880</v>
      </c>
    </row>
    <row r="198" spans="1:8" ht="15" customHeight="1" x14ac:dyDescent="0.25">
      <c r="A198" s="66"/>
      <c r="B198" s="2">
        <v>45498</v>
      </c>
      <c r="C198" s="3">
        <v>2055817578</v>
      </c>
      <c r="D198" s="3">
        <v>60</v>
      </c>
      <c r="E198" s="4" t="s">
        <v>426</v>
      </c>
      <c r="F198" s="19" t="s">
        <v>87</v>
      </c>
      <c r="G198" s="10" t="s">
        <v>6</v>
      </c>
      <c r="H198" s="11">
        <v>3300</v>
      </c>
    </row>
    <row r="199" spans="1:8" ht="15" customHeight="1" x14ac:dyDescent="0.25">
      <c r="A199" s="66"/>
      <c r="B199" s="2">
        <v>45498</v>
      </c>
      <c r="C199" s="3">
        <v>2657304720</v>
      </c>
      <c r="D199" s="3">
        <v>60</v>
      </c>
      <c r="E199" s="4" t="s">
        <v>407</v>
      </c>
      <c r="F199" s="19" t="s">
        <v>87</v>
      </c>
      <c r="G199" s="10" t="s">
        <v>6</v>
      </c>
      <c r="H199" s="11">
        <v>3300</v>
      </c>
    </row>
    <row r="200" spans="1:8" ht="15" customHeight="1" x14ac:dyDescent="0.25">
      <c r="A200" s="66"/>
      <c r="B200" s="2">
        <v>45498</v>
      </c>
      <c r="C200" s="3">
        <v>2720288329</v>
      </c>
      <c r="D200" s="3">
        <v>56</v>
      </c>
      <c r="E200" s="4" t="s">
        <v>849</v>
      </c>
      <c r="F200" s="19" t="s">
        <v>87</v>
      </c>
      <c r="G200" s="10" t="s">
        <v>6</v>
      </c>
      <c r="H200" s="11">
        <v>3080</v>
      </c>
    </row>
    <row r="201" spans="1:8" ht="15" customHeight="1" x14ac:dyDescent="0.25">
      <c r="A201" s="66"/>
      <c r="B201" s="2">
        <v>45498</v>
      </c>
      <c r="C201" s="3">
        <v>2760983568</v>
      </c>
      <c r="D201" s="3">
        <v>18</v>
      </c>
      <c r="E201" s="4" t="s">
        <v>850</v>
      </c>
      <c r="F201" s="19" t="s">
        <v>87</v>
      </c>
      <c r="G201" s="10" t="s">
        <v>6</v>
      </c>
      <c r="H201" s="11">
        <v>990</v>
      </c>
    </row>
    <row r="202" spans="1:8" ht="15" customHeight="1" x14ac:dyDescent="0.25">
      <c r="A202" s="66"/>
      <c r="B202" s="2">
        <v>45498</v>
      </c>
      <c r="C202" s="3">
        <v>2147238579</v>
      </c>
      <c r="D202" s="3">
        <v>56</v>
      </c>
      <c r="E202" s="4" t="s">
        <v>851</v>
      </c>
      <c r="F202" s="19" t="s">
        <v>87</v>
      </c>
      <c r="G202" s="10" t="s">
        <v>6</v>
      </c>
      <c r="H202" s="11">
        <v>3080</v>
      </c>
    </row>
    <row r="203" spans="1:8" ht="15" customHeight="1" x14ac:dyDescent="0.25">
      <c r="A203" s="66"/>
      <c r="B203" s="2">
        <v>45498</v>
      </c>
      <c r="C203" s="3">
        <v>426330104</v>
      </c>
      <c r="D203" s="3">
        <v>56</v>
      </c>
      <c r="E203" s="4" t="s">
        <v>852</v>
      </c>
      <c r="F203" s="19" t="s">
        <v>87</v>
      </c>
      <c r="G203" s="10" t="s">
        <v>6</v>
      </c>
      <c r="H203" s="11">
        <v>3080</v>
      </c>
    </row>
    <row r="204" spans="1:8" ht="15" customHeight="1" x14ac:dyDescent="0.25">
      <c r="A204" s="66"/>
      <c r="B204" s="2">
        <v>45498</v>
      </c>
      <c r="C204" s="3">
        <v>1744195070</v>
      </c>
      <c r="D204" s="3">
        <v>44</v>
      </c>
      <c r="E204" s="4" t="s">
        <v>853</v>
      </c>
      <c r="F204" s="19" t="s">
        <v>87</v>
      </c>
      <c r="G204" s="10" t="s">
        <v>6</v>
      </c>
      <c r="H204" s="11">
        <v>2420</v>
      </c>
    </row>
    <row r="205" spans="1:8" ht="15" customHeight="1" x14ac:dyDescent="0.25">
      <c r="A205" s="66"/>
      <c r="B205" s="2">
        <v>45498</v>
      </c>
      <c r="C205" s="3">
        <v>1744195070</v>
      </c>
      <c r="D205" s="3">
        <v>42</v>
      </c>
      <c r="E205" s="4" t="s">
        <v>410</v>
      </c>
      <c r="F205" s="19" t="s">
        <v>87</v>
      </c>
      <c r="G205" s="10" t="s">
        <v>6</v>
      </c>
      <c r="H205" s="11">
        <v>2310</v>
      </c>
    </row>
    <row r="206" spans="1:8" ht="15" customHeight="1" x14ac:dyDescent="0.25">
      <c r="A206" s="66"/>
      <c r="B206" s="2">
        <v>45498</v>
      </c>
      <c r="C206" s="3">
        <v>1744195070</v>
      </c>
      <c r="D206" s="3">
        <v>30</v>
      </c>
      <c r="E206" s="4" t="s">
        <v>411</v>
      </c>
      <c r="F206" s="19" t="s">
        <v>87</v>
      </c>
      <c r="G206" s="10" t="s">
        <v>6</v>
      </c>
      <c r="H206" s="11">
        <v>1650</v>
      </c>
    </row>
    <row r="207" spans="1:8" ht="15" customHeight="1" x14ac:dyDescent="0.25">
      <c r="A207" s="66"/>
      <c r="B207" s="2">
        <v>45498</v>
      </c>
      <c r="C207" s="3">
        <v>1629766342</v>
      </c>
      <c r="D207" s="3">
        <v>56</v>
      </c>
      <c r="E207" s="4" t="s">
        <v>854</v>
      </c>
      <c r="F207" s="19" t="s">
        <v>87</v>
      </c>
      <c r="G207" s="10" t="s">
        <v>6</v>
      </c>
      <c r="H207" s="11">
        <v>3080</v>
      </c>
    </row>
    <row r="208" spans="1:8" ht="15" customHeight="1" x14ac:dyDescent="0.25">
      <c r="A208" s="66"/>
      <c r="B208" s="2">
        <v>45498</v>
      </c>
      <c r="C208" s="3">
        <v>3244379101</v>
      </c>
      <c r="D208" s="3">
        <v>18</v>
      </c>
      <c r="E208" s="4" t="s">
        <v>78</v>
      </c>
      <c r="F208" s="19" t="s">
        <v>87</v>
      </c>
      <c r="G208" s="10" t="s">
        <v>6</v>
      </c>
      <c r="H208" s="11">
        <v>990</v>
      </c>
    </row>
    <row r="209" spans="1:8" ht="15" customHeight="1" x14ac:dyDescent="0.25">
      <c r="A209" s="66"/>
      <c r="B209" s="2">
        <v>45498</v>
      </c>
      <c r="C209" s="3">
        <v>3515170952</v>
      </c>
      <c r="D209" s="3">
        <v>56</v>
      </c>
      <c r="E209" s="4" t="s">
        <v>855</v>
      </c>
      <c r="F209" s="19" t="s">
        <v>87</v>
      </c>
      <c r="G209" s="10" t="s">
        <v>6</v>
      </c>
      <c r="H209" s="11">
        <v>3080</v>
      </c>
    </row>
    <row r="210" spans="1:8" ht="15" customHeight="1" x14ac:dyDescent="0.25">
      <c r="A210" s="66"/>
      <c r="B210" s="2">
        <v>45502</v>
      </c>
      <c r="C210" s="3">
        <v>2586594224</v>
      </c>
      <c r="D210" s="3">
        <v>53</v>
      </c>
      <c r="E210" s="4" t="s">
        <v>75</v>
      </c>
      <c r="F210" s="19" t="s">
        <v>87</v>
      </c>
      <c r="G210" s="10" t="s">
        <v>10</v>
      </c>
      <c r="H210" s="11">
        <v>2915</v>
      </c>
    </row>
    <row r="211" spans="1:8" ht="15" customHeight="1" x14ac:dyDescent="0.25">
      <c r="A211" s="66"/>
      <c r="B211" s="2">
        <v>45520</v>
      </c>
      <c r="C211" s="3">
        <v>1951616483</v>
      </c>
      <c r="D211" s="3">
        <v>204</v>
      </c>
      <c r="E211" s="4" t="s">
        <v>949</v>
      </c>
      <c r="F211" s="19" t="s">
        <v>87</v>
      </c>
      <c r="G211" s="5" t="s">
        <v>7</v>
      </c>
      <c r="H211" s="6">
        <v>11220</v>
      </c>
    </row>
    <row r="212" spans="1:8" ht="15" customHeight="1" x14ac:dyDescent="0.25">
      <c r="A212" s="66"/>
      <c r="B212" s="2" t="s">
        <v>898</v>
      </c>
      <c r="C212" s="3">
        <v>3492106083</v>
      </c>
      <c r="D212" s="3">
        <v>9</v>
      </c>
      <c r="E212" s="4" t="s">
        <v>950</v>
      </c>
      <c r="F212" s="19" t="s">
        <v>87</v>
      </c>
      <c r="G212" s="5" t="s">
        <v>6</v>
      </c>
      <c r="H212" s="6">
        <v>495</v>
      </c>
    </row>
    <row r="213" spans="1:8" ht="15" customHeight="1" x14ac:dyDescent="0.25">
      <c r="A213" s="66"/>
      <c r="B213" s="2">
        <v>45533</v>
      </c>
      <c r="C213" s="3">
        <v>3043639535</v>
      </c>
      <c r="D213" s="3">
        <v>55</v>
      </c>
      <c r="E213" s="4" t="s">
        <v>626</v>
      </c>
      <c r="F213" s="19" t="s">
        <v>87</v>
      </c>
      <c r="G213" s="5" t="s">
        <v>6</v>
      </c>
      <c r="H213" s="6">
        <v>3025</v>
      </c>
    </row>
    <row r="214" spans="1:8" ht="15" customHeight="1" x14ac:dyDescent="0.25">
      <c r="A214" s="66"/>
      <c r="B214" s="2">
        <v>45541</v>
      </c>
      <c r="C214" s="3">
        <v>884099962</v>
      </c>
      <c r="D214" s="3">
        <v>7</v>
      </c>
      <c r="E214" s="4" t="s">
        <v>934</v>
      </c>
      <c r="F214" s="19" t="s">
        <v>87</v>
      </c>
      <c r="G214" s="5" t="s">
        <v>6</v>
      </c>
      <c r="H214" s="6">
        <v>385</v>
      </c>
    </row>
    <row r="215" spans="1:8" ht="15" customHeight="1" x14ac:dyDescent="0.25">
      <c r="A215" s="66"/>
      <c r="B215" s="2">
        <v>45545</v>
      </c>
      <c r="C215" s="3">
        <v>1401375998</v>
      </c>
      <c r="D215" s="3">
        <v>50</v>
      </c>
      <c r="E215" s="4" t="s">
        <v>939</v>
      </c>
      <c r="F215" s="19" t="s">
        <v>87</v>
      </c>
      <c r="G215" s="5" t="s">
        <v>7</v>
      </c>
      <c r="H215" s="6">
        <v>2750</v>
      </c>
    </row>
    <row r="216" spans="1:8" ht="15" customHeight="1" x14ac:dyDescent="0.25">
      <c r="A216" s="66"/>
      <c r="B216" s="2">
        <v>45545</v>
      </c>
      <c r="C216" s="3">
        <v>2665369435</v>
      </c>
      <c r="D216" s="3">
        <v>7</v>
      </c>
      <c r="E216" s="4" t="s">
        <v>1018</v>
      </c>
      <c r="F216" s="19" t="s">
        <v>87</v>
      </c>
      <c r="G216" s="5" t="s">
        <v>7</v>
      </c>
      <c r="H216" s="6">
        <v>385</v>
      </c>
    </row>
    <row r="217" spans="1:8" ht="15" customHeight="1" x14ac:dyDescent="0.25">
      <c r="A217" s="66"/>
      <c r="B217" s="2">
        <v>45546</v>
      </c>
      <c r="C217" s="3">
        <v>1129333725</v>
      </c>
      <c r="D217" s="3">
        <v>56</v>
      </c>
      <c r="E217" s="4" t="s">
        <v>973</v>
      </c>
      <c r="F217" s="19" t="s">
        <v>87</v>
      </c>
      <c r="G217" s="5" t="s">
        <v>7</v>
      </c>
      <c r="H217" s="6">
        <v>3080</v>
      </c>
    </row>
    <row r="218" spans="1:8" ht="15" customHeight="1" x14ac:dyDescent="0.25">
      <c r="A218" s="66"/>
      <c r="B218" s="2">
        <v>45547</v>
      </c>
      <c r="C218" s="3">
        <v>596134741</v>
      </c>
      <c r="D218" s="3">
        <v>20</v>
      </c>
      <c r="E218" s="4" t="s">
        <v>407</v>
      </c>
      <c r="F218" s="19" t="s">
        <v>87</v>
      </c>
      <c r="G218" s="5" t="s">
        <v>7</v>
      </c>
      <c r="H218" s="6">
        <v>1100</v>
      </c>
    </row>
    <row r="219" spans="1:8" ht="15" customHeight="1" x14ac:dyDescent="0.25">
      <c r="A219" s="66"/>
      <c r="B219" s="2">
        <v>45548</v>
      </c>
      <c r="C219" s="3">
        <v>3899019191</v>
      </c>
      <c r="D219" s="3">
        <v>39</v>
      </c>
      <c r="E219" s="4" t="s">
        <v>1019</v>
      </c>
      <c r="F219" s="19" t="s">
        <v>87</v>
      </c>
      <c r="G219" s="5" t="s">
        <v>19</v>
      </c>
      <c r="H219" s="6">
        <v>2145</v>
      </c>
    </row>
    <row r="220" spans="1:8" ht="15" customHeight="1" x14ac:dyDescent="0.25">
      <c r="A220" s="66"/>
      <c r="B220" s="2">
        <v>45551</v>
      </c>
      <c r="C220" s="3">
        <v>1328694625</v>
      </c>
      <c r="D220" s="3">
        <v>36</v>
      </c>
      <c r="E220" s="4" t="s">
        <v>488</v>
      </c>
      <c r="F220" s="19" t="s">
        <v>87</v>
      </c>
      <c r="G220" s="5" t="s">
        <v>6</v>
      </c>
      <c r="H220" s="6">
        <v>1980</v>
      </c>
    </row>
    <row r="221" spans="1:8" ht="15" customHeight="1" x14ac:dyDescent="0.25">
      <c r="A221" s="66"/>
      <c r="B221" s="2">
        <v>45552</v>
      </c>
      <c r="C221" s="3">
        <v>4192094551</v>
      </c>
      <c r="D221" s="3">
        <v>51</v>
      </c>
      <c r="E221" s="4" t="s">
        <v>916</v>
      </c>
      <c r="F221" s="19" t="s">
        <v>87</v>
      </c>
      <c r="G221" s="5" t="s">
        <v>7</v>
      </c>
      <c r="H221" s="6">
        <v>2805</v>
      </c>
    </row>
    <row r="222" spans="1:8" ht="15" customHeight="1" x14ac:dyDescent="0.25">
      <c r="A222" s="66"/>
      <c r="B222" s="2">
        <v>45572</v>
      </c>
      <c r="C222" s="3">
        <v>2870169166</v>
      </c>
      <c r="D222" s="3">
        <v>41</v>
      </c>
      <c r="E222" s="4" t="s">
        <v>1043</v>
      </c>
      <c r="F222" s="19" t="s">
        <v>87</v>
      </c>
      <c r="G222" s="5" t="s">
        <v>7</v>
      </c>
      <c r="H222" s="6">
        <v>2255</v>
      </c>
    </row>
    <row r="223" spans="1:8" ht="15" customHeight="1" x14ac:dyDescent="0.25">
      <c r="A223" s="66"/>
      <c r="B223" s="2">
        <v>45595</v>
      </c>
      <c r="C223" s="3">
        <v>254627593</v>
      </c>
      <c r="D223" s="3">
        <v>40</v>
      </c>
      <c r="E223" s="4" t="s">
        <v>586</v>
      </c>
      <c r="F223" s="19" t="s">
        <v>87</v>
      </c>
      <c r="G223" s="5" t="s">
        <v>11</v>
      </c>
      <c r="H223" s="6">
        <v>2200</v>
      </c>
    </row>
    <row r="224" spans="1:8" ht="15" customHeight="1" x14ac:dyDescent="0.25">
      <c r="A224" s="66"/>
      <c r="B224" s="2">
        <v>45615</v>
      </c>
      <c r="C224" s="3">
        <v>2021540058</v>
      </c>
      <c r="D224" s="3">
        <v>59</v>
      </c>
      <c r="E224" s="4" t="s">
        <v>516</v>
      </c>
      <c r="F224" s="19" t="s">
        <v>87</v>
      </c>
      <c r="G224" s="5" t="s">
        <v>6</v>
      </c>
      <c r="H224" s="6">
        <v>3245</v>
      </c>
    </row>
    <row r="225" spans="1:8" ht="15" customHeight="1" x14ac:dyDescent="0.25">
      <c r="A225" s="66"/>
      <c r="B225" s="2">
        <v>45615</v>
      </c>
      <c r="C225" s="3">
        <v>95833351</v>
      </c>
      <c r="D225" s="3">
        <v>41</v>
      </c>
      <c r="E225" s="4" t="s">
        <v>714</v>
      </c>
      <c r="F225" s="19" t="s">
        <v>87</v>
      </c>
      <c r="G225" s="5" t="s">
        <v>6</v>
      </c>
      <c r="H225" s="6">
        <v>2255</v>
      </c>
    </row>
    <row r="226" spans="1:8" ht="15" customHeight="1" x14ac:dyDescent="0.25">
      <c r="A226" s="66"/>
      <c r="B226" s="2">
        <v>45615</v>
      </c>
      <c r="C226" s="3">
        <v>2505196865</v>
      </c>
      <c r="D226" s="3">
        <v>83</v>
      </c>
      <c r="E226" s="4" t="s">
        <v>831</v>
      </c>
      <c r="F226" s="19" t="s">
        <v>87</v>
      </c>
      <c r="G226" s="5" t="s">
        <v>6</v>
      </c>
      <c r="H226" s="6">
        <v>4565</v>
      </c>
    </row>
    <row r="227" spans="1:8" ht="15" customHeight="1" x14ac:dyDescent="0.25">
      <c r="A227" s="66"/>
      <c r="B227" s="2">
        <v>45615</v>
      </c>
      <c r="C227" s="3">
        <v>2492024566</v>
      </c>
      <c r="D227" s="3">
        <v>33</v>
      </c>
      <c r="E227" s="4" t="s">
        <v>1160</v>
      </c>
      <c r="F227" s="19" t="s">
        <v>87</v>
      </c>
      <c r="G227" s="5" t="s">
        <v>6</v>
      </c>
      <c r="H227" s="6">
        <v>1815</v>
      </c>
    </row>
    <row r="228" spans="1:8" ht="15" customHeight="1" x14ac:dyDescent="0.25">
      <c r="A228" s="66"/>
      <c r="B228" s="2">
        <v>45615</v>
      </c>
      <c r="C228" s="3">
        <v>252723985</v>
      </c>
      <c r="D228" s="3">
        <v>59</v>
      </c>
      <c r="E228" s="4" t="s">
        <v>944</v>
      </c>
      <c r="F228" s="19" t="s">
        <v>87</v>
      </c>
      <c r="G228" s="5" t="s">
        <v>6</v>
      </c>
      <c r="H228" s="6">
        <v>3245</v>
      </c>
    </row>
    <row r="229" spans="1:8" ht="15" customHeight="1" x14ac:dyDescent="0.25">
      <c r="A229" s="66"/>
      <c r="B229" s="2">
        <v>45615</v>
      </c>
      <c r="C229" s="3">
        <v>2366326718</v>
      </c>
      <c r="D229" s="3">
        <v>59</v>
      </c>
      <c r="E229" s="4" t="s">
        <v>408</v>
      </c>
      <c r="F229" s="19" t="s">
        <v>87</v>
      </c>
      <c r="G229" s="5" t="s">
        <v>13</v>
      </c>
      <c r="H229" s="6">
        <v>3245</v>
      </c>
    </row>
    <row r="230" spans="1:8" ht="15" customHeight="1" x14ac:dyDescent="0.25">
      <c r="A230" s="66"/>
      <c r="B230" s="2">
        <v>45615</v>
      </c>
      <c r="C230" s="3">
        <v>2972012148</v>
      </c>
      <c r="D230" s="3">
        <v>41</v>
      </c>
      <c r="E230" s="4" t="s">
        <v>1178</v>
      </c>
      <c r="F230" s="19" t="s">
        <v>87</v>
      </c>
      <c r="G230" s="5" t="s">
        <v>232</v>
      </c>
      <c r="H230" s="6">
        <v>2255</v>
      </c>
    </row>
    <row r="231" spans="1:8" ht="15" customHeight="1" x14ac:dyDescent="0.25">
      <c r="A231" s="66"/>
      <c r="B231" s="2">
        <v>45615</v>
      </c>
      <c r="C231" s="3">
        <v>4179444973</v>
      </c>
      <c r="D231" s="3">
        <v>59</v>
      </c>
      <c r="E231" s="4" t="s">
        <v>89</v>
      </c>
      <c r="F231" s="19" t="s">
        <v>87</v>
      </c>
      <c r="G231" s="5" t="s">
        <v>6</v>
      </c>
      <c r="H231" s="6">
        <v>3245</v>
      </c>
    </row>
    <row r="232" spans="1:8" ht="15" customHeight="1" x14ac:dyDescent="0.25">
      <c r="A232" s="66"/>
      <c r="B232" s="2">
        <v>45615</v>
      </c>
      <c r="C232" s="3">
        <v>2251181003</v>
      </c>
      <c r="D232" s="3">
        <v>59</v>
      </c>
      <c r="E232" s="4" t="s">
        <v>1179</v>
      </c>
      <c r="F232" s="19" t="s">
        <v>87</v>
      </c>
      <c r="G232" s="5" t="s">
        <v>6</v>
      </c>
      <c r="H232" s="6">
        <v>3245</v>
      </c>
    </row>
    <row r="233" spans="1:8" ht="15" customHeight="1" x14ac:dyDescent="0.25">
      <c r="A233" s="66"/>
      <c r="B233" s="2">
        <v>45615</v>
      </c>
      <c r="C233" s="3">
        <v>2320584288</v>
      </c>
      <c r="D233" s="3">
        <v>41</v>
      </c>
      <c r="E233" s="4" t="s">
        <v>1180</v>
      </c>
      <c r="F233" s="19" t="s">
        <v>87</v>
      </c>
      <c r="G233" s="5" t="s">
        <v>10</v>
      </c>
      <c r="H233" s="6">
        <v>2255</v>
      </c>
    </row>
    <row r="234" spans="1:8" ht="15" customHeight="1" x14ac:dyDescent="0.25">
      <c r="A234" s="66"/>
      <c r="B234" s="2">
        <v>45615</v>
      </c>
      <c r="C234" s="3">
        <v>2320584288</v>
      </c>
      <c r="D234" s="3">
        <v>41</v>
      </c>
      <c r="E234" s="4" t="s">
        <v>1181</v>
      </c>
      <c r="F234" s="19" t="s">
        <v>87</v>
      </c>
      <c r="G234" s="5" t="s">
        <v>10</v>
      </c>
      <c r="H234" s="6">
        <v>2255</v>
      </c>
    </row>
    <row r="235" spans="1:8" ht="15" customHeight="1" x14ac:dyDescent="0.25">
      <c r="A235" s="66"/>
      <c r="B235" s="2">
        <v>45615</v>
      </c>
      <c r="C235" s="3">
        <v>4124789163</v>
      </c>
      <c r="D235" s="3">
        <v>50</v>
      </c>
      <c r="E235" s="4" t="s">
        <v>708</v>
      </c>
      <c r="F235" s="19" t="s">
        <v>87</v>
      </c>
      <c r="G235" s="5" t="s">
        <v>6</v>
      </c>
      <c r="H235" s="6">
        <v>2750</v>
      </c>
    </row>
    <row r="236" spans="1:8" ht="15" customHeight="1" x14ac:dyDescent="0.25">
      <c r="A236" s="66"/>
      <c r="B236" s="2">
        <v>45615</v>
      </c>
      <c r="C236" s="3">
        <v>775441233</v>
      </c>
      <c r="D236" s="3">
        <v>59</v>
      </c>
      <c r="E236" s="4" t="s">
        <v>369</v>
      </c>
      <c r="F236" s="19" t="s">
        <v>87</v>
      </c>
      <c r="G236" s="5" t="s">
        <v>6</v>
      </c>
      <c r="H236" s="6">
        <v>3245</v>
      </c>
    </row>
    <row r="237" spans="1:8" ht="15" customHeight="1" x14ac:dyDescent="0.25">
      <c r="A237" s="66"/>
      <c r="B237" s="2">
        <v>45615</v>
      </c>
      <c r="C237" s="3">
        <v>1631076455</v>
      </c>
      <c r="D237" s="3">
        <v>41</v>
      </c>
      <c r="E237" s="4" t="s">
        <v>728</v>
      </c>
      <c r="F237" s="19" t="s">
        <v>87</v>
      </c>
      <c r="G237" s="5" t="s">
        <v>6</v>
      </c>
      <c r="H237" s="6">
        <v>2255</v>
      </c>
    </row>
    <row r="238" spans="1:8" ht="15" customHeight="1" x14ac:dyDescent="0.25">
      <c r="A238" s="66"/>
      <c r="B238" s="2">
        <v>45615</v>
      </c>
      <c r="C238" s="3">
        <v>963986890</v>
      </c>
      <c r="D238" s="3">
        <v>37</v>
      </c>
      <c r="E238" s="4" t="s">
        <v>828</v>
      </c>
      <c r="F238" s="19" t="s">
        <v>87</v>
      </c>
      <c r="G238" s="5" t="s">
        <v>6</v>
      </c>
      <c r="H238" s="6">
        <v>2035</v>
      </c>
    </row>
    <row r="239" spans="1:8" ht="15" customHeight="1" x14ac:dyDescent="0.25">
      <c r="A239" s="66"/>
      <c r="B239" s="2">
        <v>45615</v>
      </c>
      <c r="C239" s="3">
        <v>2485014428</v>
      </c>
      <c r="D239" s="3">
        <v>59</v>
      </c>
      <c r="E239" s="4" t="s">
        <v>396</v>
      </c>
      <c r="F239" s="19" t="s">
        <v>87</v>
      </c>
      <c r="G239" s="5" t="s">
        <v>13</v>
      </c>
      <c r="H239" s="6">
        <v>3245</v>
      </c>
    </row>
    <row r="240" spans="1:8" ht="15" customHeight="1" x14ac:dyDescent="0.25">
      <c r="A240" s="66"/>
      <c r="B240" s="2">
        <v>45615</v>
      </c>
      <c r="C240" s="3">
        <v>3787212384</v>
      </c>
      <c r="D240" s="3">
        <v>59</v>
      </c>
      <c r="E240" s="4" t="s">
        <v>1182</v>
      </c>
      <c r="F240" s="19" t="s">
        <v>87</v>
      </c>
      <c r="G240" s="5" t="s">
        <v>6</v>
      </c>
      <c r="H240" s="6">
        <v>3245</v>
      </c>
    </row>
    <row r="241" spans="1:8" ht="15" customHeight="1" x14ac:dyDescent="0.25">
      <c r="A241" s="66"/>
      <c r="B241" s="2">
        <v>45615</v>
      </c>
      <c r="C241" s="3">
        <v>543639000</v>
      </c>
      <c r="D241" s="3">
        <v>25</v>
      </c>
      <c r="E241" s="4" t="s">
        <v>1183</v>
      </c>
      <c r="F241" s="19" t="s">
        <v>87</v>
      </c>
      <c r="G241" s="5" t="s">
        <v>11</v>
      </c>
      <c r="H241" s="6">
        <v>1375</v>
      </c>
    </row>
    <row r="242" spans="1:8" ht="15" customHeight="1" x14ac:dyDescent="0.25">
      <c r="A242" s="66"/>
      <c r="B242" s="2">
        <v>45615</v>
      </c>
      <c r="C242" s="3">
        <v>2660518646</v>
      </c>
      <c r="D242" s="3">
        <v>39</v>
      </c>
      <c r="E242" s="4" t="s">
        <v>1184</v>
      </c>
      <c r="F242" s="19" t="s">
        <v>87</v>
      </c>
      <c r="G242" s="5" t="s">
        <v>10</v>
      </c>
      <c r="H242" s="6">
        <v>2145</v>
      </c>
    </row>
    <row r="243" spans="1:8" ht="15" customHeight="1" x14ac:dyDescent="0.25">
      <c r="A243" s="66"/>
      <c r="B243" s="2">
        <v>45615</v>
      </c>
      <c r="C243" s="3">
        <v>4202645963</v>
      </c>
      <c r="D243" s="3">
        <v>40</v>
      </c>
      <c r="E243" s="4" t="s">
        <v>387</v>
      </c>
      <c r="F243" s="19" t="s">
        <v>87</v>
      </c>
      <c r="G243" s="5" t="s">
        <v>6</v>
      </c>
      <c r="H243" s="6">
        <v>2200</v>
      </c>
    </row>
    <row r="244" spans="1:8" ht="15" customHeight="1" x14ac:dyDescent="0.25">
      <c r="A244" s="66"/>
      <c r="B244" s="2">
        <v>45615</v>
      </c>
      <c r="C244" s="3">
        <v>2048148014</v>
      </c>
      <c r="D244" s="3">
        <v>40</v>
      </c>
      <c r="E244" s="4" t="s">
        <v>1185</v>
      </c>
      <c r="F244" s="19" t="s">
        <v>87</v>
      </c>
      <c r="G244" s="5" t="s">
        <v>6</v>
      </c>
      <c r="H244" s="6">
        <v>2200</v>
      </c>
    </row>
    <row r="245" spans="1:8" ht="15" customHeight="1" x14ac:dyDescent="0.25">
      <c r="A245" s="66"/>
      <c r="B245" s="2">
        <v>45615</v>
      </c>
      <c r="C245" s="3">
        <v>2620084041</v>
      </c>
      <c r="D245" s="3">
        <v>59</v>
      </c>
      <c r="E245" s="4" t="s">
        <v>196</v>
      </c>
      <c r="F245" s="19" t="s">
        <v>87</v>
      </c>
      <c r="G245" s="5" t="s">
        <v>6</v>
      </c>
      <c r="H245" s="6">
        <v>3245</v>
      </c>
    </row>
    <row r="246" spans="1:8" ht="15" customHeight="1" x14ac:dyDescent="0.25">
      <c r="A246" s="66"/>
      <c r="B246" s="2">
        <v>45615</v>
      </c>
      <c r="C246" s="3">
        <v>921848042</v>
      </c>
      <c r="D246" s="3">
        <v>59</v>
      </c>
      <c r="E246" s="4" t="s">
        <v>1186</v>
      </c>
      <c r="F246" s="19" t="s">
        <v>87</v>
      </c>
      <c r="G246" s="5" t="s">
        <v>6</v>
      </c>
      <c r="H246" s="6">
        <v>3245</v>
      </c>
    </row>
    <row r="247" spans="1:8" ht="15" customHeight="1" x14ac:dyDescent="0.25">
      <c r="A247" s="66"/>
      <c r="B247" s="2">
        <v>45615</v>
      </c>
      <c r="C247" s="3">
        <v>446907079</v>
      </c>
      <c r="D247" s="3">
        <v>39</v>
      </c>
      <c r="E247" s="4" t="s">
        <v>164</v>
      </c>
      <c r="F247" s="19" t="s">
        <v>87</v>
      </c>
      <c r="G247" s="5" t="s">
        <v>6</v>
      </c>
      <c r="H247" s="6">
        <v>2145</v>
      </c>
    </row>
    <row r="248" spans="1:8" ht="15" customHeight="1" x14ac:dyDescent="0.25">
      <c r="A248" s="66"/>
      <c r="B248" s="2">
        <v>45615</v>
      </c>
      <c r="C248" s="3">
        <v>3282652445</v>
      </c>
      <c r="D248" s="3">
        <v>23</v>
      </c>
      <c r="E248" s="4" t="s">
        <v>1187</v>
      </c>
      <c r="F248" s="19" t="s">
        <v>87</v>
      </c>
      <c r="G248" s="5" t="s">
        <v>6</v>
      </c>
      <c r="H248" s="6">
        <v>1265</v>
      </c>
    </row>
    <row r="249" spans="1:8" ht="15" customHeight="1" x14ac:dyDescent="0.25">
      <c r="A249" s="66"/>
      <c r="B249" s="2">
        <v>45615</v>
      </c>
      <c r="C249" s="3">
        <v>2506179238</v>
      </c>
      <c r="D249" s="3">
        <v>59</v>
      </c>
      <c r="E249" s="4" t="s">
        <v>1188</v>
      </c>
      <c r="F249" s="19" t="s">
        <v>87</v>
      </c>
      <c r="G249" s="5" t="s">
        <v>6</v>
      </c>
      <c r="H249" s="6">
        <v>3245</v>
      </c>
    </row>
    <row r="250" spans="1:8" ht="15" customHeight="1" x14ac:dyDescent="0.25">
      <c r="A250" s="66"/>
      <c r="B250" s="2">
        <v>45615</v>
      </c>
      <c r="C250" s="3">
        <v>635784619</v>
      </c>
      <c r="D250" s="3">
        <v>39</v>
      </c>
      <c r="E250" s="4" t="s">
        <v>618</v>
      </c>
      <c r="F250" s="19" t="s">
        <v>87</v>
      </c>
      <c r="G250" s="5" t="s">
        <v>6</v>
      </c>
      <c r="H250" s="6">
        <v>2145</v>
      </c>
    </row>
    <row r="251" spans="1:8" ht="15" customHeight="1" x14ac:dyDescent="0.25">
      <c r="A251" s="66"/>
      <c r="B251" s="2">
        <v>45615</v>
      </c>
      <c r="C251" s="3">
        <v>17411773339</v>
      </c>
      <c r="D251" s="3">
        <v>59</v>
      </c>
      <c r="E251" s="4" t="s">
        <v>1189</v>
      </c>
      <c r="F251" s="19" t="s">
        <v>87</v>
      </c>
      <c r="G251" s="5" t="s">
        <v>11</v>
      </c>
      <c r="H251" s="6">
        <v>3245</v>
      </c>
    </row>
    <row r="252" spans="1:8" ht="15" customHeight="1" x14ac:dyDescent="0.25">
      <c r="A252" s="66"/>
      <c r="B252" s="2">
        <v>45615</v>
      </c>
      <c r="C252" s="3">
        <v>62801081</v>
      </c>
      <c r="D252" s="3">
        <v>43</v>
      </c>
      <c r="E252" s="4" t="s">
        <v>1190</v>
      </c>
      <c r="F252" s="19" t="s">
        <v>87</v>
      </c>
      <c r="G252" s="5" t="s">
        <v>6</v>
      </c>
      <c r="H252" s="6">
        <v>2365</v>
      </c>
    </row>
    <row r="253" spans="1:8" ht="15" customHeight="1" x14ac:dyDescent="0.25">
      <c r="A253" s="66"/>
      <c r="B253" s="2">
        <v>45615</v>
      </c>
      <c r="C253" s="3">
        <v>416106149</v>
      </c>
      <c r="D253" s="3">
        <v>20</v>
      </c>
      <c r="E253" s="4" t="s">
        <v>1191</v>
      </c>
      <c r="F253" s="19" t="s">
        <v>87</v>
      </c>
      <c r="G253" s="5" t="s">
        <v>6</v>
      </c>
      <c r="H253" s="6">
        <v>1100</v>
      </c>
    </row>
    <row r="254" spans="1:8" ht="15" customHeight="1" x14ac:dyDescent="0.25">
      <c r="A254" s="66"/>
      <c r="B254" s="2">
        <v>45615</v>
      </c>
      <c r="C254" s="3">
        <v>736380099</v>
      </c>
      <c r="D254" s="3">
        <v>59</v>
      </c>
      <c r="E254" s="4" t="s">
        <v>1192</v>
      </c>
      <c r="F254" s="19" t="s">
        <v>87</v>
      </c>
      <c r="G254" s="5" t="s">
        <v>6</v>
      </c>
      <c r="H254" s="6">
        <v>3245</v>
      </c>
    </row>
    <row r="255" spans="1:8" ht="15" customHeight="1" x14ac:dyDescent="0.25">
      <c r="A255" s="66"/>
      <c r="B255" s="2">
        <v>45615</v>
      </c>
      <c r="C255" s="3">
        <v>72634035</v>
      </c>
      <c r="D255" s="3">
        <v>53</v>
      </c>
      <c r="E255" s="4" t="s">
        <v>361</v>
      </c>
      <c r="F255" s="19" t="s">
        <v>87</v>
      </c>
      <c r="G255" s="5" t="s">
        <v>6</v>
      </c>
      <c r="H255" s="6">
        <v>2915</v>
      </c>
    </row>
    <row r="256" spans="1:8" ht="15" customHeight="1" x14ac:dyDescent="0.25">
      <c r="A256" s="66"/>
      <c r="B256" s="2">
        <v>45615</v>
      </c>
      <c r="C256" s="3">
        <v>2816296985</v>
      </c>
      <c r="D256" s="3">
        <v>56</v>
      </c>
      <c r="E256" s="4" t="s">
        <v>1193</v>
      </c>
      <c r="F256" s="19" t="s">
        <v>87</v>
      </c>
      <c r="G256" s="5" t="s">
        <v>7</v>
      </c>
      <c r="H256" s="6">
        <v>3080</v>
      </c>
    </row>
    <row r="257" spans="1:8" ht="15" customHeight="1" x14ac:dyDescent="0.25">
      <c r="A257" s="66"/>
      <c r="B257" s="2">
        <v>45615</v>
      </c>
      <c r="C257" s="3">
        <v>2816296985</v>
      </c>
      <c r="D257" s="3">
        <v>56</v>
      </c>
      <c r="E257" s="4" t="s">
        <v>1100</v>
      </c>
      <c r="F257" s="19" t="s">
        <v>87</v>
      </c>
      <c r="G257" s="5" t="s">
        <v>7</v>
      </c>
      <c r="H257" s="6">
        <v>3080</v>
      </c>
    </row>
    <row r="258" spans="1:8" ht="15" customHeight="1" x14ac:dyDescent="0.25">
      <c r="A258" s="66"/>
      <c r="B258" s="2">
        <v>45615</v>
      </c>
      <c r="C258" s="3">
        <v>4083172359</v>
      </c>
      <c r="D258" s="3">
        <v>59</v>
      </c>
      <c r="E258" s="4" t="s">
        <v>1194</v>
      </c>
      <c r="F258" s="19" t="s">
        <v>87</v>
      </c>
      <c r="G258" s="5" t="s">
        <v>6</v>
      </c>
      <c r="H258" s="6">
        <v>3245</v>
      </c>
    </row>
    <row r="259" spans="1:8" ht="15" customHeight="1" x14ac:dyDescent="0.25">
      <c r="A259" s="66"/>
      <c r="B259" s="2">
        <v>45615</v>
      </c>
      <c r="C259" s="3">
        <v>2677293104</v>
      </c>
      <c r="D259" s="3">
        <v>59</v>
      </c>
      <c r="E259" s="4" t="s">
        <v>841</v>
      </c>
      <c r="F259" s="19" t="s">
        <v>87</v>
      </c>
      <c r="G259" s="5" t="s">
        <v>13</v>
      </c>
      <c r="H259" s="6">
        <v>3245</v>
      </c>
    </row>
    <row r="260" spans="1:8" ht="15" customHeight="1" x14ac:dyDescent="0.25">
      <c r="A260" s="66"/>
      <c r="B260" s="2">
        <v>45615</v>
      </c>
      <c r="C260" s="3">
        <v>2618704463</v>
      </c>
      <c r="D260" s="3">
        <v>39</v>
      </c>
      <c r="E260" s="4" t="s">
        <v>162</v>
      </c>
      <c r="F260" s="19" t="s">
        <v>87</v>
      </c>
      <c r="G260" s="5" t="s">
        <v>11</v>
      </c>
      <c r="H260" s="6">
        <v>2145</v>
      </c>
    </row>
    <row r="261" spans="1:8" ht="15" customHeight="1" x14ac:dyDescent="0.25">
      <c r="A261" s="66"/>
      <c r="B261" s="2">
        <v>45615</v>
      </c>
      <c r="C261" s="3">
        <v>2407482229</v>
      </c>
      <c r="D261" s="3">
        <v>40</v>
      </c>
      <c r="E261" s="4" t="s">
        <v>1195</v>
      </c>
      <c r="F261" s="19" t="s">
        <v>87</v>
      </c>
      <c r="G261" s="5" t="s">
        <v>6</v>
      </c>
      <c r="H261" s="6">
        <v>2200</v>
      </c>
    </row>
    <row r="262" spans="1:8" ht="15" customHeight="1" x14ac:dyDescent="0.25">
      <c r="A262" s="66"/>
      <c r="B262" s="2">
        <v>45615</v>
      </c>
      <c r="C262" s="3">
        <v>524242376</v>
      </c>
      <c r="D262" s="3">
        <v>38</v>
      </c>
      <c r="E262" s="4" t="s">
        <v>223</v>
      </c>
      <c r="F262" s="19" t="s">
        <v>87</v>
      </c>
      <c r="G262" s="5" t="s">
        <v>6</v>
      </c>
      <c r="H262" s="6">
        <v>2090</v>
      </c>
    </row>
    <row r="263" spans="1:8" ht="15" customHeight="1" x14ac:dyDescent="0.25">
      <c r="A263" s="66"/>
      <c r="B263" s="2">
        <v>45615</v>
      </c>
      <c r="C263" s="3">
        <v>1700611252</v>
      </c>
      <c r="D263" s="3">
        <v>20</v>
      </c>
      <c r="E263" s="4" t="s">
        <v>830</v>
      </c>
      <c r="F263" s="19" t="s">
        <v>87</v>
      </c>
      <c r="G263" s="5" t="s">
        <v>6</v>
      </c>
      <c r="H263" s="6">
        <v>1100</v>
      </c>
    </row>
    <row r="264" spans="1:8" ht="15" customHeight="1" x14ac:dyDescent="0.25">
      <c r="A264" s="66"/>
      <c r="B264" s="2">
        <v>45615</v>
      </c>
      <c r="C264" s="3">
        <v>874399174</v>
      </c>
      <c r="D264" s="3">
        <v>41</v>
      </c>
      <c r="E264" s="4" t="s">
        <v>86</v>
      </c>
      <c r="F264" s="19" t="s">
        <v>87</v>
      </c>
      <c r="G264" s="5" t="s">
        <v>11</v>
      </c>
      <c r="H264" s="6">
        <v>2255</v>
      </c>
    </row>
    <row r="265" spans="1:8" ht="15" customHeight="1" x14ac:dyDescent="0.25">
      <c r="A265" s="66"/>
      <c r="B265" s="2">
        <v>45615</v>
      </c>
      <c r="C265" s="3">
        <v>350700438</v>
      </c>
      <c r="D265" s="3">
        <v>41</v>
      </c>
      <c r="E265" s="4" t="s">
        <v>1196</v>
      </c>
      <c r="F265" s="19" t="s">
        <v>87</v>
      </c>
      <c r="G265" s="5" t="s">
        <v>6</v>
      </c>
      <c r="H265" s="6">
        <v>2255</v>
      </c>
    </row>
    <row r="266" spans="1:8" ht="15" customHeight="1" x14ac:dyDescent="0.25">
      <c r="A266" s="66"/>
      <c r="B266" s="2">
        <v>45615</v>
      </c>
      <c r="C266" s="3">
        <v>3705227480</v>
      </c>
      <c r="D266" s="3">
        <v>20</v>
      </c>
      <c r="E266" s="4" t="s">
        <v>1197</v>
      </c>
      <c r="F266" s="19" t="s">
        <v>87</v>
      </c>
      <c r="G266" s="5" t="s">
        <v>6</v>
      </c>
      <c r="H266" s="6">
        <v>1100</v>
      </c>
    </row>
    <row r="267" spans="1:8" ht="15" customHeight="1" x14ac:dyDescent="0.25">
      <c r="A267" s="66"/>
      <c r="B267" s="2">
        <v>45615</v>
      </c>
      <c r="C267" s="3">
        <v>3269477558</v>
      </c>
      <c r="D267" s="3">
        <v>28</v>
      </c>
      <c r="E267" s="4" t="s">
        <v>1198</v>
      </c>
      <c r="F267" s="19" t="s">
        <v>87</v>
      </c>
      <c r="G267" s="5" t="s">
        <v>6</v>
      </c>
      <c r="H267" s="6">
        <v>1540</v>
      </c>
    </row>
    <row r="268" spans="1:8" ht="15" customHeight="1" x14ac:dyDescent="0.25">
      <c r="A268" s="66"/>
      <c r="B268" s="2">
        <v>45615</v>
      </c>
      <c r="C268" s="3">
        <v>1483689087</v>
      </c>
      <c r="D268" s="3">
        <v>21</v>
      </c>
      <c r="E268" s="4" t="s">
        <v>81</v>
      </c>
      <c r="F268" s="19" t="s">
        <v>87</v>
      </c>
      <c r="G268" s="5" t="s">
        <v>6</v>
      </c>
      <c r="H268" s="6">
        <v>1155</v>
      </c>
    </row>
    <row r="269" spans="1:8" ht="15" customHeight="1" x14ac:dyDescent="0.25">
      <c r="A269" s="66"/>
      <c r="B269" s="2">
        <v>45615</v>
      </c>
      <c r="C269" s="3">
        <v>402997478</v>
      </c>
      <c r="D269" s="3">
        <v>18</v>
      </c>
      <c r="E269" s="4" t="s">
        <v>1199</v>
      </c>
      <c r="F269" s="19" t="s">
        <v>87</v>
      </c>
      <c r="G269" s="5" t="s">
        <v>6</v>
      </c>
      <c r="H269" s="6">
        <v>990</v>
      </c>
    </row>
    <row r="270" spans="1:8" ht="15" customHeight="1" x14ac:dyDescent="0.25">
      <c r="A270" s="66"/>
      <c r="B270" s="2">
        <v>45615</v>
      </c>
      <c r="C270" s="3">
        <v>2382840539</v>
      </c>
      <c r="D270" s="3">
        <v>59</v>
      </c>
      <c r="E270" s="4" t="s">
        <v>1200</v>
      </c>
      <c r="F270" s="19" t="s">
        <v>87</v>
      </c>
      <c r="G270" s="5" t="s">
        <v>7</v>
      </c>
      <c r="H270" s="6">
        <v>3245</v>
      </c>
    </row>
    <row r="271" spans="1:8" ht="15" customHeight="1" x14ac:dyDescent="0.25">
      <c r="A271" s="66"/>
      <c r="B271" s="2">
        <v>45615</v>
      </c>
      <c r="C271" s="3">
        <v>1839484152</v>
      </c>
      <c r="D271" s="3">
        <v>21</v>
      </c>
      <c r="E271" s="4" t="s">
        <v>1201</v>
      </c>
      <c r="F271" s="19" t="s">
        <v>87</v>
      </c>
      <c r="G271" s="5" t="s">
        <v>6</v>
      </c>
      <c r="H271" s="6">
        <v>1155</v>
      </c>
    </row>
    <row r="272" spans="1:8" ht="15" customHeight="1" x14ac:dyDescent="0.25">
      <c r="A272" s="66"/>
      <c r="B272" s="2">
        <v>45615</v>
      </c>
      <c r="C272" s="3">
        <v>3464644648</v>
      </c>
      <c r="D272" s="3">
        <v>38</v>
      </c>
      <c r="E272" s="4" t="s">
        <v>1202</v>
      </c>
      <c r="F272" s="19" t="s">
        <v>87</v>
      </c>
      <c r="G272" s="5" t="s">
        <v>6</v>
      </c>
      <c r="H272" s="6">
        <v>2090</v>
      </c>
    </row>
    <row r="273" spans="1:8" ht="15" customHeight="1" x14ac:dyDescent="0.25">
      <c r="A273" s="66"/>
      <c r="B273" s="2">
        <v>45615</v>
      </c>
      <c r="C273" s="3">
        <v>1043153144</v>
      </c>
      <c r="D273" s="3">
        <v>59</v>
      </c>
      <c r="E273" s="4" t="s">
        <v>1203</v>
      </c>
      <c r="F273" s="19" t="s">
        <v>87</v>
      </c>
      <c r="G273" s="5" t="s">
        <v>6</v>
      </c>
      <c r="H273" s="6">
        <v>3245</v>
      </c>
    </row>
    <row r="274" spans="1:8" ht="15" customHeight="1" x14ac:dyDescent="0.25">
      <c r="A274" s="66"/>
      <c r="B274" s="2">
        <v>45615</v>
      </c>
      <c r="C274" s="3">
        <v>1054362132</v>
      </c>
      <c r="D274" s="3">
        <v>41</v>
      </c>
      <c r="E274" s="4" t="s">
        <v>1204</v>
      </c>
      <c r="F274" s="19" t="s">
        <v>87</v>
      </c>
      <c r="G274" s="5" t="s">
        <v>7</v>
      </c>
      <c r="H274" s="6">
        <v>2255</v>
      </c>
    </row>
    <row r="275" spans="1:8" ht="15" customHeight="1" x14ac:dyDescent="0.25">
      <c r="A275" s="66"/>
      <c r="B275" s="2">
        <v>45615</v>
      </c>
      <c r="C275" s="3">
        <v>3630581138</v>
      </c>
      <c r="D275" s="3">
        <v>45</v>
      </c>
      <c r="E275" s="4" t="s">
        <v>1205</v>
      </c>
      <c r="F275" s="19" t="s">
        <v>87</v>
      </c>
      <c r="G275" s="5" t="s">
        <v>11</v>
      </c>
      <c r="H275" s="6">
        <v>2475</v>
      </c>
    </row>
    <row r="276" spans="1:8" ht="15" customHeight="1" x14ac:dyDescent="0.25">
      <c r="A276" s="66"/>
      <c r="B276" s="2">
        <v>45615</v>
      </c>
      <c r="C276" s="3">
        <v>952387418</v>
      </c>
      <c r="D276" s="3">
        <v>41</v>
      </c>
      <c r="E276" s="4" t="s">
        <v>1206</v>
      </c>
      <c r="F276" s="19" t="s">
        <v>87</v>
      </c>
      <c r="G276" s="5" t="s">
        <v>6</v>
      </c>
      <c r="H276" s="6">
        <v>2255</v>
      </c>
    </row>
    <row r="277" spans="1:8" ht="15" customHeight="1" x14ac:dyDescent="0.25">
      <c r="A277" s="66"/>
      <c r="B277" s="2">
        <v>45615</v>
      </c>
      <c r="C277" s="3">
        <v>3837214840</v>
      </c>
      <c r="D277" s="3">
        <v>41</v>
      </c>
      <c r="E277" s="4" t="s">
        <v>421</v>
      </c>
      <c r="F277" s="19" t="s">
        <v>87</v>
      </c>
      <c r="G277" s="5" t="s">
        <v>6</v>
      </c>
      <c r="H277" s="6">
        <v>2255</v>
      </c>
    </row>
    <row r="278" spans="1:8" ht="15" customHeight="1" x14ac:dyDescent="0.25">
      <c r="A278" s="66"/>
      <c r="B278" s="2">
        <v>45615</v>
      </c>
      <c r="C278" s="3">
        <v>565539822</v>
      </c>
      <c r="D278" s="3">
        <v>20</v>
      </c>
      <c r="E278" s="4" t="s">
        <v>1139</v>
      </c>
      <c r="F278" s="19" t="s">
        <v>87</v>
      </c>
      <c r="G278" s="5" t="s">
        <v>6</v>
      </c>
      <c r="H278" s="6">
        <v>1100</v>
      </c>
    </row>
    <row r="279" spans="1:8" ht="15" customHeight="1" x14ac:dyDescent="0.25">
      <c r="A279" s="66"/>
      <c r="B279" s="2">
        <v>45615</v>
      </c>
      <c r="C279" s="3">
        <v>3072608696</v>
      </c>
      <c r="D279" s="3">
        <v>28</v>
      </c>
      <c r="E279" s="4" t="s">
        <v>1207</v>
      </c>
      <c r="F279" s="19" t="s">
        <v>87</v>
      </c>
      <c r="G279" s="5" t="s">
        <v>6</v>
      </c>
      <c r="H279" s="6">
        <v>1540</v>
      </c>
    </row>
    <row r="280" spans="1:8" ht="15" customHeight="1" x14ac:dyDescent="0.25">
      <c r="A280" s="66"/>
      <c r="B280" s="2">
        <v>45615</v>
      </c>
      <c r="C280" s="3">
        <v>892093910</v>
      </c>
      <c r="D280" s="3">
        <v>51</v>
      </c>
      <c r="E280" s="4" t="s">
        <v>1208</v>
      </c>
      <c r="F280" s="19" t="s">
        <v>87</v>
      </c>
      <c r="G280" s="5" t="s">
        <v>6</v>
      </c>
      <c r="H280" s="6">
        <v>2805</v>
      </c>
    </row>
    <row r="281" spans="1:8" ht="15" customHeight="1" x14ac:dyDescent="0.25">
      <c r="A281" s="66"/>
      <c r="B281" s="2">
        <v>45615</v>
      </c>
      <c r="C281" s="3">
        <v>2014399213</v>
      </c>
      <c r="D281" s="3">
        <v>21</v>
      </c>
      <c r="E281" s="4" t="s">
        <v>1209</v>
      </c>
      <c r="F281" s="19" t="s">
        <v>87</v>
      </c>
      <c r="G281" s="5" t="s">
        <v>11</v>
      </c>
      <c r="H281" s="6">
        <v>1155</v>
      </c>
    </row>
    <row r="282" spans="1:8" ht="15" customHeight="1" x14ac:dyDescent="0.25">
      <c r="A282" s="66"/>
      <c r="B282" s="2">
        <v>45615</v>
      </c>
      <c r="C282" s="3">
        <v>2049656034</v>
      </c>
      <c r="D282" s="3">
        <v>63</v>
      </c>
      <c r="E282" s="4" t="s">
        <v>1210</v>
      </c>
      <c r="F282" s="19" t="s">
        <v>87</v>
      </c>
      <c r="G282" s="5" t="s">
        <v>6</v>
      </c>
      <c r="H282" s="6">
        <v>3465</v>
      </c>
    </row>
    <row r="283" spans="1:8" ht="15" customHeight="1" x14ac:dyDescent="0.25">
      <c r="A283" s="66"/>
      <c r="B283" s="2">
        <v>45615</v>
      </c>
      <c r="C283" s="3">
        <v>2738439867</v>
      </c>
      <c r="D283" s="3">
        <v>31</v>
      </c>
      <c r="E283" s="4" t="s">
        <v>1211</v>
      </c>
      <c r="F283" s="19" t="s">
        <v>87</v>
      </c>
      <c r="G283" s="5" t="s">
        <v>6</v>
      </c>
      <c r="H283" s="6">
        <v>1705</v>
      </c>
    </row>
    <row r="284" spans="1:8" ht="15" customHeight="1" x14ac:dyDescent="0.25">
      <c r="A284" s="66"/>
      <c r="B284" s="2">
        <v>45615</v>
      </c>
      <c r="C284" s="3">
        <v>384584428</v>
      </c>
      <c r="D284" s="3">
        <v>41</v>
      </c>
      <c r="E284" s="4" t="s">
        <v>364</v>
      </c>
      <c r="F284" s="19" t="s">
        <v>87</v>
      </c>
      <c r="G284" s="5" t="s">
        <v>6</v>
      </c>
      <c r="H284" s="6">
        <v>2255</v>
      </c>
    </row>
    <row r="285" spans="1:8" ht="15" customHeight="1" x14ac:dyDescent="0.25">
      <c r="A285" s="66"/>
      <c r="B285" s="2">
        <v>45615</v>
      </c>
      <c r="C285" s="3">
        <v>2138852828</v>
      </c>
      <c r="D285" s="3">
        <v>29.5</v>
      </c>
      <c r="E285" s="4" t="s">
        <v>1212</v>
      </c>
      <c r="F285" s="19" t="s">
        <v>87</v>
      </c>
      <c r="G285" s="5" t="s">
        <v>6</v>
      </c>
      <c r="H285" s="6">
        <v>1622.5</v>
      </c>
    </row>
    <row r="286" spans="1:8" ht="15" customHeight="1" x14ac:dyDescent="0.25">
      <c r="A286" s="66"/>
      <c r="B286" s="2">
        <v>45615</v>
      </c>
      <c r="C286" s="3">
        <v>1477593376</v>
      </c>
      <c r="D286" s="3">
        <v>29.5</v>
      </c>
      <c r="E286" s="4" t="s">
        <v>1212</v>
      </c>
      <c r="F286" s="19" t="s">
        <v>87</v>
      </c>
      <c r="G286" s="5" t="s">
        <v>6</v>
      </c>
      <c r="H286" s="6">
        <v>1622.5</v>
      </c>
    </row>
    <row r="287" spans="1:8" ht="15" customHeight="1" x14ac:dyDescent="0.25">
      <c r="A287" s="66"/>
      <c r="B287" s="2">
        <v>45615</v>
      </c>
      <c r="C287" s="3">
        <v>110841434</v>
      </c>
      <c r="D287" s="3">
        <v>21</v>
      </c>
      <c r="E287" s="4" t="s">
        <v>1213</v>
      </c>
      <c r="F287" s="19" t="s">
        <v>87</v>
      </c>
      <c r="G287" s="5" t="s">
        <v>6</v>
      </c>
      <c r="H287" s="6">
        <v>1155</v>
      </c>
    </row>
    <row r="288" spans="1:8" ht="15" customHeight="1" x14ac:dyDescent="0.25">
      <c r="A288" s="66"/>
      <c r="B288" s="2">
        <v>45615</v>
      </c>
      <c r="C288" s="3">
        <v>112215923</v>
      </c>
      <c r="D288" s="3">
        <v>41</v>
      </c>
      <c r="E288" s="4" t="s">
        <v>78</v>
      </c>
      <c r="F288" s="19" t="s">
        <v>87</v>
      </c>
      <c r="G288" s="5" t="s">
        <v>6</v>
      </c>
      <c r="H288" s="6">
        <v>2255</v>
      </c>
    </row>
    <row r="289" spans="1:8" ht="15" customHeight="1" x14ac:dyDescent="0.25">
      <c r="A289" s="66"/>
      <c r="B289" s="2">
        <v>45616</v>
      </c>
      <c r="C289" s="3">
        <v>3488697468</v>
      </c>
      <c r="D289" s="3">
        <v>39</v>
      </c>
      <c r="E289" s="4" t="s">
        <v>1214</v>
      </c>
      <c r="F289" s="19" t="s">
        <v>87</v>
      </c>
      <c r="G289" s="5" t="s">
        <v>6</v>
      </c>
      <c r="H289" s="6">
        <v>2145</v>
      </c>
    </row>
    <row r="290" spans="1:8" ht="15" customHeight="1" x14ac:dyDescent="0.25">
      <c r="A290" s="66"/>
      <c r="B290" s="2">
        <v>45616</v>
      </c>
      <c r="C290" s="3">
        <v>465652452</v>
      </c>
      <c r="D290" s="3">
        <v>22</v>
      </c>
      <c r="E290" s="4" t="s">
        <v>1215</v>
      </c>
      <c r="F290" s="19" t="s">
        <v>87</v>
      </c>
      <c r="G290" s="5" t="s">
        <v>6</v>
      </c>
      <c r="H290" s="6">
        <v>1210</v>
      </c>
    </row>
    <row r="291" spans="1:8" ht="15" customHeight="1" x14ac:dyDescent="0.25">
      <c r="A291" s="66"/>
      <c r="B291" s="2">
        <v>45616</v>
      </c>
      <c r="C291" s="3">
        <v>3505014382</v>
      </c>
      <c r="D291" s="3">
        <v>59</v>
      </c>
      <c r="E291" s="4" t="s">
        <v>851</v>
      </c>
      <c r="F291" s="19" t="s">
        <v>87</v>
      </c>
      <c r="G291" s="5" t="s">
        <v>6</v>
      </c>
      <c r="H291" s="6">
        <v>3245</v>
      </c>
    </row>
    <row r="292" spans="1:8" ht="15" customHeight="1" x14ac:dyDescent="0.25">
      <c r="A292" s="66"/>
      <c r="B292" s="2">
        <v>45616</v>
      </c>
      <c r="C292" s="3">
        <v>1096369024</v>
      </c>
      <c r="D292" s="3">
        <v>51</v>
      </c>
      <c r="E292" s="4" t="s">
        <v>1216</v>
      </c>
      <c r="F292" s="19" t="s">
        <v>87</v>
      </c>
      <c r="G292" s="5" t="s">
        <v>6</v>
      </c>
      <c r="H292" s="6">
        <v>2805</v>
      </c>
    </row>
    <row r="293" spans="1:8" ht="15" customHeight="1" x14ac:dyDescent="0.25">
      <c r="A293" s="66"/>
      <c r="B293" s="2">
        <v>45616</v>
      </c>
      <c r="C293" s="3">
        <v>2522368004</v>
      </c>
      <c r="D293" s="3">
        <v>59</v>
      </c>
      <c r="E293" s="4" t="s">
        <v>1217</v>
      </c>
      <c r="F293" s="19" t="s">
        <v>87</v>
      </c>
      <c r="G293" s="5" t="s">
        <v>6</v>
      </c>
      <c r="H293" s="6">
        <v>3245</v>
      </c>
    </row>
    <row r="294" spans="1:8" ht="15" customHeight="1" x14ac:dyDescent="0.25">
      <c r="A294" s="66"/>
      <c r="B294" s="2">
        <v>45616</v>
      </c>
      <c r="C294" s="3">
        <v>467683129</v>
      </c>
      <c r="D294" s="3">
        <v>56</v>
      </c>
      <c r="E294" s="4" t="s">
        <v>1218</v>
      </c>
      <c r="F294" s="19" t="s">
        <v>87</v>
      </c>
      <c r="G294" s="5" t="s">
        <v>6</v>
      </c>
      <c r="H294" s="6">
        <v>3080</v>
      </c>
    </row>
    <row r="295" spans="1:8" ht="15" customHeight="1" x14ac:dyDescent="0.25">
      <c r="A295" s="66"/>
      <c r="B295" s="2">
        <v>45616</v>
      </c>
      <c r="C295" s="3">
        <v>3967503219</v>
      </c>
      <c r="D295" s="3">
        <v>23</v>
      </c>
      <c r="E295" s="4" t="s">
        <v>1142</v>
      </c>
      <c r="F295" s="19" t="s">
        <v>87</v>
      </c>
      <c r="G295" s="5" t="s">
        <v>7</v>
      </c>
      <c r="H295" s="6">
        <v>1265</v>
      </c>
    </row>
    <row r="296" spans="1:8" ht="15" customHeight="1" x14ac:dyDescent="0.25">
      <c r="A296" s="66"/>
      <c r="B296" s="2">
        <v>45616</v>
      </c>
      <c r="C296" s="3">
        <v>2778219979</v>
      </c>
      <c r="D296" s="3">
        <v>41</v>
      </c>
      <c r="E296" s="4" t="s">
        <v>826</v>
      </c>
      <c r="F296" s="19" t="s">
        <v>87</v>
      </c>
      <c r="G296" s="5" t="s">
        <v>6</v>
      </c>
      <c r="H296" s="6">
        <v>2255</v>
      </c>
    </row>
    <row r="297" spans="1:8" ht="15" customHeight="1" x14ac:dyDescent="0.25">
      <c r="A297" s="66"/>
      <c r="B297" s="2">
        <v>45616</v>
      </c>
      <c r="C297" s="3">
        <v>1072646041</v>
      </c>
      <c r="D297" s="3">
        <v>28</v>
      </c>
      <c r="E297" s="4" t="s">
        <v>433</v>
      </c>
      <c r="F297" s="19" t="s">
        <v>87</v>
      </c>
      <c r="G297" s="5" t="s">
        <v>6</v>
      </c>
      <c r="H297" s="6">
        <v>1540</v>
      </c>
    </row>
    <row r="298" spans="1:8" ht="15" customHeight="1" x14ac:dyDescent="0.25">
      <c r="A298" s="66"/>
      <c r="B298" s="2">
        <v>45616</v>
      </c>
      <c r="C298" s="3">
        <v>4135471376</v>
      </c>
      <c r="D298" s="3">
        <v>41</v>
      </c>
      <c r="E298" s="4" t="s">
        <v>1116</v>
      </c>
      <c r="F298" s="19" t="s">
        <v>87</v>
      </c>
      <c r="G298" s="5" t="s">
        <v>6</v>
      </c>
      <c r="H298" s="6">
        <v>2255</v>
      </c>
    </row>
    <row r="299" spans="1:8" ht="15" customHeight="1" x14ac:dyDescent="0.25">
      <c r="A299" s="66"/>
      <c r="B299" s="2">
        <v>45616</v>
      </c>
      <c r="C299" s="3">
        <v>2958706196</v>
      </c>
      <c r="D299" s="3">
        <v>41</v>
      </c>
      <c r="E299" s="4" t="s">
        <v>686</v>
      </c>
      <c r="F299" s="19" t="s">
        <v>87</v>
      </c>
      <c r="G299" s="5" t="s">
        <v>6</v>
      </c>
      <c r="H299" s="6">
        <v>2255</v>
      </c>
    </row>
    <row r="300" spans="1:8" ht="15" customHeight="1" x14ac:dyDescent="0.25">
      <c r="A300" s="66"/>
      <c r="B300" s="2">
        <v>45616</v>
      </c>
      <c r="C300" s="3">
        <v>3983624683</v>
      </c>
      <c r="D300" s="3">
        <v>21</v>
      </c>
      <c r="E300" s="4" t="s">
        <v>417</v>
      </c>
      <c r="F300" s="19" t="s">
        <v>87</v>
      </c>
      <c r="G300" s="5" t="s">
        <v>6</v>
      </c>
      <c r="H300" s="6">
        <v>1155</v>
      </c>
    </row>
    <row r="301" spans="1:8" ht="15" customHeight="1" x14ac:dyDescent="0.25">
      <c r="A301" s="66"/>
      <c r="B301" s="2">
        <v>45616</v>
      </c>
      <c r="C301" s="3">
        <v>3944826396</v>
      </c>
      <c r="D301" s="3">
        <v>39</v>
      </c>
      <c r="E301" s="4" t="s">
        <v>378</v>
      </c>
      <c r="F301" s="19" t="s">
        <v>87</v>
      </c>
      <c r="G301" s="5" t="s">
        <v>6</v>
      </c>
      <c r="H301" s="6">
        <v>2145</v>
      </c>
    </row>
    <row r="302" spans="1:8" ht="15" customHeight="1" x14ac:dyDescent="0.25">
      <c r="A302" s="66"/>
      <c r="B302" s="2">
        <v>45616</v>
      </c>
      <c r="C302" s="3">
        <v>337593427</v>
      </c>
      <c r="D302" s="3">
        <v>25</v>
      </c>
      <c r="E302" s="4" t="s">
        <v>814</v>
      </c>
      <c r="F302" s="19" t="s">
        <v>87</v>
      </c>
      <c r="G302" s="5" t="s">
        <v>6</v>
      </c>
      <c r="H302" s="6">
        <v>1375</v>
      </c>
    </row>
    <row r="303" spans="1:8" ht="15" customHeight="1" x14ac:dyDescent="0.25">
      <c r="A303" s="66"/>
      <c r="B303" s="2">
        <v>45616</v>
      </c>
      <c r="C303" s="3">
        <v>1163152483</v>
      </c>
      <c r="D303" s="3">
        <v>25</v>
      </c>
      <c r="E303" s="4" t="s">
        <v>814</v>
      </c>
      <c r="F303" s="19" t="s">
        <v>87</v>
      </c>
      <c r="G303" s="5" t="s">
        <v>6</v>
      </c>
      <c r="H303" s="6">
        <v>1375</v>
      </c>
    </row>
    <row r="304" spans="1:8" ht="15" customHeight="1" x14ac:dyDescent="0.25">
      <c r="A304" s="66"/>
      <c r="B304" s="2">
        <v>45616</v>
      </c>
      <c r="C304" s="3">
        <v>3288678468</v>
      </c>
      <c r="D304" s="3">
        <v>20</v>
      </c>
      <c r="E304" s="4" t="s">
        <v>1219</v>
      </c>
      <c r="F304" s="19" t="s">
        <v>87</v>
      </c>
      <c r="G304" s="5" t="s">
        <v>6</v>
      </c>
      <c r="H304" s="6">
        <v>1100</v>
      </c>
    </row>
    <row r="305" spans="1:8" ht="15" customHeight="1" x14ac:dyDescent="0.25">
      <c r="A305" s="66"/>
      <c r="B305" s="2">
        <v>45616</v>
      </c>
      <c r="C305" s="3">
        <v>3493217640</v>
      </c>
      <c r="D305" s="3">
        <v>63</v>
      </c>
      <c r="E305" s="4" t="s">
        <v>1220</v>
      </c>
      <c r="F305" s="19" t="s">
        <v>87</v>
      </c>
      <c r="G305" s="5" t="s">
        <v>6</v>
      </c>
      <c r="H305" s="6">
        <v>3465</v>
      </c>
    </row>
    <row r="306" spans="1:8" ht="15" customHeight="1" x14ac:dyDescent="0.25">
      <c r="A306" s="66"/>
      <c r="B306" s="2">
        <v>45616</v>
      </c>
      <c r="C306" s="3">
        <v>4197926993</v>
      </c>
      <c r="D306" s="3">
        <v>21</v>
      </c>
      <c r="E306" s="4" t="s">
        <v>1127</v>
      </c>
      <c r="F306" s="19" t="s">
        <v>87</v>
      </c>
      <c r="G306" s="5" t="s">
        <v>6</v>
      </c>
      <c r="H306" s="6">
        <v>1155</v>
      </c>
    </row>
    <row r="307" spans="1:8" ht="15" customHeight="1" x14ac:dyDescent="0.25">
      <c r="A307" s="66"/>
      <c r="B307" s="2">
        <v>45616</v>
      </c>
      <c r="C307" s="3">
        <v>3510125319</v>
      </c>
      <c r="D307" s="3">
        <v>21</v>
      </c>
      <c r="E307" s="4" t="s">
        <v>1123</v>
      </c>
      <c r="F307" s="19" t="s">
        <v>87</v>
      </c>
      <c r="G307" s="5" t="s">
        <v>6</v>
      </c>
      <c r="H307" s="6">
        <v>1155</v>
      </c>
    </row>
    <row r="308" spans="1:8" ht="15" customHeight="1" x14ac:dyDescent="0.25">
      <c r="A308" s="66"/>
      <c r="B308" s="2">
        <v>45616</v>
      </c>
      <c r="C308" s="3">
        <v>1499414711</v>
      </c>
      <c r="D308" s="3">
        <v>50</v>
      </c>
      <c r="E308" s="4" t="s">
        <v>360</v>
      </c>
      <c r="F308" s="19" t="s">
        <v>87</v>
      </c>
      <c r="G308" s="5" t="s">
        <v>6</v>
      </c>
      <c r="H308" s="6">
        <v>2750</v>
      </c>
    </row>
    <row r="309" spans="1:8" ht="15" customHeight="1" x14ac:dyDescent="0.25">
      <c r="A309" s="66"/>
      <c r="B309" s="2">
        <v>45616</v>
      </c>
      <c r="C309" s="3">
        <v>3471264105</v>
      </c>
      <c r="D309" s="3">
        <v>41</v>
      </c>
      <c r="E309" s="4" t="s">
        <v>1221</v>
      </c>
      <c r="F309" s="19" t="s">
        <v>87</v>
      </c>
      <c r="G309" s="5" t="s">
        <v>6</v>
      </c>
      <c r="H309" s="6">
        <v>2255</v>
      </c>
    </row>
    <row r="310" spans="1:8" ht="15" customHeight="1" x14ac:dyDescent="0.25">
      <c r="A310" s="66"/>
      <c r="B310" s="2">
        <v>45616</v>
      </c>
      <c r="C310" s="3">
        <v>539839043</v>
      </c>
      <c r="D310" s="3">
        <v>21</v>
      </c>
      <c r="E310" s="4" t="s">
        <v>427</v>
      </c>
      <c r="F310" s="19" t="s">
        <v>87</v>
      </c>
      <c r="G310" s="5" t="s">
        <v>6</v>
      </c>
      <c r="H310" s="6">
        <v>1155</v>
      </c>
    </row>
    <row r="311" spans="1:8" ht="15" customHeight="1" x14ac:dyDescent="0.25">
      <c r="A311" s="66"/>
      <c r="B311" s="2">
        <v>45616</v>
      </c>
      <c r="C311" s="3">
        <v>1308640500</v>
      </c>
      <c r="D311" s="3">
        <v>41</v>
      </c>
      <c r="E311" s="4" t="s">
        <v>362</v>
      </c>
      <c r="F311" s="19" t="s">
        <v>87</v>
      </c>
      <c r="G311" s="5" t="s">
        <v>6</v>
      </c>
      <c r="H311" s="6">
        <v>2255</v>
      </c>
    </row>
    <row r="312" spans="1:8" ht="15" customHeight="1" x14ac:dyDescent="0.25">
      <c r="A312" s="66"/>
      <c r="B312" s="2">
        <v>45616</v>
      </c>
      <c r="C312" s="3">
        <v>1973700206</v>
      </c>
      <c r="D312" s="3">
        <v>41</v>
      </c>
      <c r="E312" s="4" t="s">
        <v>375</v>
      </c>
      <c r="F312" s="19" t="s">
        <v>87</v>
      </c>
      <c r="G312" s="5" t="s">
        <v>6</v>
      </c>
      <c r="H312" s="6">
        <v>2255</v>
      </c>
    </row>
    <row r="313" spans="1:8" ht="15" customHeight="1" x14ac:dyDescent="0.25">
      <c r="A313" s="66"/>
      <c r="B313" s="2">
        <v>45616</v>
      </c>
      <c r="C313" s="3">
        <v>1276647909</v>
      </c>
      <c r="D313" s="3">
        <v>41</v>
      </c>
      <c r="E313" s="4" t="s">
        <v>1222</v>
      </c>
      <c r="F313" s="19" t="s">
        <v>87</v>
      </c>
      <c r="G313" s="5" t="s">
        <v>6</v>
      </c>
      <c r="H313" s="6">
        <v>2255</v>
      </c>
    </row>
    <row r="314" spans="1:8" ht="15" customHeight="1" x14ac:dyDescent="0.25">
      <c r="A314" s="66"/>
      <c r="B314" s="2">
        <v>45616</v>
      </c>
      <c r="C314" s="3">
        <v>1726171820</v>
      </c>
      <c r="D314" s="3">
        <v>41</v>
      </c>
      <c r="E314" s="4" t="s">
        <v>1223</v>
      </c>
      <c r="F314" s="19" t="s">
        <v>87</v>
      </c>
      <c r="G314" s="5" t="s">
        <v>6</v>
      </c>
      <c r="H314" s="6">
        <v>2255</v>
      </c>
    </row>
    <row r="315" spans="1:8" ht="15" customHeight="1" x14ac:dyDescent="0.25">
      <c r="A315" s="66"/>
      <c r="B315" s="2">
        <v>45616</v>
      </c>
      <c r="C315" s="3">
        <v>3899018460</v>
      </c>
      <c r="D315" s="3">
        <v>41</v>
      </c>
      <c r="E315" s="4" t="s">
        <v>431</v>
      </c>
      <c r="F315" s="19" t="s">
        <v>87</v>
      </c>
      <c r="G315" s="5" t="s">
        <v>6</v>
      </c>
      <c r="H315" s="6">
        <v>2255</v>
      </c>
    </row>
    <row r="316" spans="1:8" ht="15" customHeight="1" x14ac:dyDescent="0.25">
      <c r="A316" s="66"/>
      <c r="B316" s="2">
        <v>45616</v>
      </c>
      <c r="C316" s="3">
        <v>88690614</v>
      </c>
      <c r="D316" s="3">
        <v>28</v>
      </c>
      <c r="E316" s="4" t="s">
        <v>1224</v>
      </c>
      <c r="F316" s="19" t="s">
        <v>87</v>
      </c>
      <c r="G316" s="5" t="s">
        <v>6</v>
      </c>
      <c r="H316" s="6">
        <v>1540</v>
      </c>
    </row>
    <row r="317" spans="1:8" ht="15" customHeight="1" x14ac:dyDescent="0.25">
      <c r="A317" s="66"/>
      <c r="B317" s="2">
        <v>45616</v>
      </c>
      <c r="C317" s="3">
        <v>835862938</v>
      </c>
      <c r="D317" s="3">
        <v>28</v>
      </c>
      <c r="E317" s="4" t="s">
        <v>391</v>
      </c>
      <c r="F317" s="19" t="s">
        <v>87</v>
      </c>
      <c r="G317" s="5" t="s">
        <v>6</v>
      </c>
      <c r="H317" s="6">
        <v>1540</v>
      </c>
    </row>
    <row r="318" spans="1:8" ht="15" customHeight="1" x14ac:dyDescent="0.25">
      <c r="A318" s="66"/>
      <c r="B318" s="2">
        <v>45616</v>
      </c>
      <c r="C318" s="3">
        <v>728581840</v>
      </c>
      <c r="D318" s="3">
        <v>41</v>
      </c>
      <c r="E318" s="4" t="s">
        <v>426</v>
      </c>
      <c r="F318" s="19" t="s">
        <v>87</v>
      </c>
      <c r="G318" s="5" t="s">
        <v>6</v>
      </c>
      <c r="H318" s="6">
        <v>2255</v>
      </c>
    </row>
    <row r="319" spans="1:8" ht="15" customHeight="1" x14ac:dyDescent="0.25">
      <c r="A319" s="66"/>
      <c r="B319" s="2">
        <v>45616</v>
      </c>
      <c r="C319" s="3">
        <v>836061878</v>
      </c>
      <c r="D319" s="3">
        <v>63</v>
      </c>
      <c r="E319" s="4" t="s">
        <v>393</v>
      </c>
      <c r="F319" s="19" t="s">
        <v>87</v>
      </c>
      <c r="G319" s="5" t="s">
        <v>6</v>
      </c>
      <c r="H319" s="6">
        <v>3465</v>
      </c>
    </row>
    <row r="320" spans="1:8" ht="15" customHeight="1" x14ac:dyDescent="0.25">
      <c r="A320" s="66"/>
      <c r="B320" s="2">
        <v>45616</v>
      </c>
      <c r="C320" s="3">
        <v>3521465850</v>
      </c>
      <c r="D320" s="3">
        <v>25</v>
      </c>
      <c r="E320" s="4" t="s">
        <v>85</v>
      </c>
      <c r="F320" s="19" t="s">
        <v>87</v>
      </c>
      <c r="G320" s="5" t="s">
        <v>13</v>
      </c>
      <c r="H320" s="6">
        <v>1375</v>
      </c>
    </row>
    <row r="321" spans="1:8" ht="15" customHeight="1" x14ac:dyDescent="0.25">
      <c r="A321" s="66"/>
      <c r="B321" s="2">
        <v>45616</v>
      </c>
      <c r="C321" s="3">
        <v>2551793657</v>
      </c>
      <c r="D321" s="3">
        <v>81</v>
      </c>
      <c r="E321" s="4" t="s">
        <v>772</v>
      </c>
      <c r="F321" s="19" t="s">
        <v>87</v>
      </c>
      <c r="G321" s="5" t="s">
        <v>7</v>
      </c>
      <c r="H321" s="6">
        <v>4455</v>
      </c>
    </row>
    <row r="322" spans="1:8" ht="15" customHeight="1" x14ac:dyDescent="0.25">
      <c r="A322" s="66"/>
      <c r="B322" s="2">
        <v>45616</v>
      </c>
      <c r="C322" s="3">
        <v>929843598</v>
      </c>
      <c r="D322" s="3">
        <v>51</v>
      </c>
      <c r="E322" s="4" t="s">
        <v>1225</v>
      </c>
      <c r="F322" s="19" t="s">
        <v>87</v>
      </c>
      <c r="G322" s="5" t="s">
        <v>6</v>
      </c>
      <c r="H322" s="6">
        <v>2805</v>
      </c>
    </row>
    <row r="323" spans="1:8" ht="15" customHeight="1" x14ac:dyDescent="0.25">
      <c r="A323" s="66"/>
      <c r="B323" s="2">
        <v>45616</v>
      </c>
      <c r="C323" s="3">
        <v>718553583</v>
      </c>
      <c r="D323" s="3">
        <v>59</v>
      </c>
      <c r="E323" s="4" t="s">
        <v>853</v>
      </c>
      <c r="F323" s="19" t="s">
        <v>87</v>
      </c>
      <c r="G323" s="5" t="s">
        <v>6</v>
      </c>
      <c r="H323" s="6">
        <v>3245</v>
      </c>
    </row>
    <row r="324" spans="1:8" ht="15" customHeight="1" x14ac:dyDescent="0.25">
      <c r="A324" s="66"/>
      <c r="B324" s="2">
        <v>45616</v>
      </c>
      <c r="C324" s="3">
        <v>152260217</v>
      </c>
      <c r="D324" s="3">
        <v>43</v>
      </c>
      <c r="E324" s="4" t="s">
        <v>1226</v>
      </c>
      <c r="F324" s="19" t="s">
        <v>87</v>
      </c>
      <c r="G324" s="5" t="s">
        <v>6</v>
      </c>
      <c r="H324" s="6">
        <v>2365</v>
      </c>
    </row>
    <row r="325" spans="1:8" ht="15" customHeight="1" x14ac:dyDescent="0.25">
      <c r="A325" s="66"/>
      <c r="B325" s="2">
        <v>45616</v>
      </c>
      <c r="C325" s="3">
        <v>3780657341</v>
      </c>
      <c r="D325" s="3">
        <v>21</v>
      </c>
      <c r="E325" s="4" t="s">
        <v>383</v>
      </c>
      <c r="F325" s="19" t="s">
        <v>87</v>
      </c>
      <c r="G325" s="5" t="s">
        <v>11</v>
      </c>
      <c r="H325" s="6">
        <v>1155</v>
      </c>
    </row>
    <row r="326" spans="1:8" ht="15" customHeight="1" x14ac:dyDescent="0.25">
      <c r="A326" s="66"/>
      <c r="B326" s="2">
        <v>45616</v>
      </c>
      <c r="C326" s="3">
        <v>4143073076</v>
      </c>
      <c r="D326" s="3">
        <v>33</v>
      </c>
      <c r="E326" s="4" t="s">
        <v>411</v>
      </c>
      <c r="F326" s="19" t="s">
        <v>87</v>
      </c>
      <c r="G326" s="5" t="s">
        <v>6</v>
      </c>
      <c r="H326" s="6">
        <v>1815</v>
      </c>
    </row>
    <row r="327" spans="1:8" ht="15" customHeight="1" x14ac:dyDescent="0.25">
      <c r="A327" s="66"/>
      <c r="B327" s="2">
        <v>45616</v>
      </c>
      <c r="C327" s="3">
        <v>2571847700</v>
      </c>
      <c r="D327" s="3">
        <v>41</v>
      </c>
      <c r="E327" s="4" t="s">
        <v>425</v>
      </c>
      <c r="F327" s="19" t="s">
        <v>87</v>
      </c>
      <c r="G327" s="5" t="s">
        <v>6</v>
      </c>
      <c r="H327" s="6">
        <v>2255</v>
      </c>
    </row>
    <row r="328" spans="1:8" ht="15" customHeight="1" x14ac:dyDescent="0.25">
      <c r="A328" s="66"/>
      <c r="B328" s="2">
        <v>45616</v>
      </c>
      <c r="C328" s="3">
        <v>483936785</v>
      </c>
      <c r="D328" s="3">
        <v>63</v>
      </c>
      <c r="E328" s="4" t="s">
        <v>407</v>
      </c>
      <c r="F328" s="19" t="s">
        <v>87</v>
      </c>
      <c r="G328" s="5" t="s">
        <v>6</v>
      </c>
      <c r="H328" s="6">
        <v>3465</v>
      </c>
    </row>
    <row r="329" spans="1:8" ht="15" customHeight="1" x14ac:dyDescent="0.25">
      <c r="A329" s="66"/>
      <c r="B329" s="2">
        <v>45616</v>
      </c>
      <c r="C329" s="3">
        <v>850020866</v>
      </c>
      <c r="D329" s="3">
        <v>59</v>
      </c>
      <c r="E329" s="4" t="s">
        <v>1227</v>
      </c>
      <c r="F329" s="19" t="s">
        <v>87</v>
      </c>
      <c r="G329" s="5" t="s">
        <v>6</v>
      </c>
      <c r="H329" s="6">
        <v>3245</v>
      </c>
    </row>
    <row r="330" spans="1:8" ht="15" customHeight="1" x14ac:dyDescent="0.25">
      <c r="A330" s="66"/>
      <c r="B330" s="2">
        <v>45616</v>
      </c>
      <c r="C330" s="3">
        <v>63327812</v>
      </c>
      <c r="D330" s="3">
        <v>41</v>
      </c>
      <c r="E330" s="4" t="s">
        <v>1093</v>
      </c>
      <c r="F330" s="19" t="s">
        <v>87</v>
      </c>
      <c r="G330" s="5" t="s">
        <v>6</v>
      </c>
      <c r="H330" s="6">
        <v>2255</v>
      </c>
    </row>
    <row r="331" spans="1:8" ht="15" customHeight="1" x14ac:dyDescent="0.25">
      <c r="A331" s="66"/>
      <c r="B331" s="2">
        <v>45616</v>
      </c>
      <c r="C331" s="3">
        <v>357451452</v>
      </c>
      <c r="D331" s="3">
        <v>41</v>
      </c>
      <c r="E331" s="4" t="s">
        <v>1228</v>
      </c>
      <c r="F331" s="19" t="s">
        <v>87</v>
      </c>
      <c r="G331" s="5" t="s">
        <v>6</v>
      </c>
      <c r="H331" s="6">
        <v>2255</v>
      </c>
    </row>
    <row r="332" spans="1:8" ht="15" customHeight="1" x14ac:dyDescent="0.25">
      <c r="A332" s="66"/>
      <c r="B332" s="2">
        <v>45616</v>
      </c>
      <c r="C332" s="3">
        <v>3136047901</v>
      </c>
      <c r="D332" s="3">
        <v>45</v>
      </c>
      <c r="E332" s="4" t="s">
        <v>727</v>
      </c>
      <c r="F332" s="19" t="s">
        <v>87</v>
      </c>
      <c r="G332" s="5" t="s">
        <v>6</v>
      </c>
      <c r="H332" s="6">
        <v>2475</v>
      </c>
    </row>
    <row r="333" spans="1:8" ht="15" customHeight="1" x14ac:dyDescent="0.25">
      <c r="A333" s="66"/>
      <c r="B333" s="2">
        <v>45616</v>
      </c>
      <c r="C333" s="3">
        <v>1517044857</v>
      </c>
      <c r="D333" s="3">
        <v>43</v>
      </c>
      <c r="E333" s="4" t="s">
        <v>1229</v>
      </c>
      <c r="F333" s="19" t="s">
        <v>87</v>
      </c>
      <c r="G333" s="5" t="s">
        <v>6</v>
      </c>
      <c r="H333" s="6">
        <v>2365</v>
      </c>
    </row>
    <row r="334" spans="1:8" ht="15" customHeight="1" x14ac:dyDescent="0.25">
      <c r="A334" s="66"/>
      <c r="B334" s="2">
        <v>45616</v>
      </c>
      <c r="C334" s="3">
        <v>4103292209</v>
      </c>
      <c r="D334" s="3">
        <v>41</v>
      </c>
      <c r="E334" s="4" t="s">
        <v>1230</v>
      </c>
      <c r="F334" s="19" t="s">
        <v>87</v>
      </c>
      <c r="G334" s="5" t="s">
        <v>6</v>
      </c>
      <c r="H334" s="6">
        <v>2255</v>
      </c>
    </row>
    <row r="335" spans="1:8" ht="15" customHeight="1" x14ac:dyDescent="0.25">
      <c r="A335" s="66"/>
      <c r="B335" s="2">
        <v>45616</v>
      </c>
      <c r="C335" s="3">
        <v>1808157783</v>
      </c>
      <c r="D335" s="3">
        <v>43</v>
      </c>
      <c r="E335" s="4" t="s">
        <v>1231</v>
      </c>
      <c r="F335" s="19" t="s">
        <v>87</v>
      </c>
      <c r="G335" s="5" t="s">
        <v>7</v>
      </c>
      <c r="H335" s="6">
        <v>2365</v>
      </c>
    </row>
    <row r="336" spans="1:8" ht="15" customHeight="1" x14ac:dyDescent="0.25">
      <c r="A336" s="66"/>
      <c r="B336" s="2">
        <v>45616</v>
      </c>
      <c r="C336" s="3">
        <v>1323516369</v>
      </c>
      <c r="D336" s="3">
        <v>59</v>
      </c>
      <c r="E336" s="4" t="s">
        <v>1232</v>
      </c>
      <c r="F336" s="19" t="s">
        <v>87</v>
      </c>
      <c r="G336" s="5" t="s">
        <v>6</v>
      </c>
      <c r="H336" s="6">
        <v>3245</v>
      </c>
    </row>
    <row r="337" spans="1:8" ht="15" customHeight="1" x14ac:dyDescent="0.25">
      <c r="A337" s="66"/>
      <c r="B337" s="2">
        <v>45616</v>
      </c>
      <c r="C337" s="3">
        <v>1140674246</v>
      </c>
      <c r="D337" s="3">
        <v>20</v>
      </c>
      <c r="E337" s="4" t="s">
        <v>399</v>
      </c>
      <c r="F337" s="19" t="s">
        <v>87</v>
      </c>
      <c r="G337" s="5" t="s">
        <v>13</v>
      </c>
      <c r="H337" s="6">
        <v>1100</v>
      </c>
    </row>
    <row r="338" spans="1:8" ht="15" customHeight="1" x14ac:dyDescent="0.25">
      <c r="A338" s="66"/>
      <c r="B338" s="2">
        <v>45616</v>
      </c>
      <c r="C338" s="3">
        <v>1440370076</v>
      </c>
      <c r="D338" s="3">
        <v>20</v>
      </c>
      <c r="E338" s="4" t="s">
        <v>1233</v>
      </c>
      <c r="F338" s="19" t="s">
        <v>87</v>
      </c>
      <c r="G338" s="5" t="s">
        <v>6</v>
      </c>
      <c r="H338" s="6">
        <v>1100</v>
      </c>
    </row>
    <row r="339" spans="1:8" ht="15" customHeight="1" x14ac:dyDescent="0.25">
      <c r="A339" s="66"/>
      <c r="B339" s="2">
        <v>45616</v>
      </c>
      <c r="C339" s="3">
        <v>3762243975</v>
      </c>
      <c r="D339" s="3">
        <v>33</v>
      </c>
      <c r="E339" s="4" t="s">
        <v>1234</v>
      </c>
      <c r="F339" s="19" t="s">
        <v>87</v>
      </c>
      <c r="G339" s="5" t="s">
        <v>6</v>
      </c>
      <c r="H339" s="6">
        <v>1815</v>
      </c>
    </row>
    <row r="340" spans="1:8" ht="15" customHeight="1" x14ac:dyDescent="0.25">
      <c r="A340" s="66"/>
      <c r="B340" s="2">
        <v>45616</v>
      </c>
      <c r="C340" s="3">
        <v>2819442540</v>
      </c>
      <c r="D340" s="3">
        <v>23</v>
      </c>
      <c r="E340" s="4" t="s">
        <v>1235</v>
      </c>
      <c r="F340" s="19" t="s">
        <v>87</v>
      </c>
      <c r="G340" s="5" t="s">
        <v>6</v>
      </c>
      <c r="H340" s="6">
        <v>1265</v>
      </c>
    </row>
    <row r="341" spans="1:8" ht="15" customHeight="1" x14ac:dyDescent="0.25">
      <c r="A341" s="66"/>
      <c r="B341" s="2">
        <v>45616</v>
      </c>
      <c r="C341" s="3">
        <v>1943486979</v>
      </c>
      <c r="D341" s="3">
        <v>43</v>
      </c>
      <c r="E341" s="4" t="s">
        <v>616</v>
      </c>
      <c r="F341" s="19" t="s">
        <v>87</v>
      </c>
      <c r="G341" s="5" t="s">
        <v>13</v>
      </c>
      <c r="H341" s="6">
        <v>2365</v>
      </c>
    </row>
    <row r="342" spans="1:8" ht="15" customHeight="1" x14ac:dyDescent="0.25">
      <c r="A342" s="66"/>
      <c r="B342" s="2">
        <v>45616</v>
      </c>
      <c r="C342" s="3">
        <v>438062589</v>
      </c>
      <c r="D342" s="3">
        <v>59</v>
      </c>
      <c r="E342" s="4" t="s">
        <v>1236</v>
      </c>
      <c r="F342" s="19" t="s">
        <v>87</v>
      </c>
      <c r="G342" s="5" t="s">
        <v>6</v>
      </c>
      <c r="H342" s="6">
        <v>3245</v>
      </c>
    </row>
    <row r="343" spans="1:8" ht="15" customHeight="1" x14ac:dyDescent="0.25">
      <c r="A343" s="66"/>
      <c r="B343" s="2">
        <v>45616</v>
      </c>
      <c r="C343" s="3">
        <v>1895058312</v>
      </c>
      <c r="D343" s="3">
        <v>43</v>
      </c>
      <c r="E343" s="4" t="s">
        <v>394</v>
      </c>
      <c r="F343" s="19" t="s">
        <v>87</v>
      </c>
      <c r="G343" s="5" t="s">
        <v>6</v>
      </c>
      <c r="H343" s="6">
        <v>2365</v>
      </c>
    </row>
    <row r="344" spans="1:8" ht="15" customHeight="1" x14ac:dyDescent="0.25">
      <c r="A344" s="66"/>
      <c r="B344" s="2">
        <v>45616</v>
      </c>
      <c r="C344" s="3">
        <v>2096253612</v>
      </c>
      <c r="D344" s="3">
        <v>21</v>
      </c>
      <c r="E344" s="4" t="s">
        <v>1237</v>
      </c>
      <c r="F344" s="19" t="s">
        <v>87</v>
      </c>
      <c r="G344" s="5" t="s">
        <v>6</v>
      </c>
      <c r="H344" s="6">
        <v>1155</v>
      </c>
    </row>
    <row r="345" spans="1:8" ht="15" customHeight="1" x14ac:dyDescent="0.25">
      <c r="A345" s="66"/>
      <c r="B345" s="2">
        <v>45617</v>
      </c>
      <c r="C345" s="3">
        <v>3007923356</v>
      </c>
      <c r="D345" s="3">
        <v>40</v>
      </c>
      <c r="E345" s="4" t="s">
        <v>1036</v>
      </c>
      <c r="F345" s="19" t="s">
        <v>87</v>
      </c>
      <c r="G345" s="5" t="s">
        <v>11</v>
      </c>
      <c r="H345" s="6">
        <v>1680</v>
      </c>
    </row>
    <row r="346" spans="1:8" ht="15" customHeight="1" x14ac:dyDescent="0.25">
      <c r="A346" s="66"/>
      <c r="B346" s="2">
        <v>45617</v>
      </c>
      <c r="C346" s="3">
        <v>3007923356</v>
      </c>
      <c r="D346" s="3">
        <v>1</v>
      </c>
      <c r="E346" s="4" t="s">
        <v>1036</v>
      </c>
      <c r="F346" s="19" t="s">
        <v>87</v>
      </c>
      <c r="G346" s="5" t="s">
        <v>11</v>
      </c>
      <c r="H346" s="6">
        <v>40</v>
      </c>
    </row>
    <row r="347" spans="1:8" ht="15" customHeight="1" x14ac:dyDescent="0.25">
      <c r="A347" s="66"/>
      <c r="B347" s="2">
        <v>45623</v>
      </c>
      <c r="C347" s="3">
        <v>525290862</v>
      </c>
      <c r="D347" s="3">
        <v>20</v>
      </c>
      <c r="E347" s="4" t="s">
        <v>228</v>
      </c>
      <c r="F347" s="19" t="s">
        <v>87</v>
      </c>
      <c r="G347" s="5" t="s">
        <v>6</v>
      </c>
      <c r="H347" s="6">
        <v>1100</v>
      </c>
    </row>
    <row r="348" spans="1:8" ht="15" customHeight="1" x14ac:dyDescent="0.25">
      <c r="A348" s="66"/>
      <c r="B348" s="2">
        <v>45624</v>
      </c>
      <c r="C348" s="3">
        <v>1438533192</v>
      </c>
      <c r="D348" s="3">
        <v>30</v>
      </c>
      <c r="E348" s="4" t="s">
        <v>1134</v>
      </c>
      <c r="F348" s="19" t="s">
        <v>87</v>
      </c>
      <c r="G348" s="5" t="s">
        <v>10</v>
      </c>
      <c r="H348" s="6">
        <v>1650</v>
      </c>
    </row>
    <row r="349" spans="1:8" ht="20.100000000000001" customHeight="1" x14ac:dyDescent="0.25">
      <c r="A349" s="67"/>
      <c r="B349" s="13"/>
      <c r="C349" s="14"/>
      <c r="D349" s="14"/>
      <c r="E349" s="14" t="s">
        <v>5</v>
      </c>
      <c r="F349" s="15"/>
      <c r="G349" s="16"/>
      <c r="H349" s="17">
        <f>SUM(H3:H348)</f>
        <v>750659.99212000007</v>
      </c>
    </row>
    <row r="350" spans="1:8" ht="20.100000000000001" customHeight="1" x14ac:dyDescent="0.25">
      <c r="A350" s="7"/>
      <c r="B350" s="8"/>
      <c r="C350" s="8"/>
      <c r="D350" s="8"/>
      <c r="E350" s="8"/>
      <c r="F350" s="12"/>
      <c r="G350" s="8"/>
      <c r="H350" s="9"/>
    </row>
  </sheetData>
  <autoFilter ref="A1:H349" xr:uid="{00000000-0009-0000-0000-000022000000}"/>
  <mergeCells count="8">
    <mergeCell ref="G1:G2"/>
    <mergeCell ref="H1:H2"/>
    <mergeCell ref="A1:A349"/>
    <mergeCell ref="B1:B2"/>
    <mergeCell ref="C1:C2"/>
    <mergeCell ref="D1:D2"/>
    <mergeCell ref="E1:E2"/>
    <mergeCell ref="F1:F2"/>
  </mergeCells>
  <pageMargins left="0.7" right="0.7" top="0.75" bottom="0.75" header="0.3" footer="0.3"/>
  <pageSetup paperSize="9" orientation="portrait" horizontalDpi="120" verticalDpi="72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H5"/>
  <sheetViews>
    <sheetView workbookViewId="0">
      <selection activeCell="D12" sqref="D12"/>
    </sheetView>
  </sheetViews>
  <sheetFormatPr baseColWidth="10" defaultColWidth="9.140625" defaultRowHeight="15" x14ac:dyDescent="0.25"/>
  <cols>
    <col min="1" max="1" width="16.28515625" customWidth="1"/>
    <col min="2" max="2" width="12.7109375" bestFit="1" customWidth="1"/>
    <col min="3" max="3" width="17.42578125" customWidth="1"/>
    <col min="4" max="4" width="11" customWidth="1"/>
    <col min="5" max="5" width="32.42578125" bestFit="1" customWidth="1"/>
    <col min="6" max="6" width="52.42578125" style="1" bestFit="1" customWidth="1"/>
    <col min="7" max="7" width="16.140625" customWidth="1"/>
    <col min="8" max="8" width="14.28515625" bestFit="1" customWidth="1"/>
  </cols>
  <sheetData>
    <row r="1" spans="1:8" ht="15" customHeight="1" x14ac:dyDescent="0.25">
      <c r="A1" s="65" t="s">
        <v>65</v>
      </c>
      <c r="B1" s="72" t="s">
        <v>0</v>
      </c>
      <c r="C1" s="74" t="s">
        <v>1</v>
      </c>
      <c r="D1" s="74" t="s">
        <v>2</v>
      </c>
      <c r="E1" s="74" t="s">
        <v>3</v>
      </c>
      <c r="F1" s="74" t="s">
        <v>8</v>
      </c>
      <c r="G1" s="68" t="s">
        <v>4</v>
      </c>
      <c r="H1" s="70" t="s">
        <v>5</v>
      </c>
    </row>
    <row r="2" spans="1:8" ht="15" customHeight="1" x14ac:dyDescent="0.25">
      <c r="A2" s="66"/>
      <c r="B2" s="73"/>
      <c r="C2" s="75"/>
      <c r="D2" s="75"/>
      <c r="E2" s="75"/>
      <c r="F2" s="75"/>
      <c r="G2" s="69"/>
      <c r="H2" s="71"/>
    </row>
    <row r="3" spans="1:8" ht="15" customHeight="1" x14ac:dyDescent="0.25">
      <c r="A3" s="66"/>
      <c r="B3" s="53" t="s">
        <v>113</v>
      </c>
      <c r="C3" s="53" t="s">
        <v>113</v>
      </c>
      <c r="D3" s="53" t="s">
        <v>113</v>
      </c>
      <c r="E3" s="53" t="s">
        <v>113</v>
      </c>
      <c r="F3" s="53" t="s">
        <v>113</v>
      </c>
      <c r="G3" s="53" t="s">
        <v>113</v>
      </c>
      <c r="H3" s="6">
        <v>0</v>
      </c>
    </row>
    <row r="4" spans="1:8" ht="20.100000000000001" customHeight="1" x14ac:dyDescent="0.25">
      <c r="A4" s="67"/>
      <c r="B4" s="13"/>
      <c r="C4" s="14"/>
      <c r="D4" s="14"/>
      <c r="E4" s="14" t="s">
        <v>5</v>
      </c>
      <c r="F4" s="15"/>
      <c r="G4" s="16"/>
      <c r="H4" s="40">
        <f>SUM(H3:H3)</f>
        <v>0</v>
      </c>
    </row>
    <row r="5" spans="1:8" ht="20.100000000000001" customHeight="1" x14ac:dyDescent="0.25">
      <c r="A5" s="7"/>
      <c r="B5" s="8"/>
      <c r="C5" s="8"/>
      <c r="D5" s="8"/>
      <c r="E5" s="8"/>
      <c r="F5" s="12"/>
      <c r="G5" s="8"/>
      <c r="H5" s="9"/>
    </row>
  </sheetData>
  <autoFilter ref="A1:H4" xr:uid="{00000000-0009-0000-0000-000023000000}"/>
  <mergeCells count="8">
    <mergeCell ref="G1:G2"/>
    <mergeCell ref="H1:H2"/>
    <mergeCell ref="A1:A4"/>
    <mergeCell ref="B1:B2"/>
    <mergeCell ref="C1:C2"/>
    <mergeCell ref="D1:D2"/>
    <mergeCell ref="E1:E2"/>
    <mergeCell ref="F1:F2"/>
  </mergeCells>
  <pageMargins left="0.7" right="0.7" top="0.75" bottom="0.75" header="0.3" footer="0.3"/>
  <pageSetup paperSize="9" orientation="portrait" horizontalDpi="120" verticalDpi="72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H41"/>
  <sheetViews>
    <sheetView topLeftCell="A22" workbookViewId="0">
      <selection activeCell="H40" sqref="H40"/>
    </sheetView>
  </sheetViews>
  <sheetFormatPr baseColWidth="10" defaultColWidth="9.140625" defaultRowHeight="15" x14ac:dyDescent="0.25"/>
  <cols>
    <col min="1" max="1" width="16.28515625" customWidth="1"/>
    <col min="2" max="2" width="12.7109375" bestFit="1" customWidth="1"/>
    <col min="3" max="3" width="17.42578125" customWidth="1"/>
    <col min="4" max="4" width="11" customWidth="1"/>
    <col min="5" max="5" width="41.5703125" customWidth="1"/>
    <col min="6" max="6" width="52.42578125" style="1" bestFit="1" customWidth="1"/>
    <col min="7" max="7" width="16.140625" customWidth="1"/>
    <col min="8" max="8" width="14.28515625" bestFit="1" customWidth="1"/>
  </cols>
  <sheetData>
    <row r="1" spans="1:8" ht="15" customHeight="1" x14ac:dyDescent="0.25">
      <c r="A1" s="65" t="s">
        <v>54</v>
      </c>
      <c r="B1" s="72" t="s">
        <v>0</v>
      </c>
      <c r="C1" s="74" t="s">
        <v>1</v>
      </c>
      <c r="D1" s="74" t="s">
        <v>2</v>
      </c>
      <c r="E1" s="74" t="s">
        <v>3</v>
      </c>
      <c r="F1" s="74" t="s">
        <v>8</v>
      </c>
      <c r="G1" s="68" t="s">
        <v>4</v>
      </c>
      <c r="H1" s="70" t="s">
        <v>5</v>
      </c>
    </row>
    <row r="2" spans="1:8" ht="15" customHeight="1" x14ac:dyDescent="0.25">
      <c r="A2" s="66"/>
      <c r="B2" s="73"/>
      <c r="C2" s="75"/>
      <c r="D2" s="75"/>
      <c r="E2" s="75"/>
      <c r="F2" s="75"/>
      <c r="G2" s="69"/>
      <c r="H2" s="71"/>
    </row>
    <row r="3" spans="1:8" ht="20.100000000000001" customHeight="1" x14ac:dyDescent="0.25">
      <c r="A3" s="66"/>
      <c r="B3" s="2">
        <v>45322</v>
      </c>
      <c r="C3" s="3">
        <v>1256017222</v>
      </c>
      <c r="D3" s="3">
        <v>1</v>
      </c>
      <c r="E3" s="4" t="s">
        <v>185</v>
      </c>
      <c r="F3" s="19" t="s">
        <v>55</v>
      </c>
      <c r="G3" s="5" t="s">
        <v>13</v>
      </c>
      <c r="H3" s="6">
        <v>1461.59</v>
      </c>
    </row>
    <row r="4" spans="1:8" ht="20.100000000000001" customHeight="1" x14ac:dyDescent="0.25">
      <c r="A4" s="66"/>
      <c r="B4" s="2">
        <v>45322</v>
      </c>
      <c r="C4" s="3">
        <v>1256017222</v>
      </c>
      <c r="D4" s="3">
        <v>1</v>
      </c>
      <c r="E4" s="4" t="s">
        <v>185</v>
      </c>
      <c r="F4" s="19" t="s">
        <v>91</v>
      </c>
      <c r="G4" s="5" t="s">
        <v>13</v>
      </c>
      <c r="H4" s="6">
        <v>3055.5</v>
      </c>
    </row>
    <row r="5" spans="1:8" ht="20.100000000000001" customHeight="1" x14ac:dyDescent="0.25">
      <c r="A5" s="66"/>
      <c r="B5" s="2">
        <v>45322</v>
      </c>
      <c r="C5" s="3">
        <v>1256017222</v>
      </c>
      <c r="D5" s="3">
        <v>1</v>
      </c>
      <c r="E5" s="4" t="s">
        <v>185</v>
      </c>
      <c r="F5" s="19" t="s">
        <v>92</v>
      </c>
      <c r="G5" s="5" t="s">
        <v>13</v>
      </c>
      <c r="H5" s="6">
        <v>3395</v>
      </c>
    </row>
    <row r="6" spans="1:8" ht="20.100000000000001" customHeight="1" x14ac:dyDescent="0.25">
      <c r="A6" s="66"/>
      <c r="B6" s="2">
        <v>45351</v>
      </c>
      <c r="C6" s="3">
        <v>3048884158</v>
      </c>
      <c r="D6" s="3">
        <v>1</v>
      </c>
      <c r="E6" s="4" t="s">
        <v>185</v>
      </c>
      <c r="F6" s="19" t="s">
        <v>55</v>
      </c>
      <c r="G6" s="10" t="s">
        <v>13</v>
      </c>
      <c r="H6" s="11">
        <v>1461.59</v>
      </c>
    </row>
    <row r="7" spans="1:8" ht="20.100000000000001" customHeight="1" x14ac:dyDescent="0.25">
      <c r="A7" s="66"/>
      <c r="B7" s="2">
        <v>45351</v>
      </c>
      <c r="C7" s="3">
        <v>1256017222</v>
      </c>
      <c r="D7" s="3">
        <v>1</v>
      </c>
      <c r="E7" s="4" t="s">
        <v>185</v>
      </c>
      <c r="F7" s="19" t="s">
        <v>91</v>
      </c>
      <c r="G7" s="10" t="s">
        <v>13</v>
      </c>
      <c r="H7" s="11">
        <v>3055.5</v>
      </c>
    </row>
    <row r="8" spans="1:8" ht="20.100000000000001" customHeight="1" x14ac:dyDescent="0.25">
      <c r="A8" s="66"/>
      <c r="B8" s="2">
        <v>45351</v>
      </c>
      <c r="C8" s="3">
        <v>1256017222</v>
      </c>
      <c r="D8" s="3">
        <v>1</v>
      </c>
      <c r="E8" s="4" t="s">
        <v>185</v>
      </c>
      <c r="F8" s="19" t="s">
        <v>92</v>
      </c>
      <c r="G8" s="10" t="s">
        <v>13</v>
      </c>
      <c r="H8" s="11">
        <v>3395</v>
      </c>
    </row>
    <row r="9" spans="1:8" ht="20.100000000000001" customHeight="1" x14ac:dyDescent="0.25">
      <c r="A9" s="66"/>
      <c r="B9" s="2">
        <v>45351</v>
      </c>
      <c r="C9" s="3">
        <v>1256017222</v>
      </c>
      <c r="D9" s="3">
        <v>1</v>
      </c>
      <c r="E9" s="4" t="s">
        <v>185</v>
      </c>
      <c r="F9" s="19" t="s">
        <v>274</v>
      </c>
      <c r="G9" s="10" t="s">
        <v>13</v>
      </c>
      <c r="H9" s="11">
        <v>1200</v>
      </c>
    </row>
    <row r="10" spans="1:8" ht="20.100000000000001" customHeight="1" x14ac:dyDescent="0.25">
      <c r="A10" s="66"/>
      <c r="B10" s="2">
        <v>45380</v>
      </c>
      <c r="C10" s="3">
        <v>4077864874</v>
      </c>
      <c r="D10" s="3">
        <v>1</v>
      </c>
      <c r="E10" s="4" t="s">
        <v>185</v>
      </c>
      <c r="F10" s="19" t="s">
        <v>55</v>
      </c>
      <c r="G10" s="10" t="s">
        <v>13</v>
      </c>
      <c r="H10" s="11">
        <v>1461.59</v>
      </c>
    </row>
    <row r="11" spans="1:8" ht="20.100000000000001" customHeight="1" x14ac:dyDescent="0.25">
      <c r="A11" s="66"/>
      <c r="B11" s="2">
        <v>45380</v>
      </c>
      <c r="C11" s="3">
        <v>4077864874</v>
      </c>
      <c r="D11" s="3">
        <v>1</v>
      </c>
      <c r="E11" s="4" t="s">
        <v>185</v>
      </c>
      <c r="F11" s="19" t="s">
        <v>91</v>
      </c>
      <c r="G11" s="10" t="s">
        <v>13</v>
      </c>
      <c r="H11" s="11">
        <v>3055.5</v>
      </c>
    </row>
    <row r="12" spans="1:8" ht="20.100000000000001" customHeight="1" x14ac:dyDescent="0.25">
      <c r="A12" s="66"/>
      <c r="B12" s="2">
        <v>45380</v>
      </c>
      <c r="C12" s="3">
        <v>4077864874</v>
      </c>
      <c r="D12" s="3">
        <v>1</v>
      </c>
      <c r="E12" s="4" t="s">
        <v>185</v>
      </c>
      <c r="F12" s="19" t="s">
        <v>92</v>
      </c>
      <c r="G12" s="10" t="s">
        <v>13</v>
      </c>
      <c r="H12" s="11">
        <v>3395</v>
      </c>
    </row>
    <row r="13" spans="1:8" ht="20.100000000000001" customHeight="1" x14ac:dyDescent="0.25">
      <c r="A13" s="66"/>
      <c r="B13" s="2">
        <v>45412</v>
      </c>
      <c r="C13" s="3">
        <v>3258271372</v>
      </c>
      <c r="D13" s="3">
        <v>1</v>
      </c>
      <c r="E13" s="4" t="s">
        <v>185</v>
      </c>
      <c r="F13" s="19" t="s">
        <v>55</v>
      </c>
      <c r="G13" s="10" t="s">
        <v>13</v>
      </c>
      <c r="H13" s="11">
        <v>1461.59</v>
      </c>
    </row>
    <row r="14" spans="1:8" ht="20.100000000000001" customHeight="1" x14ac:dyDescent="0.25">
      <c r="A14" s="66"/>
      <c r="B14" s="2">
        <v>45412</v>
      </c>
      <c r="C14" s="3">
        <v>3258271372</v>
      </c>
      <c r="D14" s="3">
        <v>1</v>
      </c>
      <c r="E14" s="4" t="s">
        <v>185</v>
      </c>
      <c r="F14" s="19" t="s">
        <v>91</v>
      </c>
      <c r="G14" s="10" t="s">
        <v>13</v>
      </c>
      <c r="H14" s="11">
        <v>3055.5</v>
      </c>
    </row>
    <row r="15" spans="1:8" ht="20.100000000000001" customHeight="1" x14ac:dyDescent="0.25">
      <c r="A15" s="66"/>
      <c r="B15" s="2">
        <v>45412</v>
      </c>
      <c r="C15" s="3">
        <v>3258271372</v>
      </c>
      <c r="D15" s="3">
        <v>1</v>
      </c>
      <c r="E15" s="4" t="s">
        <v>185</v>
      </c>
      <c r="F15" s="19" t="s">
        <v>92</v>
      </c>
      <c r="G15" s="10" t="s">
        <v>13</v>
      </c>
      <c r="H15" s="11">
        <v>3395</v>
      </c>
    </row>
    <row r="16" spans="1:8" ht="20.100000000000001" customHeight="1" x14ac:dyDescent="0.25">
      <c r="A16" s="66"/>
      <c r="B16" s="2">
        <v>45443</v>
      </c>
      <c r="C16" s="3">
        <v>2781891602</v>
      </c>
      <c r="D16" s="3">
        <v>1</v>
      </c>
      <c r="E16" s="19" t="s">
        <v>635</v>
      </c>
      <c r="F16" s="19" t="s">
        <v>636</v>
      </c>
      <c r="G16" s="10" t="s">
        <v>13</v>
      </c>
      <c r="H16" s="11">
        <v>1461.59</v>
      </c>
    </row>
    <row r="17" spans="1:8" ht="20.100000000000001" customHeight="1" x14ac:dyDescent="0.25">
      <c r="A17" s="66"/>
      <c r="B17" s="2">
        <v>45443</v>
      </c>
      <c r="C17" s="3">
        <v>2781891602</v>
      </c>
      <c r="D17" s="3">
        <v>1</v>
      </c>
      <c r="E17" s="19" t="s">
        <v>635</v>
      </c>
      <c r="F17" s="19" t="s">
        <v>91</v>
      </c>
      <c r="G17" s="10" t="s">
        <v>13</v>
      </c>
      <c r="H17" s="11">
        <v>3055.5</v>
      </c>
    </row>
    <row r="18" spans="1:8" ht="20.100000000000001" customHeight="1" x14ac:dyDescent="0.25">
      <c r="A18" s="66"/>
      <c r="B18" s="2">
        <v>45443</v>
      </c>
      <c r="C18" s="3">
        <v>2781891602</v>
      </c>
      <c r="D18" s="3">
        <v>1</v>
      </c>
      <c r="E18" s="19" t="s">
        <v>635</v>
      </c>
      <c r="F18" s="19" t="s">
        <v>92</v>
      </c>
      <c r="G18" s="10" t="s">
        <v>13</v>
      </c>
      <c r="H18" s="11">
        <v>3395</v>
      </c>
    </row>
    <row r="19" spans="1:8" ht="20.100000000000001" customHeight="1" x14ac:dyDescent="0.25">
      <c r="A19" s="66"/>
      <c r="B19" s="2">
        <v>45471</v>
      </c>
      <c r="C19" s="3">
        <v>2664841682</v>
      </c>
      <c r="D19" s="3">
        <v>1</v>
      </c>
      <c r="E19" s="19" t="s">
        <v>635</v>
      </c>
      <c r="F19" s="19" t="s">
        <v>636</v>
      </c>
      <c r="G19" s="10" t="s">
        <v>13</v>
      </c>
      <c r="H19" s="11">
        <v>1461.59</v>
      </c>
    </row>
    <row r="20" spans="1:8" ht="20.100000000000001" customHeight="1" x14ac:dyDescent="0.25">
      <c r="A20" s="66"/>
      <c r="B20" s="2">
        <v>45471</v>
      </c>
      <c r="C20" s="3">
        <v>2664841682</v>
      </c>
      <c r="D20" s="3">
        <v>1</v>
      </c>
      <c r="E20" s="19" t="s">
        <v>635</v>
      </c>
      <c r="F20" s="19" t="s">
        <v>91</v>
      </c>
      <c r="G20" s="10" t="s">
        <v>13</v>
      </c>
      <c r="H20" s="11">
        <v>3055.5</v>
      </c>
    </row>
    <row r="21" spans="1:8" ht="20.100000000000001" customHeight="1" x14ac:dyDescent="0.25">
      <c r="A21" s="66"/>
      <c r="B21" s="2">
        <v>45471</v>
      </c>
      <c r="C21" s="3">
        <v>2664841682</v>
      </c>
      <c r="D21" s="3">
        <v>1</v>
      </c>
      <c r="E21" s="19" t="s">
        <v>635</v>
      </c>
      <c r="F21" s="19" t="s">
        <v>92</v>
      </c>
      <c r="G21" s="10" t="s">
        <v>13</v>
      </c>
      <c r="H21" s="11">
        <v>3395</v>
      </c>
    </row>
    <row r="22" spans="1:8" ht="20.100000000000001" customHeight="1" x14ac:dyDescent="0.25">
      <c r="A22" s="66"/>
      <c r="B22" s="2">
        <v>45504</v>
      </c>
      <c r="C22" s="3">
        <v>1887849456</v>
      </c>
      <c r="D22" s="3">
        <v>1</v>
      </c>
      <c r="E22" s="4" t="s">
        <v>635</v>
      </c>
      <c r="F22" s="19" t="s">
        <v>636</v>
      </c>
      <c r="G22" s="5" t="s">
        <v>13</v>
      </c>
      <c r="H22" s="6">
        <v>1461.59</v>
      </c>
    </row>
    <row r="23" spans="1:8" ht="20.100000000000001" customHeight="1" x14ac:dyDescent="0.25">
      <c r="A23" s="66"/>
      <c r="B23" s="2">
        <v>45504</v>
      </c>
      <c r="C23" s="3">
        <v>1887849456</v>
      </c>
      <c r="D23" s="3">
        <v>1</v>
      </c>
      <c r="E23" s="4" t="s">
        <v>635</v>
      </c>
      <c r="F23" s="19" t="s">
        <v>91</v>
      </c>
      <c r="G23" s="5" t="s">
        <v>13</v>
      </c>
      <c r="H23" s="6">
        <v>3055.5</v>
      </c>
    </row>
    <row r="24" spans="1:8" ht="20.100000000000001" customHeight="1" x14ac:dyDescent="0.25">
      <c r="A24" s="66"/>
      <c r="B24" s="2">
        <v>45504</v>
      </c>
      <c r="C24" s="3">
        <v>1887849456</v>
      </c>
      <c r="D24" s="3">
        <v>1</v>
      </c>
      <c r="E24" s="4" t="s">
        <v>635</v>
      </c>
      <c r="F24" s="19" t="s">
        <v>92</v>
      </c>
      <c r="G24" s="5" t="s">
        <v>13</v>
      </c>
      <c r="H24" s="6">
        <v>3395</v>
      </c>
    </row>
    <row r="25" spans="1:8" ht="20.100000000000001" customHeight="1" x14ac:dyDescent="0.25">
      <c r="A25" s="66"/>
      <c r="B25" s="2">
        <v>45534</v>
      </c>
      <c r="C25" s="3">
        <v>4201335945</v>
      </c>
      <c r="D25" s="3">
        <v>1</v>
      </c>
      <c r="E25" s="4" t="s">
        <v>635</v>
      </c>
      <c r="F25" s="19" t="s">
        <v>636</v>
      </c>
      <c r="G25" s="5" t="s">
        <v>13</v>
      </c>
      <c r="H25" s="6">
        <v>1461.59</v>
      </c>
    </row>
    <row r="26" spans="1:8" ht="20.100000000000001" customHeight="1" x14ac:dyDescent="0.25">
      <c r="A26" s="66"/>
      <c r="B26" s="2">
        <v>45534</v>
      </c>
      <c r="C26" s="3">
        <v>4201335945</v>
      </c>
      <c r="D26" s="3">
        <v>1</v>
      </c>
      <c r="E26" s="4" t="s">
        <v>635</v>
      </c>
      <c r="F26" s="19" t="s">
        <v>91</v>
      </c>
      <c r="G26" s="5" t="s">
        <v>13</v>
      </c>
      <c r="H26" s="6">
        <v>3055.5</v>
      </c>
    </row>
    <row r="27" spans="1:8" ht="20.100000000000001" customHeight="1" x14ac:dyDescent="0.25">
      <c r="A27" s="66"/>
      <c r="B27" s="2">
        <v>45534</v>
      </c>
      <c r="C27" s="3">
        <v>4201335945</v>
      </c>
      <c r="D27" s="3">
        <v>1</v>
      </c>
      <c r="E27" s="4" t="s">
        <v>635</v>
      </c>
      <c r="F27" s="19" t="s">
        <v>92</v>
      </c>
      <c r="G27" s="5" t="s">
        <v>13</v>
      </c>
      <c r="H27" s="6">
        <v>3395</v>
      </c>
    </row>
    <row r="28" spans="1:8" ht="20.100000000000001" customHeight="1" x14ac:dyDescent="0.25">
      <c r="A28" s="66"/>
      <c r="B28" s="2">
        <v>45565</v>
      </c>
      <c r="C28" s="3">
        <v>86984251</v>
      </c>
      <c r="D28" s="3">
        <v>1</v>
      </c>
      <c r="E28" s="4" t="s">
        <v>635</v>
      </c>
      <c r="F28" s="19" t="s">
        <v>636</v>
      </c>
      <c r="G28" s="5" t="s">
        <v>13</v>
      </c>
      <c r="H28" s="6">
        <v>1461.59</v>
      </c>
    </row>
    <row r="29" spans="1:8" ht="20.100000000000001" customHeight="1" x14ac:dyDescent="0.25">
      <c r="A29" s="66"/>
      <c r="B29" s="2">
        <v>45565</v>
      </c>
      <c r="C29" s="3">
        <v>86984251</v>
      </c>
      <c r="D29" s="3">
        <v>1</v>
      </c>
      <c r="E29" s="4" t="s">
        <v>635</v>
      </c>
      <c r="F29" s="19" t="s">
        <v>91</v>
      </c>
      <c r="G29" s="5" t="s">
        <v>13</v>
      </c>
      <c r="H29" s="6">
        <v>3055.5</v>
      </c>
    </row>
    <row r="30" spans="1:8" ht="20.100000000000001" customHeight="1" x14ac:dyDescent="0.25">
      <c r="A30" s="66"/>
      <c r="B30" s="2">
        <v>45565</v>
      </c>
      <c r="C30" s="3">
        <v>86984251</v>
      </c>
      <c r="D30" s="3">
        <v>1</v>
      </c>
      <c r="E30" s="4" t="s">
        <v>635</v>
      </c>
      <c r="F30" s="19" t="s">
        <v>92</v>
      </c>
      <c r="G30" s="5" t="s">
        <v>13</v>
      </c>
      <c r="H30" s="6">
        <v>3395</v>
      </c>
    </row>
    <row r="31" spans="1:8" ht="20.100000000000001" customHeight="1" x14ac:dyDescent="0.25">
      <c r="A31" s="66"/>
      <c r="B31" s="2">
        <v>45596</v>
      </c>
      <c r="C31" s="3">
        <v>1178026298</v>
      </c>
      <c r="D31" s="3">
        <v>1</v>
      </c>
      <c r="E31" s="4" t="s">
        <v>635</v>
      </c>
      <c r="F31" s="19" t="s">
        <v>636</v>
      </c>
      <c r="G31" s="5" t="s">
        <v>13</v>
      </c>
      <c r="H31" s="6">
        <v>1461.59</v>
      </c>
    </row>
    <row r="32" spans="1:8" ht="20.100000000000001" customHeight="1" x14ac:dyDescent="0.25">
      <c r="A32" s="66"/>
      <c r="B32" s="2">
        <v>45596</v>
      </c>
      <c r="C32" s="3">
        <v>1178026298</v>
      </c>
      <c r="D32" s="3">
        <v>1</v>
      </c>
      <c r="E32" s="4" t="s">
        <v>635</v>
      </c>
      <c r="F32" s="19" t="s">
        <v>91</v>
      </c>
      <c r="G32" s="5" t="s">
        <v>13</v>
      </c>
      <c r="H32" s="6">
        <v>3055.5</v>
      </c>
    </row>
    <row r="33" spans="1:8" ht="20.100000000000001" customHeight="1" x14ac:dyDescent="0.25">
      <c r="A33" s="66"/>
      <c r="B33" s="2">
        <v>45596</v>
      </c>
      <c r="C33" s="3">
        <v>1178026298</v>
      </c>
      <c r="D33" s="3">
        <v>1</v>
      </c>
      <c r="E33" s="4" t="s">
        <v>635</v>
      </c>
      <c r="F33" s="19" t="s">
        <v>92</v>
      </c>
      <c r="G33" s="5" t="s">
        <v>13</v>
      </c>
      <c r="H33" s="6">
        <v>3395</v>
      </c>
    </row>
    <row r="34" spans="1:8" ht="20.100000000000001" customHeight="1" x14ac:dyDescent="0.25">
      <c r="A34" s="66"/>
      <c r="B34" s="2">
        <v>45625</v>
      </c>
      <c r="C34" s="3">
        <v>718358649</v>
      </c>
      <c r="D34" s="3">
        <v>1</v>
      </c>
      <c r="E34" s="4" t="s">
        <v>635</v>
      </c>
      <c r="F34" s="19" t="s">
        <v>636</v>
      </c>
      <c r="G34" s="5" t="s">
        <v>13</v>
      </c>
      <c r="H34" s="6">
        <v>1461.59</v>
      </c>
    </row>
    <row r="35" spans="1:8" ht="20.100000000000001" customHeight="1" x14ac:dyDescent="0.25">
      <c r="A35" s="66"/>
      <c r="B35" s="2">
        <v>45625</v>
      </c>
      <c r="C35" s="3">
        <v>718358649</v>
      </c>
      <c r="D35" s="3">
        <v>1</v>
      </c>
      <c r="E35" s="4" t="s">
        <v>635</v>
      </c>
      <c r="F35" s="19" t="s">
        <v>91</v>
      </c>
      <c r="G35" s="5" t="s">
        <v>13</v>
      </c>
      <c r="H35" s="6">
        <v>3055.5</v>
      </c>
    </row>
    <row r="36" spans="1:8" ht="20.100000000000001" customHeight="1" x14ac:dyDescent="0.25">
      <c r="A36" s="66"/>
      <c r="B36" s="2">
        <v>45625</v>
      </c>
      <c r="C36" s="3">
        <v>718358649</v>
      </c>
      <c r="D36" s="3">
        <v>1</v>
      </c>
      <c r="E36" s="4" t="s">
        <v>635</v>
      </c>
      <c r="F36" s="19" t="s">
        <v>92</v>
      </c>
      <c r="G36" s="5" t="s">
        <v>13</v>
      </c>
      <c r="H36" s="6">
        <v>3395</v>
      </c>
    </row>
    <row r="37" spans="1:8" ht="20.100000000000001" customHeight="1" x14ac:dyDescent="0.25">
      <c r="A37" s="66"/>
      <c r="B37" s="2">
        <v>45644</v>
      </c>
      <c r="C37" s="3">
        <v>2634170552</v>
      </c>
      <c r="D37" s="3">
        <v>1</v>
      </c>
      <c r="E37" s="4" t="s">
        <v>635</v>
      </c>
      <c r="F37" s="19" t="s">
        <v>636</v>
      </c>
      <c r="G37" s="5" t="s">
        <v>13</v>
      </c>
      <c r="H37" s="6">
        <v>1461.59</v>
      </c>
    </row>
    <row r="38" spans="1:8" ht="20.100000000000001" customHeight="1" x14ac:dyDescent="0.25">
      <c r="A38" s="66"/>
      <c r="B38" s="2">
        <v>45644</v>
      </c>
      <c r="C38" s="3">
        <v>2634170552</v>
      </c>
      <c r="D38" s="3">
        <v>1</v>
      </c>
      <c r="E38" s="4" t="s">
        <v>635</v>
      </c>
      <c r="F38" s="19" t="s">
        <v>91</v>
      </c>
      <c r="G38" s="5" t="s">
        <v>13</v>
      </c>
      <c r="H38" s="6">
        <v>3055.5</v>
      </c>
    </row>
    <row r="39" spans="1:8" ht="20.100000000000001" customHeight="1" x14ac:dyDescent="0.25">
      <c r="A39" s="66"/>
      <c r="B39" s="2">
        <v>45644</v>
      </c>
      <c r="C39" s="3">
        <v>2634170552</v>
      </c>
      <c r="D39" s="3">
        <v>1</v>
      </c>
      <c r="E39" s="4" t="s">
        <v>635</v>
      </c>
      <c r="F39" s="19" t="s">
        <v>92</v>
      </c>
      <c r="G39" s="5" t="s">
        <v>13</v>
      </c>
      <c r="H39" s="6">
        <v>3395</v>
      </c>
    </row>
    <row r="40" spans="1:8" ht="20.100000000000001" customHeight="1" x14ac:dyDescent="0.25">
      <c r="A40" s="67"/>
      <c r="B40" s="13"/>
      <c r="C40" s="14"/>
      <c r="D40" s="14"/>
      <c r="E40" s="14" t="s">
        <v>5</v>
      </c>
      <c r="F40" s="15"/>
      <c r="G40" s="16"/>
      <c r="H40" s="17">
        <f>SUM(H3:H39)</f>
        <v>96145.079999999973</v>
      </c>
    </row>
    <row r="41" spans="1:8" ht="20.100000000000001" customHeight="1" x14ac:dyDescent="0.25">
      <c r="A41" s="7"/>
      <c r="B41" s="8"/>
      <c r="C41" s="8"/>
      <c r="D41" s="8"/>
      <c r="E41" s="8"/>
      <c r="F41" s="12"/>
      <c r="G41" s="8"/>
      <c r="H41" s="9"/>
    </row>
  </sheetData>
  <mergeCells count="8">
    <mergeCell ref="G1:G2"/>
    <mergeCell ref="H1:H2"/>
    <mergeCell ref="A1:A40"/>
    <mergeCell ref="B1:B2"/>
    <mergeCell ref="C1:C2"/>
    <mergeCell ref="D1:D2"/>
    <mergeCell ref="E1:E2"/>
    <mergeCell ref="F1:F2"/>
  </mergeCells>
  <pageMargins left="0.7" right="0.7" top="0.75" bottom="0.75" header="0.3" footer="0.3"/>
  <pageSetup paperSize="9" orientation="portrait" horizontalDpi="120" verticalDpi="72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H5"/>
  <sheetViews>
    <sheetView workbookViewId="0">
      <selection activeCell="B3" sqref="B3:H3"/>
    </sheetView>
  </sheetViews>
  <sheetFormatPr baseColWidth="10" defaultColWidth="9.140625" defaultRowHeight="15" x14ac:dyDescent="0.25"/>
  <cols>
    <col min="1" max="1" width="16.28515625" customWidth="1"/>
    <col min="2" max="2" width="12.7109375" bestFit="1" customWidth="1"/>
    <col min="3" max="3" width="17.42578125" customWidth="1"/>
    <col min="4" max="4" width="11" customWidth="1"/>
    <col min="5" max="5" width="32.42578125" bestFit="1" customWidth="1"/>
    <col min="6" max="6" width="52.42578125" style="1" bestFit="1" customWidth="1"/>
    <col min="7" max="7" width="16.140625" customWidth="1"/>
    <col min="8" max="8" width="14.28515625" bestFit="1" customWidth="1"/>
  </cols>
  <sheetData>
    <row r="1" spans="1:8" ht="15" customHeight="1" x14ac:dyDescent="0.25">
      <c r="A1" s="65" t="s">
        <v>53</v>
      </c>
      <c r="B1" s="72" t="s">
        <v>0</v>
      </c>
      <c r="C1" s="74" t="s">
        <v>1</v>
      </c>
      <c r="D1" s="74" t="s">
        <v>2</v>
      </c>
      <c r="E1" s="74" t="s">
        <v>3</v>
      </c>
      <c r="F1" s="74" t="s">
        <v>8</v>
      </c>
      <c r="G1" s="68" t="s">
        <v>4</v>
      </c>
      <c r="H1" s="70" t="s">
        <v>5</v>
      </c>
    </row>
    <row r="2" spans="1:8" ht="15" customHeight="1" x14ac:dyDescent="0.25">
      <c r="A2" s="66"/>
      <c r="B2" s="73"/>
      <c r="C2" s="75"/>
      <c r="D2" s="75"/>
      <c r="E2" s="75"/>
      <c r="F2" s="75"/>
      <c r="G2" s="69"/>
      <c r="H2" s="71"/>
    </row>
    <row r="3" spans="1:8" ht="20.100000000000001" customHeight="1" x14ac:dyDescent="0.25">
      <c r="A3" s="66"/>
      <c r="B3" s="2">
        <v>45372</v>
      </c>
      <c r="C3" s="3">
        <v>3317254792</v>
      </c>
      <c r="D3" s="3">
        <v>1</v>
      </c>
      <c r="E3" s="4" t="s">
        <v>353</v>
      </c>
      <c r="F3" s="19" t="s">
        <v>354</v>
      </c>
      <c r="G3" s="10" t="s">
        <v>6</v>
      </c>
      <c r="H3" s="11">
        <v>1000</v>
      </c>
    </row>
    <row r="4" spans="1:8" ht="20.100000000000001" customHeight="1" x14ac:dyDescent="0.25">
      <c r="A4" s="67"/>
      <c r="B4" s="13"/>
      <c r="C4" s="14"/>
      <c r="D4" s="14"/>
      <c r="E4" s="14" t="s">
        <v>5</v>
      </c>
      <c r="F4" s="15"/>
      <c r="G4" s="16"/>
      <c r="H4" s="40">
        <f>SUM(H3:H3)</f>
        <v>1000</v>
      </c>
    </row>
    <row r="5" spans="1:8" ht="20.100000000000001" customHeight="1" x14ac:dyDescent="0.25">
      <c r="A5" s="7"/>
      <c r="B5" s="8"/>
      <c r="C5" s="8"/>
      <c r="D5" s="8"/>
      <c r="E5" s="8"/>
      <c r="F5" s="12"/>
      <c r="G5" s="8"/>
      <c r="H5" s="9"/>
    </row>
  </sheetData>
  <mergeCells count="8">
    <mergeCell ref="G1:G2"/>
    <mergeCell ref="H1:H2"/>
    <mergeCell ref="A1:A4"/>
    <mergeCell ref="B1:B2"/>
    <mergeCell ref="C1:C2"/>
    <mergeCell ref="D1:D2"/>
    <mergeCell ref="E1:E2"/>
    <mergeCell ref="F1:F2"/>
  </mergeCells>
  <pageMargins left="0.7" right="0.7" top="0.75" bottom="0.75" header="0.3" footer="0.3"/>
  <pageSetup paperSize="9" orientation="portrait" horizontalDpi="120" verticalDpi="72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H9"/>
  <sheetViews>
    <sheetView workbookViewId="0">
      <selection activeCell="H3" sqref="H3"/>
    </sheetView>
  </sheetViews>
  <sheetFormatPr baseColWidth="10" defaultColWidth="9.140625" defaultRowHeight="15" x14ac:dyDescent="0.25"/>
  <cols>
    <col min="1" max="1" width="20.85546875" customWidth="1"/>
    <col min="2" max="2" width="12.7109375" bestFit="1" customWidth="1"/>
    <col min="3" max="3" width="17.42578125" customWidth="1"/>
    <col min="4" max="4" width="11" customWidth="1"/>
    <col min="5" max="5" width="32.42578125" bestFit="1" customWidth="1"/>
    <col min="6" max="6" width="52.42578125" style="1" bestFit="1" customWidth="1"/>
    <col min="7" max="7" width="16.140625" customWidth="1"/>
    <col min="8" max="8" width="14.28515625" bestFit="1" customWidth="1"/>
  </cols>
  <sheetData>
    <row r="1" spans="1:8" ht="15" customHeight="1" x14ac:dyDescent="0.25">
      <c r="A1" s="76" t="s">
        <v>82</v>
      </c>
      <c r="B1" s="72" t="s">
        <v>0</v>
      </c>
      <c r="C1" s="74" t="s">
        <v>1</v>
      </c>
      <c r="D1" s="74" t="s">
        <v>2</v>
      </c>
      <c r="E1" s="74" t="s">
        <v>3</v>
      </c>
      <c r="F1" s="74" t="s">
        <v>8</v>
      </c>
      <c r="G1" s="68" t="s">
        <v>4</v>
      </c>
      <c r="H1" s="70" t="s">
        <v>5</v>
      </c>
    </row>
    <row r="2" spans="1:8" ht="15" customHeight="1" x14ac:dyDescent="0.25">
      <c r="A2" s="77"/>
      <c r="B2" s="73"/>
      <c r="C2" s="75"/>
      <c r="D2" s="75"/>
      <c r="E2" s="75"/>
      <c r="F2" s="75"/>
      <c r="G2" s="69"/>
      <c r="H2" s="71"/>
    </row>
    <row r="3" spans="1:8" ht="15" customHeight="1" x14ac:dyDescent="0.25">
      <c r="A3" s="77"/>
      <c r="B3" s="2">
        <v>45324</v>
      </c>
      <c r="C3" s="3">
        <v>318851396</v>
      </c>
      <c r="D3" s="3">
        <v>1</v>
      </c>
      <c r="E3" s="4" t="s">
        <v>275</v>
      </c>
      <c r="F3" s="19" t="s">
        <v>276</v>
      </c>
      <c r="G3" s="10" t="s">
        <v>6</v>
      </c>
      <c r="H3" s="11">
        <v>1500</v>
      </c>
    </row>
    <row r="4" spans="1:8" ht="15" customHeight="1" x14ac:dyDescent="0.25">
      <c r="A4" s="77"/>
      <c r="B4" s="2"/>
      <c r="C4" s="3"/>
      <c r="D4" s="3"/>
      <c r="E4" s="4"/>
      <c r="F4" s="19"/>
      <c r="G4" s="10"/>
      <c r="H4" s="11"/>
    </row>
    <row r="5" spans="1:8" ht="15" customHeight="1" x14ac:dyDescent="0.25">
      <c r="A5" s="77"/>
      <c r="B5" s="2"/>
      <c r="C5" s="3"/>
      <c r="D5" s="3"/>
      <c r="E5" s="4"/>
      <c r="F5" s="19"/>
      <c r="G5" s="10"/>
      <c r="H5" s="11"/>
    </row>
    <row r="6" spans="1:8" ht="15" customHeight="1" x14ac:dyDescent="0.25">
      <c r="A6" s="77"/>
      <c r="B6" s="2"/>
      <c r="C6" s="3"/>
      <c r="D6" s="3"/>
      <c r="E6" s="4"/>
      <c r="F6" s="19"/>
      <c r="G6" s="10"/>
      <c r="H6" s="11"/>
    </row>
    <row r="7" spans="1:8" ht="15" customHeight="1" x14ac:dyDescent="0.25">
      <c r="A7" s="77"/>
      <c r="B7" s="2"/>
      <c r="C7" s="3"/>
      <c r="D7" s="3"/>
      <c r="E7" s="4"/>
      <c r="F7" s="28"/>
      <c r="G7" s="5"/>
      <c r="H7" s="6"/>
    </row>
    <row r="8" spans="1:8" ht="20.100000000000001" customHeight="1" x14ac:dyDescent="0.25">
      <c r="A8" s="78"/>
      <c r="B8" s="13"/>
      <c r="C8" s="14"/>
      <c r="D8" s="14"/>
      <c r="E8" s="14" t="s">
        <v>5</v>
      </c>
      <c r="F8" s="15"/>
      <c r="G8" s="16"/>
      <c r="H8" s="40">
        <f>SUM(H3:H7)</f>
        <v>1500</v>
      </c>
    </row>
    <row r="9" spans="1:8" ht="20.100000000000001" customHeight="1" x14ac:dyDescent="0.25">
      <c r="A9" s="7"/>
      <c r="B9" s="8"/>
      <c r="C9" s="8"/>
      <c r="D9" s="8"/>
      <c r="E9" s="8"/>
      <c r="F9" s="12"/>
      <c r="G9" s="8"/>
      <c r="H9" s="9"/>
    </row>
  </sheetData>
  <autoFilter ref="A1:H8" xr:uid="{00000000-0009-0000-0000-000024000000}"/>
  <mergeCells count="8">
    <mergeCell ref="G1:G2"/>
    <mergeCell ref="H1:H2"/>
    <mergeCell ref="A1:A8"/>
    <mergeCell ref="B1:B2"/>
    <mergeCell ref="C1:C2"/>
    <mergeCell ref="D1:D2"/>
    <mergeCell ref="E1:E2"/>
    <mergeCell ref="F1:F2"/>
  </mergeCells>
  <pageMargins left="0.7" right="0.7" top="0.75" bottom="0.75" header="0.3" footer="0.3"/>
  <pageSetup paperSize="9" orientation="portrait" horizontalDpi="120" verticalDpi="72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H6"/>
  <sheetViews>
    <sheetView workbookViewId="0">
      <selection activeCell="B3" sqref="B3:H3"/>
    </sheetView>
  </sheetViews>
  <sheetFormatPr baseColWidth="10" defaultColWidth="9.140625" defaultRowHeight="15" x14ac:dyDescent="0.25"/>
  <cols>
    <col min="1" max="1" width="24.140625" customWidth="1"/>
    <col min="2" max="2" width="12.7109375" bestFit="1" customWidth="1"/>
    <col min="3" max="3" width="17.42578125" customWidth="1"/>
    <col min="4" max="4" width="11" customWidth="1"/>
    <col min="5" max="5" width="32.42578125" bestFit="1" customWidth="1"/>
    <col min="6" max="6" width="52.140625" style="1" customWidth="1"/>
    <col min="7" max="7" width="16.140625" customWidth="1"/>
    <col min="8" max="8" width="14.28515625" bestFit="1" customWidth="1"/>
  </cols>
  <sheetData>
    <row r="1" spans="1:8" ht="15" customHeight="1" x14ac:dyDescent="0.25">
      <c r="A1" s="76" t="s">
        <v>67</v>
      </c>
      <c r="B1" s="72" t="s">
        <v>0</v>
      </c>
      <c r="C1" s="74" t="s">
        <v>1</v>
      </c>
      <c r="D1" s="74" t="s">
        <v>2</v>
      </c>
      <c r="E1" s="74" t="s">
        <v>3</v>
      </c>
      <c r="F1" s="74" t="s">
        <v>8</v>
      </c>
      <c r="G1" s="68" t="s">
        <v>4</v>
      </c>
      <c r="H1" s="70" t="s">
        <v>5</v>
      </c>
    </row>
    <row r="2" spans="1:8" ht="15" customHeight="1" x14ac:dyDescent="0.25">
      <c r="A2" s="77"/>
      <c r="B2" s="73"/>
      <c r="C2" s="75"/>
      <c r="D2" s="75"/>
      <c r="E2" s="75"/>
      <c r="F2" s="75"/>
      <c r="G2" s="69"/>
      <c r="H2" s="71"/>
    </row>
    <row r="3" spans="1:8" ht="20.100000000000001" customHeight="1" x14ac:dyDescent="0.25">
      <c r="A3" s="77"/>
      <c r="B3" s="2">
        <v>45426</v>
      </c>
      <c r="C3" s="3">
        <v>1115768733</v>
      </c>
      <c r="D3" s="3">
        <v>1</v>
      </c>
      <c r="E3" s="4" t="s">
        <v>248</v>
      </c>
      <c r="F3" s="19" t="s">
        <v>67</v>
      </c>
      <c r="G3" s="5" t="s">
        <v>6</v>
      </c>
      <c r="H3" s="6">
        <v>350</v>
      </c>
    </row>
    <row r="4" spans="1:8" ht="20.100000000000001" customHeight="1" x14ac:dyDescent="0.25">
      <c r="A4" s="77"/>
      <c r="B4" s="2"/>
      <c r="C4" s="3"/>
      <c r="D4" s="3"/>
      <c r="E4" s="4"/>
      <c r="F4" s="19"/>
      <c r="G4" s="5"/>
      <c r="H4" s="6"/>
    </row>
    <row r="5" spans="1:8" ht="20.100000000000001" customHeight="1" x14ac:dyDescent="0.25">
      <c r="A5" s="78"/>
      <c r="B5" s="13"/>
      <c r="C5" s="14"/>
      <c r="D5" s="14"/>
      <c r="E5" s="14" t="s">
        <v>5</v>
      </c>
      <c r="F5" s="15"/>
      <c r="G5" s="16"/>
      <c r="H5" s="17">
        <f>SUM(H3:H4)</f>
        <v>350</v>
      </c>
    </row>
    <row r="6" spans="1:8" ht="20.100000000000001" customHeight="1" x14ac:dyDescent="0.25">
      <c r="A6" s="7"/>
      <c r="B6" s="8"/>
      <c r="C6" s="8"/>
      <c r="D6" s="8"/>
      <c r="E6" s="8"/>
      <c r="F6" s="12"/>
      <c r="G6" s="8"/>
      <c r="H6" s="9"/>
    </row>
  </sheetData>
  <mergeCells count="8">
    <mergeCell ref="G1:G2"/>
    <mergeCell ref="H1:H2"/>
    <mergeCell ref="A1:A5"/>
    <mergeCell ref="B1:B2"/>
    <mergeCell ref="C1:C2"/>
    <mergeCell ref="D1:D2"/>
    <mergeCell ref="E1:E2"/>
    <mergeCell ref="F1:F2"/>
  </mergeCells>
  <pageMargins left="0.7" right="0.7" top="0.75" bottom="0.75" header="0.3" footer="0.3"/>
  <pageSetup paperSize="9" orientation="portrait" horizontalDpi="120" verticalDpi="72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H5"/>
  <sheetViews>
    <sheetView workbookViewId="0">
      <selection activeCell="H4" sqref="H4"/>
    </sheetView>
  </sheetViews>
  <sheetFormatPr baseColWidth="10" defaultColWidth="9.140625" defaultRowHeight="15" x14ac:dyDescent="0.25"/>
  <cols>
    <col min="1" max="1" width="24.140625" customWidth="1"/>
    <col min="2" max="2" width="12.7109375" bestFit="1" customWidth="1"/>
    <col min="3" max="3" width="17.42578125" customWidth="1"/>
    <col min="4" max="4" width="11" customWidth="1"/>
    <col min="5" max="5" width="32.42578125" bestFit="1" customWidth="1"/>
    <col min="6" max="6" width="52.140625" style="1" customWidth="1"/>
    <col min="7" max="7" width="16.140625" customWidth="1"/>
    <col min="8" max="8" width="14.28515625" bestFit="1" customWidth="1"/>
  </cols>
  <sheetData>
    <row r="1" spans="1:8" ht="15" customHeight="1" x14ac:dyDescent="0.25">
      <c r="A1" s="76" t="s">
        <v>68</v>
      </c>
      <c r="B1" s="72" t="s">
        <v>0</v>
      </c>
      <c r="C1" s="74" t="s">
        <v>1</v>
      </c>
      <c r="D1" s="74" t="s">
        <v>2</v>
      </c>
      <c r="E1" s="74" t="s">
        <v>3</v>
      </c>
      <c r="F1" s="74" t="s">
        <v>8</v>
      </c>
      <c r="G1" s="68" t="s">
        <v>4</v>
      </c>
      <c r="H1" s="70" t="s">
        <v>5</v>
      </c>
    </row>
    <row r="2" spans="1:8" ht="15" customHeight="1" x14ac:dyDescent="0.25">
      <c r="A2" s="77"/>
      <c r="B2" s="73"/>
      <c r="C2" s="75"/>
      <c r="D2" s="75"/>
      <c r="E2" s="75"/>
      <c r="F2" s="75"/>
      <c r="G2" s="69"/>
      <c r="H2" s="71"/>
    </row>
    <row r="3" spans="1:8" ht="20.100000000000001" customHeight="1" x14ac:dyDescent="0.25">
      <c r="A3" s="77"/>
      <c r="B3" s="53" t="s">
        <v>113</v>
      </c>
      <c r="C3" s="53" t="s">
        <v>113</v>
      </c>
      <c r="D3" s="53" t="s">
        <v>113</v>
      </c>
      <c r="E3" s="53" t="s">
        <v>113</v>
      </c>
      <c r="F3" s="53" t="s">
        <v>113</v>
      </c>
      <c r="G3" s="53" t="s">
        <v>113</v>
      </c>
      <c r="H3" s="6">
        <v>0</v>
      </c>
    </row>
    <row r="4" spans="1:8" ht="20.100000000000001" customHeight="1" x14ac:dyDescent="0.25">
      <c r="A4" s="78"/>
      <c r="B4" s="13"/>
      <c r="C4" s="14"/>
      <c r="D4" s="14"/>
      <c r="E4" s="14" t="s">
        <v>5</v>
      </c>
      <c r="F4" s="15"/>
      <c r="G4" s="16"/>
      <c r="H4" s="17">
        <f>SUM(H3:H3)</f>
        <v>0</v>
      </c>
    </row>
    <row r="5" spans="1:8" ht="20.100000000000001" customHeight="1" x14ac:dyDescent="0.25">
      <c r="A5" s="7"/>
      <c r="B5" s="8"/>
      <c r="C5" s="8"/>
      <c r="D5" s="8"/>
      <c r="E5" s="8"/>
      <c r="F5" s="12"/>
      <c r="G5" s="8"/>
      <c r="H5" s="9"/>
    </row>
  </sheetData>
  <mergeCells count="8">
    <mergeCell ref="G1:G2"/>
    <mergeCell ref="H1:H2"/>
    <mergeCell ref="A1:A4"/>
    <mergeCell ref="B1:B2"/>
    <mergeCell ref="C1:C2"/>
    <mergeCell ref="D1:D2"/>
    <mergeCell ref="E1:E2"/>
    <mergeCell ref="F1:F2"/>
  </mergeCells>
  <pageMargins left="0.7" right="0.7" top="0.75" bottom="0.75" header="0.3" footer="0.3"/>
  <pageSetup paperSize="9" orientation="portrait" horizontalDpi="120" verticalDpi="72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H54"/>
  <sheetViews>
    <sheetView topLeftCell="A37" workbookViewId="0">
      <selection activeCell="F57" sqref="F57"/>
    </sheetView>
  </sheetViews>
  <sheetFormatPr baseColWidth="10" defaultColWidth="9.140625" defaultRowHeight="15" x14ac:dyDescent="0.25"/>
  <cols>
    <col min="1" max="1" width="24.140625" customWidth="1"/>
    <col min="2" max="2" width="12.7109375" bestFit="1" customWidth="1"/>
    <col min="3" max="3" width="17.42578125" customWidth="1"/>
    <col min="4" max="4" width="11" customWidth="1"/>
    <col min="5" max="5" width="32.42578125" bestFit="1" customWidth="1"/>
    <col min="6" max="6" width="52.140625" style="1" customWidth="1"/>
    <col min="7" max="7" width="16.140625" customWidth="1"/>
    <col min="8" max="8" width="14.28515625" bestFit="1" customWidth="1"/>
  </cols>
  <sheetData>
    <row r="1" spans="1:8" ht="15" customHeight="1" x14ac:dyDescent="0.25">
      <c r="A1" s="76" t="s">
        <v>70</v>
      </c>
      <c r="B1" s="72" t="s">
        <v>0</v>
      </c>
      <c r="C1" s="74" t="s">
        <v>1</v>
      </c>
      <c r="D1" s="74" t="s">
        <v>2</v>
      </c>
      <c r="E1" s="74" t="s">
        <v>3</v>
      </c>
      <c r="F1" s="74" t="s">
        <v>8</v>
      </c>
      <c r="G1" s="68" t="s">
        <v>4</v>
      </c>
      <c r="H1" s="70" t="s">
        <v>5</v>
      </c>
    </row>
    <row r="2" spans="1:8" ht="15" customHeight="1" x14ac:dyDescent="0.25">
      <c r="A2" s="77"/>
      <c r="B2" s="73"/>
      <c r="C2" s="75"/>
      <c r="D2" s="75"/>
      <c r="E2" s="75"/>
      <c r="F2" s="75"/>
      <c r="G2" s="69"/>
      <c r="H2" s="71"/>
    </row>
    <row r="3" spans="1:8" ht="20.100000000000001" customHeight="1" x14ac:dyDescent="0.25">
      <c r="A3" s="77"/>
      <c r="B3" s="2">
        <v>45299</v>
      </c>
      <c r="C3" s="3">
        <v>1694188645</v>
      </c>
      <c r="D3" s="3">
        <v>5</v>
      </c>
      <c r="E3" s="4" t="s">
        <v>188</v>
      </c>
      <c r="F3" s="19" t="s">
        <v>72</v>
      </c>
      <c r="G3" s="5" t="s">
        <v>7</v>
      </c>
      <c r="H3" s="6">
        <v>2500</v>
      </c>
    </row>
    <row r="4" spans="1:8" ht="20.100000000000001" customHeight="1" x14ac:dyDescent="0.25">
      <c r="A4" s="77"/>
      <c r="B4" s="2">
        <v>45301</v>
      </c>
      <c r="C4" s="3">
        <v>1218331445</v>
      </c>
      <c r="D4" s="3">
        <v>4</v>
      </c>
      <c r="E4" s="4" t="s">
        <v>189</v>
      </c>
      <c r="F4" s="19" t="s">
        <v>72</v>
      </c>
      <c r="G4" s="5" t="s">
        <v>26</v>
      </c>
      <c r="H4" s="6">
        <v>2000</v>
      </c>
    </row>
    <row r="5" spans="1:8" ht="20.100000000000001" customHeight="1" x14ac:dyDescent="0.25">
      <c r="A5" s="77"/>
      <c r="B5" s="2">
        <v>45301</v>
      </c>
      <c r="C5" s="3">
        <v>1218331445</v>
      </c>
      <c r="D5" s="3">
        <v>1</v>
      </c>
      <c r="E5" s="4" t="s">
        <v>189</v>
      </c>
      <c r="F5" s="19" t="s">
        <v>191</v>
      </c>
      <c r="G5" s="5" t="s">
        <v>26</v>
      </c>
      <c r="H5" s="6">
        <v>280</v>
      </c>
    </row>
    <row r="6" spans="1:8" ht="20.100000000000001" customHeight="1" x14ac:dyDescent="0.25">
      <c r="A6" s="77"/>
      <c r="B6" s="2">
        <v>45302</v>
      </c>
      <c r="C6" s="3">
        <v>221332775</v>
      </c>
      <c r="D6" s="3">
        <v>10</v>
      </c>
      <c r="E6" s="4" t="s">
        <v>190</v>
      </c>
      <c r="F6" s="19" t="s">
        <v>72</v>
      </c>
      <c r="G6" s="5" t="s">
        <v>11</v>
      </c>
      <c r="H6" s="6">
        <v>5000</v>
      </c>
    </row>
    <row r="7" spans="1:8" ht="20.100000000000001" customHeight="1" x14ac:dyDescent="0.25">
      <c r="A7" s="77"/>
      <c r="B7" s="2">
        <v>45303</v>
      </c>
      <c r="C7" s="3">
        <v>1072516240</v>
      </c>
      <c r="D7" s="3">
        <v>1</v>
      </c>
      <c r="E7" s="4" t="s">
        <v>192</v>
      </c>
      <c r="F7" s="19" t="s">
        <v>72</v>
      </c>
      <c r="G7" s="5" t="s">
        <v>11</v>
      </c>
      <c r="H7" s="6">
        <v>780</v>
      </c>
    </row>
    <row r="8" spans="1:8" ht="20.100000000000001" customHeight="1" x14ac:dyDescent="0.25">
      <c r="A8" s="77"/>
      <c r="B8" s="2">
        <v>45313</v>
      </c>
      <c r="C8" s="3">
        <v>2787788939</v>
      </c>
      <c r="D8" s="3">
        <v>4</v>
      </c>
      <c r="E8" s="4" t="s">
        <v>104</v>
      </c>
      <c r="F8" s="19" t="s">
        <v>72</v>
      </c>
      <c r="G8" s="5" t="s">
        <v>6</v>
      </c>
      <c r="H8" s="6">
        <v>2000</v>
      </c>
    </row>
    <row r="9" spans="1:8" ht="20.100000000000001" customHeight="1" x14ac:dyDescent="0.25">
      <c r="A9" s="77"/>
      <c r="B9" s="2">
        <v>45314</v>
      </c>
      <c r="C9" s="3">
        <v>2387298960</v>
      </c>
      <c r="D9" s="3">
        <v>5</v>
      </c>
      <c r="E9" s="4" t="s">
        <v>78</v>
      </c>
      <c r="F9" s="19" t="s">
        <v>72</v>
      </c>
      <c r="G9" s="5" t="s">
        <v>6</v>
      </c>
      <c r="H9" s="6">
        <v>2500</v>
      </c>
    </row>
    <row r="10" spans="1:8" ht="15.75" x14ac:dyDescent="0.25">
      <c r="A10" s="77"/>
      <c r="B10" s="2">
        <v>45320</v>
      </c>
      <c r="C10" s="3">
        <v>69486400</v>
      </c>
      <c r="D10" s="3">
        <v>8</v>
      </c>
      <c r="E10" s="4" t="s">
        <v>156</v>
      </c>
      <c r="F10" s="19" t="s">
        <v>72</v>
      </c>
      <c r="G10" s="5" t="s">
        <v>7</v>
      </c>
      <c r="H10" s="6">
        <v>4000</v>
      </c>
    </row>
    <row r="11" spans="1:8" ht="20.100000000000001" customHeight="1" x14ac:dyDescent="0.25">
      <c r="A11" s="77"/>
      <c r="B11" s="2">
        <v>45327</v>
      </c>
      <c r="C11" s="3">
        <v>171723800</v>
      </c>
      <c r="D11" s="3">
        <v>4</v>
      </c>
      <c r="E11" s="4" t="s">
        <v>277</v>
      </c>
      <c r="F11" s="19" t="s">
        <v>72</v>
      </c>
      <c r="G11" s="10" t="s">
        <v>7</v>
      </c>
      <c r="H11" s="11">
        <v>2000</v>
      </c>
    </row>
    <row r="12" spans="1:8" ht="20.100000000000001" customHeight="1" x14ac:dyDescent="0.25">
      <c r="A12" s="77"/>
      <c r="B12" s="2">
        <v>45328</v>
      </c>
      <c r="C12" s="3">
        <v>1610827727</v>
      </c>
      <c r="D12" s="3">
        <v>5</v>
      </c>
      <c r="E12" s="4" t="s">
        <v>278</v>
      </c>
      <c r="F12" s="19" t="s">
        <v>72</v>
      </c>
      <c r="G12" s="10" t="s">
        <v>6</v>
      </c>
      <c r="H12" s="11">
        <v>2500</v>
      </c>
    </row>
    <row r="13" spans="1:8" ht="20.100000000000001" customHeight="1" x14ac:dyDescent="0.25">
      <c r="A13" s="77"/>
      <c r="B13" s="2">
        <v>45336</v>
      </c>
      <c r="C13" s="3">
        <v>815286238</v>
      </c>
      <c r="D13" s="3">
        <v>7</v>
      </c>
      <c r="E13" s="4" t="s">
        <v>156</v>
      </c>
      <c r="F13" s="19" t="s">
        <v>72</v>
      </c>
      <c r="G13" s="10" t="s">
        <v>7</v>
      </c>
      <c r="H13" s="11">
        <v>3500</v>
      </c>
    </row>
    <row r="14" spans="1:8" ht="20.100000000000001" customHeight="1" x14ac:dyDescent="0.25">
      <c r="A14" s="77"/>
      <c r="B14" s="2">
        <v>45342</v>
      </c>
      <c r="C14" s="3">
        <v>740969785</v>
      </c>
      <c r="D14" s="3">
        <v>10</v>
      </c>
      <c r="E14" s="4" t="s">
        <v>279</v>
      </c>
      <c r="F14" s="19" t="s">
        <v>72</v>
      </c>
      <c r="G14" s="10" t="s">
        <v>7</v>
      </c>
      <c r="H14" s="11">
        <v>5000</v>
      </c>
    </row>
    <row r="15" spans="1:8" ht="20.100000000000001" customHeight="1" x14ac:dyDescent="0.25">
      <c r="A15" s="77"/>
      <c r="B15" s="2">
        <v>45343</v>
      </c>
      <c r="C15" s="3">
        <v>725697310</v>
      </c>
      <c r="D15" s="3">
        <v>10</v>
      </c>
      <c r="E15" s="4" t="s">
        <v>280</v>
      </c>
      <c r="F15" s="19" t="s">
        <v>72</v>
      </c>
      <c r="G15" s="10" t="s">
        <v>10</v>
      </c>
      <c r="H15" s="11">
        <v>5000</v>
      </c>
    </row>
    <row r="16" spans="1:8" ht="20.100000000000001" customHeight="1" x14ac:dyDescent="0.25">
      <c r="A16" s="77"/>
      <c r="B16" s="2">
        <v>45358</v>
      </c>
      <c r="C16" s="3">
        <v>2771863235</v>
      </c>
      <c r="D16" s="3">
        <v>5</v>
      </c>
      <c r="E16" s="4" t="s">
        <v>346</v>
      </c>
      <c r="F16" s="19" t="s">
        <v>72</v>
      </c>
      <c r="G16" s="10" t="s">
        <v>7</v>
      </c>
      <c r="H16" s="11">
        <v>2500</v>
      </c>
    </row>
    <row r="17" spans="1:8" ht="20.100000000000001" customHeight="1" x14ac:dyDescent="0.25">
      <c r="A17" s="77"/>
      <c r="B17" s="2">
        <v>45362</v>
      </c>
      <c r="C17" s="3">
        <v>313673363</v>
      </c>
      <c r="D17" s="3">
        <v>2</v>
      </c>
      <c r="E17" s="4" t="s">
        <v>445</v>
      </c>
      <c r="F17" s="19" t="s">
        <v>72</v>
      </c>
      <c r="G17" s="10" t="s">
        <v>11</v>
      </c>
      <c r="H17" s="11">
        <v>1000</v>
      </c>
    </row>
    <row r="18" spans="1:8" ht="20.100000000000001" customHeight="1" x14ac:dyDescent="0.25">
      <c r="A18" s="77"/>
      <c r="B18" s="2">
        <v>45362</v>
      </c>
      <c r="C18" s="3">
        <v>313673363</v>
      </c>
      <c r="D18" s="3">
        <v>3</v>
      </c>
      <c r="E18" s="4" t="s">
        <v>445</v>
      </c>
      <c r="F18" s="19" t="s">
        <v>72</v>
      </c>
      <c r="G18" s="10" t="s">
        <v>7</v>
      </c>
      <c r="H18" s="11">
        <v>1500</v>
      </c>
    </row>
    <row r="19" spans="1:8" ht="20.100000000000001" customHeight="1" x14ac:dyDescent="0.25">
      <c r="A19" s="77"/>
      <c r="B19" s="2">
        <v>45394</v>
      </c>
      <c r="C19" s="3">
        <v>4031988141</v>
      </c>
      <c r="D19" s="3">
        <v>1</v>
      </c>
      <c r="E19" s="4" t="s">
        <v>531</v>
      </c>
      <c r="F19" s="19" t="s">
        <v>72</v>
      </c>
      <c r="G19" s="10" t="s">
        <v>6</v>
      </c>
      <c r="H19" s="11">
        <v>500</v>
      </c>
    </row>
    <row r="20" spans="1:8" ht="20.100000000000001" customHeight="1" x14ac:dyDescent="0.25">
      <c r="A20" s="77"/>
      <c r="B20" s="2">
        <v>45401</v>
      </c>
      <c r="C20" s="3">
        <v>3086568019</v>
      </c>
      <c r="D20" s="3">
        <v>8</v>
      </c>
      <c r="E20" s="4" t="s">
        <v>473</v>
      </c>
      <c r="F20" s="19" t="s">
        <v>72</v>
      </c>
      <c r="G20" s="10" t="s">
        <v>7</v>
      </c>
      <c r="H20" s="11">
        <v>4000</v>
      </c>
    </row>
    <row r="21" spans="1:8" ht="20.100000000000001" customHeight="1" x14ac:dyDescent="0.25">
      <c r="A21" s="77"/>
      <c r="B21" s="2">
        <v>45418</v>
      </c>
      <c r="C21" s="3">
        <v>375278347</v>
      </c>
      <c r="D21" s="3">
        <v>4</v>
      </c>
      <c r="E21" s="19" t="s">
        <v>638</v>
      </c>
      <c r="F21" s="19" t="s">
        <v>72</v>
      </c>
      <c r="G21" s="10" t="s">
        <v>7</v>
      </c>
      <c r="H21" s="11">
        <v>2000</v>
      </c>
    </row>
    <row r="22" spans="1:8" ht="20.100000000000001" customHeight="1" x14ac:dyDescent="0.25">
      <c r="A22" s="77"/>
      <c r="B22" s="2">
        <v>45419</v>
      </c>
      <c r="C22" s="3">
        <v>4124590206</v>
      </c>
      <c r="D22" s="3">
        <v>8</v>
      </c>
      <c r="E22" s="4" t="s">
        <v>639</v>
      </c>
      <c r="F22" s="19" t="s">
        <v>72</v>
      </c>
      <c r="G22" s="10" t="s">
        <v>7</v>
      </c>
      <c r="H22" s="11">
        <v>4000</v>
      </c>
    </row>
    <row r="23" spans="1:8" ht="20.100000000000001" customHeight="1" x14ac:dyDescent="0.25">
      <c r="A23" s="77"/>
      <c r="B23" s="2">
        <v>45440</v>
      </c>
      <c r="C23" s="3">
        <v>3523888738</v>
      </c>
      <c r="D23" s="3">
        <v>4</v>
      </c>
      <c r="E23" s="4" t="s">
        <v>640</v>
      </c>
      <c r="F23" s="19" t="s">
        <v>72</v>
      </c>
      <c r="G23" s="10" t="s">
        <v>7</v>
      </c>
      <c r="H23" s="11">
        <v>2000</v>
      </c>
    </row>
    <row r="24" spans="1:8" ht="20.100000000000001" customHeight="1" x14ac:dyDescent="0.25">
      <c r="A24" s="77"/>
      <c r="B24" s="2">
        <v>45454</v>
      </c>
      <c r="C24" s="3">
        <v>3144370585</v>
      </c>
      <c r="D24" s="3">
        <v>2</v>
      </c>
      <c r="E24" s="4" t="s">
        <v>734</v>
      </c>
      <c r="F24" s="19" t="s">
        <v>72</v>
      </c>
      <c r="G24" s="10" t="s">
        <v>6</v>
      </c>
      <c r="H24" s="11">
        <v>1000</v>
      </c>
    </row>
    <row r="25" spans="1:8" ht="20.100000000000001" customHeight="1" x14ac:dyDescent="0.25">
      <c r="A25" s="77"/>
      <c r="B25" s="2">
        <v>45454</v>
      </c>
      <c r="C25" s="3">
        <v>984301768</v>
      </c>
      <c r="D25" s="3">
        <v>2</v>
      </c>
      <c r="E25" s="4" t="s">
        <v>701</v>
      </c>
      <c r="F25" s="19" t="s">
        <v>72</v>
      </c>
      <c r="G25" s="10" t="s">
        <v>7</v>
      </c>
      <c r="H25" s="11">
        <v>1000</v>
      </c>
    </row>
    <row r="26" spans="1:8" ht="20.100000000000001" customHeight="1" x14ac:dyDescent="0.25">
      <c r="A26" s="77"/>
      <c r="B26" s="2">
        <v>45454</v>
      </c>
      <c r="C26" s="3">
        <v>3801433744</v>
      </c>
      <c r="D26" s="3">
        <v>2</v>
      </c>
      <c r="E26" s="4" t="s">
        <v>735</v>
      </c>
      <c r="F26" s="19" t="s">
        <v>72</v>
      </c>
      <c r="G26" s="10" t="s">
        <v>7</v>
      </c>
      <c r="H26" s="11">
        <v>1000</v>
      </c>
    </row>
    <row r="27" spans="1:8" ht="20.100000000000001" customHeight="1" x14ac:dyDescent="0.25">
      <c r="A27" s="77"/>
      <c r="B27" s="2">
        <v>45482</v>
      </c>
      <c r="C27" s="3">
        <v>985219518</v>
      </c>
      <c r="D27" s="3">
        <v>5</v>
      </c>
      <c r="E27" s="4" t="s">
        <v>610</v>
      </c>
      <c r="F27" s="19" t="s">
        <v>72</v>
      </c>
      <c r="G27" s="10" t="s">
        <v>7</v>
      </c>
      <c r="H27" s="11">
        <v>2500</v>
      </c>
    </row>
    <row r="28" spans="1:8" ht="20.100000000000001" customHeight="1" x14ac:dyDescent="0.25">
      <c r="A28" s="77"/>
      <c r="B28" s="2">
        <v>45497</v>
      </c>
      <c r="C28" s="3">
        <v>2564505737</v>
      </c>
      <c r="D28" s="3">
        <v>1</v>
      </c>
      <c r="E28" s="4" t="s">
        <v>856</v>
      </c>
      <c r="F28" s="19" t="s">
        <v>72</v>
      </c>
      <c r="G28" s="10" t="s">
        <v>7</v>
      </c>
      <c r="H28" s="11">
        <v>500</v>
      </c>
    </row>
    <row r="29" spans="1:8" ht="20.100000000000001" customHeight="1" x14ac:dyDescent="0.25">
      <c r="A29" s="77"/>
      <c r="B29" s="2">
        <v>45497</v>
      </c>
      <c r="C29" s="3">
        <v>2117552313</v>
      </c>
      <c r="D29" s="3">
        <v>5</v>
      </c>
      <c r="E29" s="4" t="s">
        <v>857</v>
      </c>
      <c r="F29" s="19" t="s">
        <v>72</v>
      </c>
      <c r="G29" s="10" t="s">
        <v>19</v>
      </c>
      <c r="H29" s="11">
        <v>2500</v>
      </c>
    </row>
    <row r="30" spans="1:8" ht="20.100000000000001" customHeight="1" x14ac:dyDescent="0.25">
      <c r="A30" s="77"/>
      <c r="B30" s="2">
        <v>45502</v>
      </c>
      <c r="C30" s="3">
        <v>1740981764</v>
      </c>
      <c r="D30" s="3">
        <v>5</v>
      </c>
      <c r="E30" s="4" t="s">
        <v>858</v>
      </c>
      <c r="F30" s="19" t="s">
        <v>72</v>
      </c>
      <c r="G30" s="10" t="s">
        <v>7</v>
      </c>
      <c r="H30" s="11">
        <v>2500</v>
      </c>
    </row>
    <row r="31" spans="1:8" ht="20.100000000000001" customHeight="1" x14ac:dyDescent="0.25">
      <c r="A31" s="77"/>
      <c r="B31" s="2">
        <v>45502</v>
      </c>
      <c r="C31" s="3">
        <v>3360703862</v>
      </c>
      <c r="D31" s="3">
        <v>4</v>
      </c>
      <c r="E31" s="4" t="s">
        <v>859</v>
      </c>
      <c r="F31" s="19" t="s">
        <v>72</v>
      </c>
      <c r="G31" s="10" t="s">
        <v>6</v>
      </c>
      <c r="H31" s="11">
        <v>2000</v>
      </c>
    </row>
    <row r="32" spans="1:8" ht="20.100000000000001" customHeight="1" x14ac:dyDescent="0.25">
      <c r="A32" s="77"/>
      <c r="B32" s="2">
        <v>45503</v>
      </c>
      <c r="C32" s="3">
        <v>1752517762</v>
      </c>
      <c r="D32" s="3">
        <v>4</v>
      </c>
      <c r="E32" s="4" t="s">
        <v>711</v>
      </c>
      <c r="F32" s="19" t="s">
        <v>72</v>
      </c>
      <c r="G32" s="10" t="s">
        <v>6</v>
      </c>
      <c r="H32" s="11">
        <v>2000</v>
      </c>
    </row>
    <row r="33" spans="1:8" ht="20.100000000000001" customHeight="1" x14ac:dyDescent="0.25">
      <c r="A33" s="77"/>
      <c r="B33" s="2">
        <v>45503</v>
      </c>
      <c r="C33" s="3">
        <v>1532707740</v>
      </c>
      <c r="D33" s="3">
        <v>4</v>
      </c>
      <c r="E33" s="4" t="s">
        <v>860</v>
      </c>
      <c r="F33" s="19" t="s">
        <v>72</v>
      </c>
      <c r="G33" s="10" t="s">
        <v>6</v>
      </c>
      <c r="H33" s="11">
        <v>2000</v>
      </c>
    </row>
    <row r="34" spans="1:8" ht="20.100000000000001" customHeight="1" x14ac:dyDescent="0.25">
      <c r="A34" s="77"/>
      <c r="B34" s="2">
        <v>45505</v>
      </c>
      <c r="C34" s="3">
        <v>3500756369</v>
      </c>
      <c r="D34" s="3">
        <v>5</v>
      </c>
      <c r="E34" s="4" t="s">
        <v>951</v>
      </c>
      <c r="F34" s="19" t="s">
        <v>72</v>
      </c>
      <c r="G34" s="5" t="s">
        <v>7</v>
      </c>
      <c r="H34" s="6">
        <v>2800</v>
      </c>
    </row>
    <row r="35" spans="1:8" ht="20.100000000000001" customHeight="1" x14ac:dyDescent="0.25">
      <c r="A35" s="77"/>
      <c r="B35" s="2">
        <v>45520</v>
      </c>
      <c r="C35" s="3">
        <v>1951616483</v>
      </c>
      <c r="D35" s="3">
        <v>3</v>
      </c>
      <c r="E35" s="4" t="s">
        <v>949</v>
      </c>
      <c r="F35" s="19" t="s">
        <v>72</v>
      </c>
      <c r="G35" s="5" t="s">
        <v>7</v>
      </c>
      <c r="H35" s="6">
        <v>1500</v>
      </c>
    </row>
    <row r="36" spans="1:8" ht="20.100000000000001" customHeight="1" x14ac:dyDescent="0.25">
      <c r="A36" s="77"/>
      <c r="B36" s="2">
        <v>45520</v>
      </c>
      <c r="C36" s="3">
        <v>1951616483</v>
      </c>
      <c r="D36" s="3">
        <v>1</v>
      </c>
      <c r="E36" s="4" t="s">
        <v>949</v>
      </c>
      <c r="F36" s="19" t="s">
        <v>72</v>
      </c>
      <c r="G36" s="5" t="s">
        <v>7</v>
      </c>
      <c r="H36" s="6">
        <v>250</v>
      </c>
    </row>
    <row r="37" spans="1:8" ht="20.100000000000001" customHeight="1" x14ac:dyDescent="0.25">
      <c r="A37" s="77"/>
      <c r="B37" s="2">
        <v>45555</v>
      </c>
      <c r="C37" s="3">
        <v>3821620307</v>
      </c>
      <c r="D37" s="3">
        <v>5</v>
      </c>
      <c r="E37" s="4" t="s">
        <v>1020</v>
      </c>
      <c r="F37" s="19" t="s">
        <v>72</v>
      </c>
      <c r="G37" s="5" t="s">
        <v>11</v>
      </c>
      <c r="H37" s="6">
        <v>2500</v>
      </c>
    </row>
    <row r="38" spans="1:8" ht="20.100000000000001" customHeight="1" x14ac:dyDescent="0.25">
      <c r="A38" s="77"/>
      <c r="B38" s="2">
        <v>45568</v>
      </c>
      <c r="C38" s="3">
        <v>215894987</v>
      </c>
      <c r="D38" s="3">
        <v>2</v>
      </c>
      <c r="E38" s="4" t="s">
        <v>1036</v>
      </c>
      <c r="F38" s="19" t="s">
        <v>72</v>
      </c>
      <c r="G38" s="5" t="s">
        <v>7</v>
      </c>
      <c r="H38" s="6">
        <v>1000</v>
      </c>
    </row>
    <row r="39" spans="1:8" ht="20.100000000000001" customHeight="1" x14ac:dyDescent="0.25">
      <c r="A39" s="77"/>
      <c r="B39" s="2">
        <v>45572</v>
      </c>
      <c r="C39" s="3">
        <v>2928034021</v>
      </c>
      <c r="D39" s="3">
        <v>5</v>
      </c>
      <c r="E39" s="4" t="s">
        <v>1096</v>
      </c>
      <c r="F39" s="19" t="s">
        <v>72</v>
      </c>
      <c r="G39" s="5" t="s">
        <v>7</v>
      </c>
      <c r="H39" s="6">
        <v>2500</v>
      </c>
    </row>
    <row r="40" spans="1:8" ht="20.100000000000001" customHeight="1" x14ac:dyDescent="0.25">
      <c r="A40" s="77"/>
      <c r="B40" s="2">
        <v>45574</v>
      </c>
      <c r="C40" s="3">
        <v>2949074798</v>
      </c>
      <c r="D40" s="3">
        <v>5</v>
      </c>
      <c r="E40" s="4" t="s">
        <v>1097</v>
      </c>
      <c r="F40" s="19" t="s">
        <v>72</v>
      </c>
      <c r="G40" s="5" t="s">
        <v>7</v>
      </c>
      <c r="H40" s="6">
        <v>2500</v>
      </c>
    </row>
    <row r="41" spans="1:8" ht="20.100000000000001" customHeight="1" x14ac:dyDescent="0.25">
      <c r="A41" s="77"/>
      <c r="B41" s="2">
        <v>45588</v>
      </c>
      <c r="C41" s="3">
        <v>954287801</v>
      </c>
      <c r="D41" s="3">
        <v>7</v>
      </c>
      <c r="E41" s="4" t="s">
        <v>1098</v>
      </c>
      <c r="F41" s="19" t="s">
        <v>72</v>
      </c>
      <c r="G41" s="5" t="s">
        <v>19</v>
      </c>
      <c r="H41" s="6">
        <v>3500</v>
      </c>
    </row>
    <row r="42" spans="1:8" ht="20.100000000000001" customHeight="1" x14ac:dyDescent="0.25">
      <c r="A42" s="77"/>
      <c r="B42" s="2">
        <v>45601</v>
      </c>
      <c r="C42" s="3">
        <v>222447949</v>
      </c>
      <c r="D42" s="3">
        <v>5</v>
      </c>
      <c r="E42" s="4" t="s">
        <v>1238</v>
      </c>
      <c r="F42" s="19" t="s">
        <v>72</v>
      </c>
      <c r="G42" s="5" t="s">
        <v>19</v>
      </c>
      <c r="H42" s="6">
        <v>2500</v>
      </c>
    </row>
    <row r="43" spans="1:8" ht="20.100000000000001" customHeight="1" x14ac:dyDescent="0.25">
      <c r="A43" s="77"/>
      <c r="B43" s="2"/>
      <c r="C43" s="3"/>
      <c r="D43" s="3"/>
      <c r="E43" s="4"/>
      <c r="F43" s="19"/>
      <c r="G43" s="5"/>
      <c r="H43" s="6"/>
    </row>
    <row r="44" spans="1:8" ht="20.100000000000001" customHeight="1" x14ac:dyDescent="0.25">
      <c r="A44" s="77"/>
      <c r="B44" s="2"/>
      <c r="C44" s="3"/>
      <c r="D44" s="3"/>
      <c r="E44" s="4"/>
      <c r="F44" s="19"/>
      <c r="G44" s="5"/>
      <c r="H44" s="6"/>
    </row>
    <row r="45" spans="1:8" ht="20.100000000000001" customHeight="1" x14ac:dyDescent="0.25">
      <c r="A45" s="77"/>
      <c r="B45" s="2"/>
      <c r="C45" s="3"/>
      <c r="D45" s="3"/>
      <c r="E45" s="4"/>
      <c r="F45" s="19"/>
      <c r="G45" s="5"/>
      <c r="H45" s="6"/>
    </row>
    <row r="46" spans="1:8" ht="20.100000000000001" customHeight="1" x14ac:dyDescent="0.25">
      <c r="A46" s="77"/>
      <c r="B46" s="2"/>
      <c r="C46" s="3"/>
      <c r="D46" s="3"/>
      <c r="E46" s="4"/>
      <c r="F46" s="19"/>
      <c r="G46" s="5"/>
      <c r="H46" s="6"/>
    </row>
    <row r="47" spans="1:8" ht="20.100000000000001" customHeight="1" x14ac:dyDescent="0.25">
      <c r="A47" s="77"/>
      <c r="B47" s="2"/>
      <c r="C47" s="3"/>
      <c r="D47" s="3"/>
      <c r="E47" s="4"/>
      <c r="F47" s="19"/>
      <c r="G47" s="5"/>
      <c r="H47" s="6"/>
    </row>
    <row r="48" spans="1:8" ht="20.100000000000001" customHeight="1" x14ac:dyDescent="0.25">
      <c r="A48" s="77"/>
      <c r="B48" s="2"/>
      <c r="C48" s="3"/>
      <c r="D48" s="3"/>
      <c r="E48" s="4"/>
      <c r="F48" s="19"/>
      <c r="G48" s="5"/>
      <c r="H48" s="6"/>
    </row>
    <row r="49" spans="1:8" ht="20.100000000000001" customHeight="1" x14ac:dyDescent="0.25">
      <c r="A49" s="77"/>
      <c r="B49" s="2"/>
      <c r="C49" s="3"/>
      <c r="D49" s="3"/>
      <c r="E49" s="4"/>
      <c r="F49" s="19"/>
      <c r="G49" s="5"/>
      <c r="H49" s="6"/>
    </row>
    <row r="50" spans="1:8" ht="20.100000000000001" customHeight="1" x14ac:dyDescent="0.25">
      <c r="A50" s="77"/>
      <c r="B50" s="2"/>
      <c r="C50" s="3"/>
      <c r="D50" s="3"/>
      <c r="E50" s="4"/>
      <c r="F50" s="19"/>
      <c r="G50" s="5"/>
      <c r="H50" s="6"/>
    </row>
    <row r="51" spans="1:8" ht="20.100000000000001" customHeight="1" x14ac:dyDescent="0.25">
      <c r="A51" s="77"/>
      <c r="B51" s="2"/>
      <c r="C51" s="3"/>
      <c r="D51" s="3"/>
      <c r="E51" s="4"/>
      <c r="F51" s="19"/>
      <c r="G51" s="5"/>
      <c r="H51" s="6"/>
    </row>
    <row r="52" spans="1:8" ht="20.100000000000001" customHeight="1" x14ac:dyDescent="0.25">
      <c r="A52" s="77"/>
      <c r="B52" s="2"/>
      <c r="C52" s="3"/>
      <c r="D52" s="3"/>
      <c r="E52" s="4"/>
      <c r="F52" s="19"/>
      <c r="G52" s="5"/>
      <c r="H52" s="6"/>
    </row>
    <row r="53" spans="1:8" ht="20.100000000000001" customHeight="1" x14ac:dyDescent="0.25">
      <c r="A53" s="78"/>
      <c r="B53" s="13"/>
      <c r="C53" s="14"/>
      <c r="D53" s="14"/>
      <c r="E53" s="14" t="s">
        <v>5</v>
      </c>
      <c r="F53" s="15"/>
      <c r="G53" s="16"/>
      <c r="H53" s="17">
        <f>SUM(H3:H52)</f>
        <v>90610</v>
      </c>
    </row>
    <row r="54" spans="1:8" ht="20.100000000000001" customHeight="1" x14ac:dyDescent="0.25">
      <c r="A54" s="7"/>
      <c r="B54" s="8"/>
      <c r="C54" s="8"/>
      <c r="D54" s="8"/>
      <c r="E54" s="8"/>
      <c r="F54" s="12"/>
      <c r="G54" s="8"/>
      <c r="H54" s="9"/>
    </row>
  </sheetData>
  <mergeCells count="8">
    <mergeCell ref="G1:G2"/>
    <mergeCell ref="H1:H2"/>
    <mergeCell ref="A1:A53"/>
    <mergeCell ref="B1:B2"/>
    <mergeCell ref="C1:C2"/>
    <mergeCell ref="D1:D2"/>
    <mergeCell ref="E1:E2"/>
    <mergeCell ref="F1:F2"/>
  </mergeCells>
  <pageMargins left="0.7" right="0.7" top="0.75" bottom="0.75" header="0.3" footer="0.3"/>
  <pageSetup paperSize="9" orientation="portrait" horizontalDpi="120" verticalDpi="72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H92"/>
  <sheetViews>
    <sheetView topLeftCell="A70" workbookViewId="0">
      <selection activeCell="D87" sqref="D87"/>
    </sheetView>
  </sheetViews>
  <sheetFormatPr baseColWidth="10" defaultColWidth="9.140625" defaultRowHeight="15" x14ac:dyDescent="0.25"/>
  <cols>
    <col min="1" max="1" width="9.140625" bestFit="1" customWidth="1"/>
    <col min="2" max="2" width="12.7109375" bestFit="1" customWidth="1"/>
    <col min="3" max="3" width="17.42578125" customWidth="1"/>
    <col min="4" max="4" width="11" customWidth="1"/>
    <col min="5" max="5" width="35" bestFit="1" customWidth="1"/>
    <col min="6" max="6" width="22.42578125" style="1" customWidth="1"/>
    <col min="7" max="7" width="16.140625" customWidth="1"/>
    <col min="8" max="8" width="14.28515625" bestFit="1" customWidth="1"/>
  </cols>
  <sheetData>
    <row r="1" spans="1:8" ht="15" customHeight="1" x14ac:dyDescent="0.25">
      <c r="A1" s="76" t="s">
        <v>73</v>
      </c>
      <c r="B1" s="72" t="s">
        <v>0</v>
      </c>
      <c r="C1" s="74" t="s">
        <v>1</v>
      </c>
      <c r="D1" s="74" t="s">
        <v>2</v>
      </c>
      <c r="E1" s="74" t="s">
        <v>3</v>
      </c>
      <c r="F1" s="74" t="s">
        <v>8</v>
      </c>
      <c r="G1" s="68" t="s">
        <v>4</v>
      </c>
      <c r="H1" s="70" t="s">
        <v>5</v>
      </c>
    </row>
    <row r="2" spans="1:8" ht="15" customHeight="1" x14ac:dyDescent="0.25">
      <c r="A2" s="77"/>
      <c r="B2" s="73"/>
      <c r="C2" s="75"/>
      <c r="D2" s="75"/>
      <c r="E2" s="75"/>
      <c r="F2" s="75"/>
      <c r="G2" s="69"/>
      <c r="H2" s="71"/>
    </row>
    <row r="3" spans="1:8" ht="20.100000000000001" customHeight="1" x14ac:dyDescent="0.25">
      <c r="A3" s="77"/>
      <c r="B3" s="2">
        <v>45300</v>
      </c>
      <c r="C3" s="3">
        <v>3027322109</v>
      </c>
      <c r="D3" s="3">
        <v>1</v>
      </c>
      <c r="E3" s="4" t="s">
        <v>193</v>
      </c>
      <c r="F3" s="19" t="s">
        <v>74</v>
      </c>
      <c r="G3" s="5" t="s">
        <v>7</v>
      </c>
      <c r="H3" s="6">
        <v>750</v>
      </c>
    </row>
    <row r="4" spans="1:8" ht="20.100000000000001" customHeight="1" x14ac:dyDescent="0.25">
      <c r="A4" s="77"/>
      <c r="B4" s="2">
        <v>45300</v>
      </c>
      <c r="C4" s="3">
        <v>2154447991</v>
      </c>
      <c r="D4" s="3">
        <v>3</v>
      </c>
      <c r="E4" s="4" t="s">
        <v>106</v>
      </c>
      <c r="F4" s="19" t="s">
        <v>74</v>
      </c>
      <c r="G4" s="5" t="s">
        <v>6</v>
      </c>
      <c r="H4" s="6">
        <v>2250</v>
      </c>
    </row>
    <row r="5" spans="1:8" ht="20.100000000000001" customHeight="1" x14ac:dyDescent="0.25">
      <c r="A5" s="77"/>
      <c r="B5" s="2">
        <v>45300</v>
      </c>
      <c r="C5" s="3">
        <v>3199420133</v>
      </c>
      <c r="D5" s="3">
        <v>1</v>
      </c>
      <c r="E5" s="4" t="s">
        <v>194</v>
      </c>
      <c r="F5" s="19" t="s">
        <v>74</v>
      </c>
      <c r="G5" s="5" t="s">
        <v>7</v>
      </c>
      <c r="H5" s="6">
        <v>750</v>
      </c>
    </row>
    <row r="6" spans="1:8" ht="20.100000000000001" customHeight="1" x14ac:dyDescent="0.25">
      <c r="A6" s="77"/>
      <c r="B6" s="2">
        <v>45300</v>
      </c>
      <c r="C6" s="3">
        <v>4234036202</v>
      </c>
      <c r="D6" s="3">
        <v>1</v>
      </c>
      <c r="E6" s="4" t="s">
        <v>179</v>
      </c>
      <c r="F6" s="19" t="s">
        <v>74</v>
      </c>
      <c r="G6" s="5" t="s">
        <v>7</v>
      </c>
      <c r="H6" s="6">
        <v>750</v>
      </c>
    </row>
    <row r="7" spans="1:8" ht="20.100000000000001" customHeight="1" x14ac:dyDescent="0.25">
      <c r="A7" s="77"/>
      <c r="B7" s="2">
        <v>45310</v>
      </c>
      <c r="C7" s="3">
        <v>1306282846</v>
      </c>
      <c r="D7" s="3">
        <v>1</v>
      </c>
      <c r="E7" s="4" t="s">
        <v>143</v>
      </c>
      <c r="F7" s="19" t="s">
        <v>74</v>
      </c>
      <c r="G7" s="5" t="s">
        <v>19</v>
      </c>
      <c r="H7" s="6">
        <v>750</v>
      </c>
    </row>
    <row r="8" spans="1:8" ht="20.100000000000001" customHeight="1" x14ac:dyDescent="0.25">
      <c r="A8" s="77"/>
      <c r="B8" s="2">
        <v>45310</v>
      </c>
      <c r="C8" s="3">
        <v>1306282846</v>
      </c>
      <c r="D8" s="3">
        <v>1</v>
      </c>
      <c r="E8" s="4" t="s">
        <v>183</v>
      </c>
      <c r="F8" s="19" t="s">
        <v>74</v>
      </c>
      <c r="G8" s="5" t="s">
        <v>19</v>
      </c>
      <c r="H8" s="6">
        <v>750</v>
      </c>
    </row>
    <row r="9" spans="1:8" ht="20.100000000000001" customHeight="1" x14ac:dyDescent="0.25">
      <c r="A9" s="77"/>
      <c r="B9" s="2">
        <v>45315</v>
      </c>
      <c r="C9" s="3">
        <v>1995916393</v>
      </c>
      <c r="D9" s="3">
        <v>1</v>
      </c>
      <c r="E9" s="4" t="s">
        <v>123</v>
      </c>
      <c r="F9" s="19" t="s">
        <v>74</v>
      </c>
      <c r="G9" s="5" t="s">
        <v>7</v>
      </c>
      <c r="H9" s="6">
        <v>750</v>
      </c>
    </row>
    <row r="10" spans="1:8" ht="20.100000000000001" customHeight="1" x14ac:dyDescent="0.25">
      <c r="A10" s="77"/>
      <c r="B10" s="2">
        <v>45316</v>
      </c>
      <c r="C10" s="3">
        <v>1235308280</v>
      </c>
      <c r="D10" s="3">
        <v>1</v>
      </c>
      <c r="E10" s="4" t="s">
        <v>184</v>
      </c>
      <c r="F10" s="19" t="s">
        <v>74</v>
      </c>
      <c r="G10" s="5" t="s">
        <v>6</v>
      </c>
      <c r="H10" s="6">
        <v>750</v>
      </c>
    </row>
    <row r="11" spans="1:8" ht="20.100000000000001" customHeight="1" x14ac:dyDescent="0.25">
      <c r="A11" s="77"/>
      <c r="B11" s="2">
        <v>45323</v>
      </c>
      <c r="C11" s="3">
        <v>706495947</v>
      </c>
      <c r="D11" s="3">
        <v>1</v>
      </c>
      <c r="E11" s="4" t="s">
        <v>265</v>
      </c>
      <c r="F11" s="19" t="s">
        <v>74</v>
      </c>
      <c r="G11" s="10" t="s">
        <v>19</v>
      </c>
      <c r="H11" s="11">
        <v>750</v>
      </c>
    </row>
    <row r="12" spans="1:8" ht="20.100000000000001" customHeight="1" x14ac:dyDescent="0.25">
      <c r="A12" s="77"/>
      <c r="B12" s="2">
        <v>45324</v>
      </c>
      <c r="C12" s="3">
        <v>2694202194</v>
      </c>
      <c r="D12" s="3">
        <v>2</v>
      </c>
      <c r="E12" s="4" t="s">
        <v>281</v>
      </c>
      <c r="F12" s="19" t="s">
        <v>74</v>
      </c>
      <c r="G12" s="10" t="s">
        <v>6</v>
      </c>
      <c r="H12" s="11">
        <v>1500</v>
      </c>
    </row>
    <row r="13" spans="1:8" ht="20.100000000000001" customHeight="1" x14ac:dyDescent="0.25">
      <c r="A13" s="77"/>
      <c r="B13" s="2">
        <v>45328</v>
      </c>
      <c r="C13" s="3">
        <v>3124972219</v>
      </c>
      <c r="D13" s="3">
        <v>1</v>
      </c>
      <c r="E13" s="4" t="s">
        <v>282</v>
      </c>
      <c r="F13" s="19" t="s">
        <v>74</v>
      </c>
      <c r="G13" s="10" t="s">
        <v>7</v>
      </c>
      <c r="H13" s="11">
        <v>750</v>
      </c>
    </row>
    <row r="14" spans="1:8" ht="20.100000000000001" customHeight="1" x14ac:dyDescent="0.25">
      <c r="A14" s="77"/>
      <c r="B14" s="2">
        <v>45328</v>
      </c>
      <c r="C14" s="3">
        <v>661602431</v>
      </c>
      <c r="D14" s="3">
        <v>1</v>
      </c>
      <c r="E14" s="4" t="s">
        <v>267</v>
      </c>
      <c r="F14" s="19" t="s">
        <v>74</v>
      </c>
      <c r="G14" s="10" t="s">
        <v>10</v>
      </c>
      <c r="H14" s="11">
        <v>750</v>
      </c>
    </row>
    <row r="15" spans="1:8" ht="20.100000000000001" customHeight="1" x14ac:dyDescent="0.25">
      <c r="A15" s="77"/>
      <c r="B15" s="2">
        <v>45331</v>
      </c>
      <c r="C15" s="3">
        <v>2083472330</v>
      </c>
      <c r="D15" s="3">
        <v>3</v>
      </c>
      <c r="E15" s="4" t="s">
        <v>106</v>
      </c>
      <c r="F15" s="19" t="s">
        <v>74</v>
      </c>
      <c r="G15" s="10" t="s">
        <v>6</v>
      </c>
      <c r="H15" s="11">
        <v>2250</v>
      </c>
    </row>
    <row r="16" spans="1:8" ht="20.100000000000001" customHeight="1" x14ac:dyDescent="0.25">
      <c r="A16" s="77"/>
      <c r="B16" s="2">
        <v>45331</v>
      </c>
      <c r="C16" s="3">
        <v>2752728684</v>
      </c>
      <c r="D16" s="3">
        <v>1</v>
      </c>
      <c r="E16" s="4" t="s">
        <v>268</v>
      </c>
      <c r="F16" s="19" t="s">
        <v>74</v>
      </c>
      <c r="G16" s="10" t="s">
        <v>7</v>
      </c>
      <c r="H16" s="11">
        <v>750</v>
      </c>
    </row>
    <row r="17" spans="1:8" ht="20.100000000000001" customHeight="1" x14ac:dyDescent="0.25">
      <c r="A17" s="77"/>
      <c r="B17" s="2">
        <v>45334</v>
      </c>
      <c r="C17" s="3">
        <v>3163898577</v>
      </c>
      <c r="D17" s="3">
        <v>1</v>
      </c>
      <c r="E17" s="4" t="s">
        <v>103</v>
      </c>
      <c r="F17" s="19" t="s">
        <v>74</v>
      </c>
      <c r="G17" s="10" t="s">
        <v>6</v>
      </c>
      <c r="H17" s="11">
        <v>750</v>
      </c>
    </row>
    <row r="18" spans="1:8" ht="20.100000000000001" customHeight="1" x14ac:dyDescent="0.25">
      <c r="A18" s="77"/>
      <c r="B18" s="2">
        <v>45337</v>
      </c>
      <c r="C18" s="3">
        <v>4088024031</v>
      </c>
      <c r="D18" s="3">
        <v>3</v>
      </c>
      <c r="E18" s="4" t="s">
        <v>269</v>
      </c>
      <c r="F18" s="19" t="s">
        <v>74</v>
      </c>
      <c r="G18" s="10" t="s">
        <v>7</v>
      </c>
      <c r="H18" s="11">
        <v>2250</v>
      </c>
    </row>
    <row r="19" spans="1:8" ht="20.100000000000001" customHeight="1" x14ac:dyDescent="0.25">
      <c r="A19" s="77"/>
      <c r="B19" s="2">
        <v>45341</v>
      </c>
      <c r="C19" s="3">
        <v>3320006423</v>
      </c>
      <c r="D19" s="3">
        <v>1</v>
      </c>
      <c r="E19" s="4" t="s">
        <v>219</v>
      </c>
      <c r="F19" s="19" t="s">
        <v>74</v>
      </c>
      <c r="G19" s="10" t="s">
        <v>6</v>
      </c>
      <c r="H19" s="11">
        <v>750</v>
      </c>
    </row>
    <row r="20" spans="1:8" ht="20.100000000000001" customHeight="1" x14ac:dyDescent="0.25">
      <c r="A20" s="77"/>
      <c r="B20" s="2">
        <v>45355</v>
      </c>
      <c r="C20" s="3">
        <v>1405176394</v>
      </c>
      <c r="D20" s="3">
        <v>2</v>
      </c>
      <c r="E20" s="4" t="s">
        <v>264</v>
      </c>
      <c r="F20" s="19" t="s">
        <v>74</v>
      </c>
      <c r="G20" s="10" t="s">
        <v>7</v>
      </c>
      <c r="H20" s="11">
        <v>1500</v>
      </c>
    </row>
    <row r="21" spans="1:8" ht="20.100000000000001" customHeight="1" x14ac:dyDescent="0.25">
      <c r="A21" s="77"/>
      <c r="B21" s="2">
        <v>45356</v>
      </c>
      <c r="C21" s="3">
        <v>3577759707</v>
      </c>
      <c r="D21" s="3">
        <v>1</v>
      </c>
      <c r="E21" s="4" t="s">
        <v>344</v>
      </c>
      <c r="F21" s="19" t="s">
        <v>74</v>
      </c>
      <c r="G21" s="10" t="s">
        <v>10</v>
      </c>
      <c r="H21" s="11">
        <v>750</v>
      </c>
    </row>
    <row r="22" spans="1:8" ht="20.100000000000001" customHeight="1" x14ac:dyDescent="0.25">
      <c r="A22" s="77"/>
      <c r="B22" s="2">
        <v>45356</v>
      </c>
      <c r="C22" s="3">
        <v>993742783</v>
      </c>
      <c r="D22" s="3">
        <v>1</v>
      </c>
      <c r="E22" s="4" t="s">
        <v>348</v>
      </c>
      <c r="F22" s="19" t="s">
        <v>74</v>
      </c>
      <c r="G22" s="10" t="s">
        <v>6</v>
      </c>
      <c r="H22" s="11">
        <v>750</v>
      </c>
    </row>
    <row r="23" spans="1:8" ht="20.100000000000001" customHeight="1" x14ac:dyDescent="0.25">
      <c r="A23" s="77"/>
      <c r="B23" s="2">
        <v>45357</v>
      </c>
      <c r="C23" s="3">
        <v>1098728345</v>
      </c>
      <c r="D23" s="3">
        <v>1</v>
      </c>
      <c r="E23" s="4" t="s">
        <v>254</v>
      </c>
      <c r="F23" s="19" t="s">
        <v>74</v>
      </c>
      <c r="G23" s="10" t="s">
        <v>13</v>
      </c>
      <c r="H23" s="11">
        <v>750</v>
      </c>
    </row>
    <row r="24" spans="1:8" ht="20.100000000000001" customHeight="1" x14ac:dyDescent="0.25">
      <c r="A24" s="77"/>
      <c r="B24" s="2">
        <v>45357</v>
      </c>
      <c r="C24" s="3">
        <v>3962323387</v>
      </c>
      <c r="D24" s="3">
        <v>1</v>
      </c>
      <c r="E24" s="4" t="s">
        <v>446</v>
      </c>
      <c r="F24" s="19" t="s">
        <v>74</v>
      </c>
      <c r="G24" s="10" t="s">
        <v>11</v>
      </c>
      <c r="H24" s="11">
        <v>750</v>
      </c>
    </row>
    <row r="25" spans="1:8" ht="20.100000000000001" customHeight="1" x14ac:dyDescent="0.25">
      <c r="A25" s="77"/>
      <c r="B25" s="2">
        <v>45380</v>
      </c>
      <c r="C25" s="3">
        <v>1403798022</v>
      </c>
      <c r="D25" s="3">
        <v>1</v>
      </c>
      <c r="E25" s="4" t="s">
        <v>351</v>
      </c>
      <c r="F25" s="19" t="s">
        <v>74</v>
      </c>
      <c r="G25" s="10" t="s">
        <v>10</v>
      </c>
      <c r="H25" s="11">
        <v>500</v>
      </c>
    </row>
    <row r="26" spans="1:8" ht="20.100000000000001" customHeight="1" x14ac:dyDescent="0.25">
      <c r="A26" s="77"/>
      <c r="B26" s="2">
        <v>45383</v>
      </c>
      <c r="C26" s="3">
        <v>1597392214</v>
      </c>
      <c r="D26" s="3">
        <v>1</v>
      </c>
      <c r="E26" s="4" t="s">
        <v>528</v>
      </c>
      <c r="F26" s="19" t="s">
        <v>74</v>
      </c>
      <c r="G26" s="10" t="s">
        <v>7</v>
      </c>
      <c r="H26" s="11">
        <v>750</v>
      </c>
    </row>
    <row r="27" spans="1:8" ht="20.100000000000001" customHeight="1" x14ac:dyDescent="0.25">
      <c r="A27" s="77"/>
      <c r="B27" s="2">
        <v>45384</v>
      </c>
      <c r="C27" s="3">
        <v>2833008243</v>
      </c>
      <c r="D27" s="3">
        <v>1</v>
      </c>
      <c r="E27" s="4" t="s">
        <v>543</v>
      </c>
      <c r="F27" s="19" t="s">
        <v>74</v>
      </c>
      <c r="G27" s="10" t="s">
        <v>19</v>
      </c>
      <c r="H27" s="11">
        <v>750</v>
      </c>
    </row>
    <row r="28" spans="1:8" ht="20.100000000000001" customHeight="1" x14ac:dyDescent="0.25">
      <c r="A28" s="77"/>
      <c r="B28" s="2">
        <v>45387</v>
      </c>
      <c r="C28" s="3">
        <v>1457213430</v>
      </c>
      <c r="D28" s="3">
        <v>1</v>
      </c>
      <c r="E28" s="4" t="s">
        <v>461</v>
      </c>
      <c r="F28" s="19" t="s">
        <v>74</v>
      </c>
      <c r="G28" s="10" t="s">
        <v>7</v>
      </c>
      <c r="H28" s="11">
        <v>750</v>
      </c>
    </row>
    <row r="29" spans="1:8" ht="20.100000000000001" customHeight="1" x14ac:dyDescent="0.25">
      <c r="A29" s="77"/>
      <c r="B29" s="2">
        <v>45387</v>
      </c>
      <c r="C29" s="3">
        <v>2598979692</v>
      </c>
      <c r="D29" s="3">
        <v>3</v>
      </c>
      <c r="E29" s="4" t="s">
        <v>462</v>
      </c>
      <c r="F29" s="19" t="s">
        <v>74</v>
      </c>
      <c r="G29" s="10" t="s">
        <v>11</v>
      </c>
      <c r="H29" s="11">
        <v>2250</v>
      </c>
    </row>
    <row r="30" spans="1:8" ht="20.100000000000001" customHeight="1" x14ac:dyDescent="0.25">
      <c r="A30" s="77"/>
      <c r="B30" s="2">
        <v>45391</v>
      </c>
      <c r="C30" s="3">
        <v>3755362905</v>
      </c>
      <c r="D30" s="3">
        <v>1</v>
      </c>
      <c r="E30" s="4" t="s">
        <v>544</v>
      </c>
      <c r="F30" s="19" t="s">
        <v>74</v>
      </c>
      <c r="G30" s="10" t="s">
        <v>11</v>
      </c>
      <c r="H30" s="11">
        <v>750</v>
      </c>
    </row>
    <row r="31" spans="1:8" ht="20.100000000000001" customHeight="1" x14ac:dyDescent="0.25">
      <c r="A31" s="77"/>
      <c r="B31" s="2">
        <v>45400</v>
      </c>
      <c r="C31" s="3">
        <v>1558597325</v>
      </c>
      <c r="D31" s="3">
        <v>1</v>
      </c>
      <c r="E31" s="4" t="s">
        <v>535</v>
      </c>
      <c r="F31" s="19" t="s">
        <v>74</v>
      </c>
      <c r="G31" s="10" t="s">
        <v>6</v>
      </c>
      <c r="H31" s="11">
        <v>750</v>
      </c>
    </row>
    <row r="32" spans="1:8" ht="20.100000000000001" customHeight="1" x14ac:dyDescent="0.25">
      <c r="A32" s="77"/>
      <c r="B32" s="2">
        <v>45404</v>
      </c>
      <c r="C32" s="3">
        <v>2065975418</v>
      </c>
      <c r="D32" s="3">
        <v>1</v>
      </c>
      <c r="E32" s="4" t="s">
        <v>264</v>
      </c>
      <c r="F32" s="19" t="s">
        <v>74</v>
      </c>
      <c r="G32" s="10" t="s">
        <v>7</v>
      </c>
      <c r="H32" s="11">
        <v>750</v>
      </c>
    </row>
    <row r="33" spans="1:8" ht="20.100000000000001" customHeight="1" x14ac:dyDescent="0.25">
      <c r="A33" s="77"/>
      <c r="B33" s="2">
        <v>45404</v>
      </c>
      <c r="C33" s="3">
        <v>3630385006</v>
      </c>
      <c r="D33" s="3">
        <v>2</v>
      </c>
      <c r="E33" s="4" t="s">
        <v>106</v>
      </c>
      <c r="F33" s="19" t="s">
        <v>74</v>
      </c>
      <c r="G33" s="10" t="s">
        <v>19</v>
      </c>
      <c r="H33" s="11">
        <v>1500</v>
      </c>
    </row>
    <row r="34" spans="1:8" ht="20.100000000000001" customHeight="1" x14ac:dyDescent="0.25">
      <c r="A34" s="77"/>
      <c r="B34" s="2">
        <v>45405</v>
      </c>
      <c r="C34" s="3">
        <v>3669642048</v>
      </c>
      <c r="D34" s="3">
        <v>1</v>
      </c>
      <c r="E34" s="4" t="s">
        <v>539</v>
      </c>
      <c r="F34" s="19" t="s">
        <v>74</v>
      </c>
      <c r="G34" s="10" t="s">
        <v>7</v>
      </c>
      <c r="H34" s="11">
        <v>750</v>
      </c>
    </row>
    <row r="35" spans="1:8" ht="20.100000000000001" customHeight="1" x14ac:dyDescent="0.25">
      <c r="A35" s="77"/>
      <c r="B35" s="2">
        <v>45407</v>
      </c>
      <c r="C35" s="3">
        <v>935674647</v>
      </c>
      <c r="D35" s="3">
        <v>3</v>
      </c>
      <c r="E35" s="4" t="s">
        <v>545</v>
      </c>
      <c r="F35" s="19" t="s">
        <v>74</v>
      </c>
      <c r="G35" s="10" t="s">
        <v>6</v>
      </c>
      <c r="H35" s="11">
        <v>2250</v>
      </c>
    </row>
    <row r="36" spans="1:8" ht="20.100000000000001" customHeight="1" x14ac:dyDescent="0.25">
      <c r="A36" s="77"/>
      <c r="B36" s="2">
        <v>45418</v>
      </c>
      <c r="C36" s="3">
        <v>528173846</v>
      </c>
      <c r="D36" s="3">
        <v>3</v>
      </c>
      <c r="E36" s="19" t="s">
        <v>641</v>
      </c>
      <c r="F36" s="19" t="s">
        <v>642</v>
      </c>
      <c r="G36" s="10" t="s">
        <v>10</v>
      </c>
      <c r="H36" s="11">
        <v>2250</v>
      </c>
    </row>
    <row r="37" spans="1:8" ht="20.100000000000001" customHeight="1" x14ac:dyDescent="0.25">
      <c r="A37" s="77"/>
      <c r="B37" s="2">
        <v>45436</v>
      </c>
      <c r="C37" s="3">
        <v>719471508</v>
      </c>
      <c r="D37" s="3">
        <v>1</v>
      </c>
      <c r="E37" s="19" t="s">
        <v>625</v>
      </c>
      <c r="F37" s="19" t="s">
        <v>642</v>
      </c>
      <c r="G37" s="10" t="s">
        <v>7</v>
      </c>
      <c r="H37" s="11">
        <v>750</v>
      </c>
    </row>
    <row r="38" spans="1:8" ht="20.100000000000001" customHeight="1" x14ac:dyDescent="0.25">
      <c r="A38" s="77"/>
      <c r="B38" s="2">
        <v>45436</v>
      </c>
      <c r="C38" s="3">
        <v>341131478</v>
      </c>
      <c r="D38" s="3">
        <v>1</v>
      </c>
      <c r="E38" s="19" t="s">
        <v>633</v>
      </c>
      <c r="F38" s="19" t="s">
        <v>642</v>
      </c>
      <c r="G38" s="10" t="s">
        <v>7</v>
      </c>
      <c r="H38" s="11">
        <v>750</v>
      </c>
    </row>
    <row r="39" spans="1:8" ht="20.100000000000001" customHeight="1" x14ac:dyDescent="0.25">
      <c r="A39" s="77"/>
      <c r="B39" s="2">
        <v>45446</v>
      </c>
      <c r="C39" s="3">
        <v>1174095299</v>
      </c>
      <c r="D39" s="3">
        <v>1</v>
      </c>
      <c r="E39" s="19" t="s">
        <v>723</v>
      </c>
      <c r="F39" s="19" t="s">
        <v>74</v>
      </c>
      <c r="G39" s="10" t="s">
        <v>7</v>
      </c>
      <c r="H39" s="11">
        <v>750</v>
      </c>
    </row>
    <row r="40" spans="1:8" ht="20.100000000000001" customHeight="1" x14ac:dyDescent="0.25">
      <c r="A40" s="77"/>
      <c r="B40" s="2">
        <v>45447</v>
      </c>
      <c r="C40" s="3">
        <v>181028285</v>
      </c>
      <c r="D40" s="3">
        <v>1</v>
      </c>
      <c r="E40" s="19" t="s">
        <v>724</v>
      </c>
      <c r="F40" s="19" t="s">
        <v>74</v>
      </c>
      <c r="G40" s="10" t="s">
        <v>7</v>
      </c>
      <c r="H40" s="11">
        <v>750</v>
      </c>
    </row>
    <row r="41" spans="1:8" ht="20.100000000000001" customHeight="1" x14ac:dyDescent="0.25">
      <c r="A41" s="77"/>
      <c r="B41" s="2">
        <v>45449</v>
      </c>
      <c r="C41" s="3">
        <v>3974447907</v>
      </c>
      <c r="D41" s="3">
        <v>1</v>
      </c>
      <c r="E41" s="19" t="s">
        <v>736</v>
      </c>
      <c r="F41" s="19" t="s">
        <v>74</v>
      </c>
      <c r="G41" s="10" t="s">
        <v>7</v>
      </c>
      <c r="H41" s="11">
        <v>750</v>
      </c>
    </row>
    <row r="42" spans="1:8" ht="20.100000000000001" customHeight="1" x14ac:dyDescent="0.25">
      <c r="A42" s="77"/>
      <c r="B42" s="2">
        <v>45455</v>
      </c>
      <c r="C42" s="3">
        <v>3743762547</v>
      </c>
      <c r="D42" s="3">
        <v>1</v>
      </c>
      <c r="E42" s="19" t="s">
        <v>728</v>
      </c>
      <c r="F42" s="19" t="s">
        <v>74</v>
      </c>
      <c r="G42" s="10" t="s">
        <v>7</v>
      </c>
      <c r="H42" s="11">
        <v>750</v>
      </c>
    </row>
    <row r="43" spans="1:8" ht="20.100000000000001" customHeight="1" x14ac:dyDescent="0.25">
      <c r="A43" s="77"/>
      <c r="B43" s="2">
        <v>45455</v>
      </c>
      <c r="C43" s="3">
        <v>3743762547</v>
      </c>
      <c r="D43" s="3">
        <v>1</v>
      </c>
      <c r="E43" s="19" t="s">
        <v>729</v>
      </c>
      <c r="F43" s="19" t="s">
        <v>74</v>
      </c>
      <c r="G43" s="10" t="s">
        <v>7</v>
      </c>
      <c r="H43" s="11">
        <v>750</v>
      </c>
    </row>
    <row r="44" spans="1:8" ht="20.100000000000001" customHeight="1" x14ac:dyDescent="0.25">
      <c r="A44" s="77"/>
      <c r="B44" s="2">
        <v>45460</v>
      </c>
      <c r="C44" s="3">
        <v>2626440107</v>
      </c>
      <c r="D44" s="3">
        <v>1</v>
      </c>
      <c r="E44" s="19" t="s">
        <v>685</v>
      </c>
      <c r="F44" s="19" t="s">
        <v>74</v>
      </c>
      <c r="G44" s="10" t="s">
        <v>19</v>
      </c>
      <c r="H44" s="11">
        <v>750</v>
      </c>
    </row>
    <row r="45" spans="1:8" ht="20.100000000000001" customHeight="1" x14ac:dyDescent="0.25">
      <c r="A45" s="77"/>
      <c r="B45" s="2">
        <v>45463</v>
      </c>
      <c r="C45" s="3">
        <v>2081443783</v>
      </c>
      <c r="D45" s="3">
        <v>1</v>
      </c>
      <c r="E45" s="19" t="s">
        <v>179</v>
      </c>
      <c r="F45" s="19" t="s">
        <v>74</v>
      </c>
      <c r="G45" s="10" t="s">
        <v>7</v>
      </c>
      <c r="H45" s="11">
        <v>750</v>
      </c>
    </row>
    <row r="46" spans="1:8" ht="20.100000000000001" customHeight="1" x14ac:dyDescent="0.25">
      <c r="A46" s="77"/>
      <c r="B46" s="2">
        <v>45467</v>
      </c>
      <c r="C46" s="3">
        <v>1310474259</v>
      </c>
      <c r="D46" s="3">
        <v>1</v>
      </c>
      <c r="E46" s="19" t="s">
        <v>737</v>
      </c>
      <c r="F46" s="19" t="s">
        <v>738</v>
      </c>
      <c r="G46" s="10" t="s">
        <v>6</v>
      </c>
      <c r="H46" s="11">
        <v>900</v>
      </c>
    </row>
    <row r="47" spans="1:8" ht="20.100000000000001" customHeight="1" x14ac:dyDescent="0.25">
      <c r="A47" s="77"/>
      <c r="B47" s="2">
        <v>45468</v>
      </c>
      <c r="C47" s="3">
        <v>3439152553</v>
      </c>
      <c r="D47" s="3">
        <v>1</v>
      </c>
      <c r="E47" s="19" t="s">
        <v>667</v>
      </c>
      <c r="F47" s="19" t="s">
        <v>74</v>
      </c>
      <c r="G47" s="10" t="s">
        <v>19</v>
      </c>
      <c r="H47" s="11">
        <v>750</v>
      </c>
    </row>
    <row r="48" spans="1:8" ht="20.100000000000001" customHeight="1" x14ac:dyDescent="0.25">
      <c r="A48" s="77"/>
      <c r="B48" s="2">
        <v>45477</v>
      </c>
      <c r="C48" s="3">
        <v>2603435459</v>
      </c>
      <c r="D48" s="3">
        <v>3</v>
      </c>
      <c r="E48" s="4" t="s">
        <v>264</v>
      </c>
      <c r="F48" s="19" t="s">
        <v>74</v>
      </c>
      <c r="G48" s="10" t="s">
        <v>7</v>
      </c>
      <c r="H48" s="11">
        <v>1920</v>
      </c>
    </row>
    <row r="49" spans="1:8" ht="20.100000000000001" customHeight="1" x14ac:dyDescent="0.25">
      <c r="A49" s="77"/>
      <c r="B49" s="2">
        <v>45482</v>
      </c>
      <c r="C49" s="3">
        <v>3722004618</v>
      </c>
      <c r="D49" s="3">
        <v>1</v>
      </c>
      <c r="E49" s="4" t="s">
        <v>254</v>
      </c>
      <c r="F49" s="19" t="s">
        <v>74</v>
      </c>
      <c r="G49" s="10" t="s">
        <v>10</v>
      </c>
      <c r="H49" s="11">
        <v>750</v>
      </c>
    </row>
    <row r="50" spans="1:8" ht="20.100000000000001" customHeight="1" x14ac:dyDescent="0.25">
      <c r="A50" s="77"/>
      <c r="B50" s="2">
        <v>45496</v>
      </c>
      <c r="C50" s="3">
        <v>2600159298</v>
      </c>
      <c r="D50" s="3">
        <v>1</v>
      </c>
      <c r="E50" s="4" t="s">
        <v>802</v>
      </c>
      <c r="F50" s="19" t="s">
        <v>74</v>
      </c>
      <c r="G50" s="10" t="s">
        <v>6</v>
      </c>
      <c r="H50" s="11">
        <v>750</v>
      </c>
    </row>
    <row r="51" spans="1:8" ht="20.100000000000001" customHeight="1" x14ac:dyDescent="0.25">
      <c r="A51" s="77"/>
      <c r="B51" s="2">
        <v>45504</v>
      </c>
      <c r="C51" s="3">
        <v>2114209742</v>
      </c>
      <c r="D51" s="3">
        <v>1</v>
      </c>
      <c r="E51" s="4" t="s">
        <v>683</v>
      </c>
      <c r="F51" s="19" t="s">
        <v>74</v>
      </c>
      <c r="G51" s="10" t="s">
        <v>10</v>
      </c>
      <c r="H51" s="11">
        <v>750</v>
      </c>
    </row>
    <row r="52" spans="1:8" ht="20.100000000000001" customHeight="1" x14ac:dyDescent="0.25">
      <c r="A52" s="77"/>
      <c r="B52" s="2">
        <v>45504</v>
      </c>
      <c r="C52" s="3">
        <v>913000973</v>
      </c>
      <c r="D52" s="3">
        <v>1</v>
      </c>
      <c r="E52" s="4" t="s">
        <v>269</v>
      </c>
      <c r="F52" s="19" t="s">
        <v>74</v>
      </c>
      <c r="G52" s="10" t="s">
        <v>6</v>
      </c>
      <c r="H52" s="11">
        <v>750</v>
      </c>
    </row>
    <row r="53" spans="1:8" ht="20.100000000000001" customHeight="1" x14ac:dyDescent="0.25">
      <c r="A53" s="77"/>
      <c r="B53" s="2">
        <v>45505</v>
      </c>
      <c r="C53" s="3">
        <v>3421193200</v>
      </c>
      <c r="D53" s="3">
        <v>1</v>
      </c>
      <c r="E53" s="4" t="s">
        <v>952</v>
      </c>
      <c r="F53" s="19" t="s">
        <v>74</v>
      </c>
      <c r="G53" s="5" t="s">
        <v>6</v>
      </c>
      <c r="H53" s="6">
        <v>750</v>
      </c>
    </row>
    <row r="54" spans="1:8" ht="20.100000000000001" customHeight="1" x14ac:dyDescent="0.25">
      <c r="A54" s="77"/>
      <c r="B54" s="2">
        <v>45506</v>
      </c>
      <c r="C54" s="3">
        <v>1161383225</v>
      </c>
      <c r="D54" s="3">
        <v>1</v>
      </c>
      <c r="E54" s="4" t="s">
        <v>391</v>
      </c>
      <c r="F54" s="19" t="s">
        <v>74</v>
      </c>
      <c r="G54" s="5" t="s">
        <v>6</v>
      </c>
      <c r="H54" s="6">
        <v>750</v>
      </c>
    </row>
    <row r="55" spans="1:8" ht="20.100000000000001" customHeight="1" x14ac:dyDescent="0.25">
      <c r="A55" s="77"/>
      <c r="B55" s="2">
        <v>45511</v>
      </c>
      <c r="C55" s="3">
        <v>3703851670</v>
      </c>
      <c r="D55" s="3">
        <v>4</v>
      </c>
      <c r="E55" s="4" t="s">
        <v>106</v>
      </c>
      <c r="F55" s="19" t="s">
        <v>74</v>
      </c>
      <c r="G55" s="5" t="s">
        <v>19</v>
      </c>
      <c r="H55" s="6">
        <v>2800</v>
      </c>
    </row>
    <row r="56" spans="1:8" ht="20.100000000000001" customHeight="1" x14ac:dyDescent="0.25">
      <c r="A56" s="77"/>
      <c r="B56" s="2">
        <v>45513</v>
      </c>
      <c r="C56" s="3">
        <v>2650555998</v>
      </c>
      <c r="D56" s="3">
        <v>1</v>
      </c>
      <c r="E56" s="4" t="s">
        <v>502</v>
      </c>
      <c r="F56" s="19" t="s">
        <v>74</v>
      </c>
      <c r="G56" s="5" t="s">
        <v>6</v>
      </c>
      <c r="H56" s="6">
        <v>750</v>
      </c>
    </row>
    <row r="57" spans="1:8" ht="20.100000000000001" customHeight="1" x14ac:dyDescent="0.25">
      <c r="A57" s="77"/>
      <c r="B57" s="2">
        <v>45556</v>
      </c>
      <c r="C57" s="3">
        <v>3465300698</v>
      </c>
      <c r="D57" s="3">
        <v>1</v>
      </c>
      <c r="E57" s="4" t="s">
        <v>94</v>
      </c>
      <c r="F57" s="19" t="s">
        <v>74</v>
      </c>
      <c r="G57" s="5" t="s">
        <v>19</v>
      </c>
      <c r="H57" s="6">
        <v>750</v>
      </c>
    </row>
    <row r="58" spans="1:8" ht="20.100000000000001" customHeight="1" x14ac:dyDescent="0.25">
      <c r="A58" s="77"/>
      <c r="B58" s="2">
        <v>45527</v>
      </c>
      <c r="C58" s="3">
        <v>1019825319</v>
      </c>
      <c r="D58" s="3">
        <v>1</v>
      </c>
      <c r="E58" s="4" t="s">
        <v>892</v>
      </c>
      <c r="F58" s="19" t="s">
        <v>74</v>
      </c>
      <c r="G58" s="5" t="s">
        <v>6</v>
      </c>
      <c r="H58" s="6">
        <v>750</v>
      </c>
    </row>
    <row r="59" spans="1:8" ht="20.100000000000001" customHeight="1" x14ac:dyDescent="0.25">
      <c r="A59" s="77"/>
      <c r="B59" s="2">
        <v>45532</v>
      </c>
      <c r="C59" s="3">
        <v>3047441177</v>
      </c>
      <c r="D59" s="3">
        <v>1</v>
      </c>
      <c r="E59" s="4" t="s">
        <v>930</v>
      </c>
      <c r="F59" s="19" t="s">
        <v>74</v>
      </c>
      <c r="G59" s="5" t="s">
        <v>7</v>
      </c>
      <c r="H59" s="6">
        <v>700</v>
      </c>
    </row>
    <row r="60" spans="1:8" ht="20.100000000000001" customHeight="1" x14ac:dyDescent="0.25">
      <c r="A60" s="77"/>
      <c r="B60" s="2">
        <v>45538</v>
      </c>
      <c r="C60" s="3">
        <v>2022590115</v>
      </c>
      <c r="D60" s="3">
        <v>1</v>
      </c>
      <c r="E60" s="4" t="s">
        <v>1005</v>
      </c>
      <c r="F60" s="19" t="s">
        <v>74</v>
      </c>
      <c r="G60" s="5" t="s">
        <v>6</v>
      </c>
      <c r="H60" s="6">
        <v>750</v>
      </c>
    </row>
    <row r="61" spans="1:8" ht="20.100000000000001" customHeight="1" x14ac:dyDescent="0.25">
      <c r="A61" s="77"/>
      <c r="B61" s="2">
        <v>45544</v>
      </c>
      <c r="C61" s="3">
        <v>2506965414</v>
      </c>
      <c r="D61" s="3">
        <v>1</v>
      </c>
      <c r="E61" s="4" t="s">
        <v>1021</v>
      </c>
      <c r="F61" s="19" t="s">
        <v>74</v>
      </c>
      <c r="G61" s="5" t="s">
        <v>6</v>
      </c>
      <c r="H61" s="6">
        <v>750</v>
      </c>
    </row>
    <row r="62" spans="1:8" ht="19.5" customHeight="1" x14ac:dyDescent="0.25">
      <c r="A62" s="77"/>
      <c r="B62" s="2">
        <v>45544</v>
      </c>
      <c r="C62" s="3">
        <v>2506965414</v>
      </c>
      <c r="D62" s="3">
        <v>1</v>
      </c>
      <c r="E62" s="4" t="s">
        <v>198</v>
      </c>
      <c r="F62" s="19" t="s">
        <v>74</v>
      </c>
      <c r="G62" s="5" t="s">
        <v>6</v>
      </c>
      <c r="H62" s="6">
        <v>750</v>
      </c>
    </row>
    <row r="63" spans="1:8" ht="19.5" customHeight="1" x14ac:dyDescent="0.25">
      <c r="A63" s="77"/>
      <c r="B63" s="2">
        <v>45555</v>
      </c>
      <c r="C63" s="3">
        <v>2045329713</v>
      </c>
      <c r="D63" s="3">
        <v>1</v>
      </c>
      <c r="E63" s="4" t="s">
        <v>967</v>
      </c>
      <c r="F63" s="19" t="s">
        <v>74</v>
      </c>
      <c r="G63" s="5" t="s">
        <v>6</v>
      </c>
      <c r="H63" s="6">
        <v>750</v>
      </c>
    </row>
    <row r="64" spans="1:8" ht="19.5" customHeight="1" x14ac:dyDescent="0.25">
      <c r="A64" s="77"/>
      <c r="B64" s="2">
        <v>45560</v>
      </c>
      <c r="C64" s="3">
        <v>3495120489</v>
      </c>
      <c r="D64" s="3">
        <v>1</v>
      </c>
      <c r="E64" s="4" t="s">
        <v>780</v>
      </c>
      <c r="F64" s="19" t="s">
        <v>74</v>
      </c>
      <c r="G64" s="5" t="s">
        <v>6</v>
      </c>
      <c r="H64" s="6">
        <v>750</v>
      </c>
    </row>
    <row r="65" spans="1:8" ht="19.5" customHeight="1" x14ac:dyDescent="0.25">
      <c r="A65" s="77"/>
      <c r="B65" s="2">
        <v>45561</v>
      </c>
      <c r="C65" s="3">
        <v>765544310</v>
      </c>
      <c r="D65" s="3">
        <v>1</v>
      </c>
      <c r="E65" s="4" t="s">
        <v>1022</v>
      </c>
      <c r="F65" s="19" t="s">
        <v>74</v>
      </c>
      <c r="G65" s="5" t="s">
        <v>7</v>
      </c>
      <c r="H65" s="6">
        <v>750</v>
      </c>
    </row>
    <row r="66" spans="1:8" ht="19.5" customHeight="1" x14ac:dyDescent="0.25">
      <c r="A66" s="77"/>
      <c r="B66" s="2">
        <v>45565</v>
      </c>
      <c r="C66" s="3">
        <v>1317684759</v>
      </c>
      <c r="D66" s="3">
        <v>1</v>
      </c>
      <c r="E66" s="4" t="s">
        <v>228</v>
      </c>
      <c r="F66" s="19" t="s">
        <v>74</v>
      </c>
      <c r="G66" s="5" t="s">
        <v>11</v>
      </c>
      <c r="H66" s="6">
        <v>750</v>
      </c>
    </row>
    <row r="67" spans="1:8" ht="19.5" customHeight="1" x14ac:dyDescent="0.25">
      <c r="A67" s="77"/>
      <c r="B67" s="2">
        <v>45565</v>
      </c>
      <c r="C67" s="3">
        <v>3340062639</v>
      </c>
      <c r="D67" s="3">
        <v>2</v>
      </c>
      <c r="E67" s="4" t="s">
        <v>1023</v>
      </c>
      <c r="F67" s="19" t="s">
        <v>74</v>
      </c>
      <c r="G67" s="5" t="s">
        <v>7</v>
      </c>
      <c r="H67" s="6">
        <v>1500</v>
      </c>
    </row>
    <row r="68" spans="1:8" ht="19.5" customHeight="1" x14ac:dyDescent="0.25">
      <c r="A68" s="77"/>
      <c r="B68" s="2">
        <v>45568</v>
      </c>
      <c r="C68" s="3">
        <v>3236253181</v>
      </c>
      <c r="D68" s="3">
        <v>1</v>
      </c>
      <c r="E68" s="4" t="s">
        <v>1037</v>
      </c>
      <c r="F68" s="19" t="s">
        <v>74</v>
      </c>
      <c r="G68" s="5" t="s">
        <v>7</v>
      </c>
      <c r="H68" s="6">
        <v>750</v>
      </c>
    </row>
    <row r="69" spans="1:8" ht="19.5" customHeight="1" x14ac:dyDescent="0.25">
      <c r="A69" s="77"/>
      <c r="B69" s="2">
        <v>45574</v>
      </c>
      <c r="C69" s="3">
        <v>2807644869</v>
      </c>
      <c r="D69" s="3">
        <v>1</v>
      </c>
      <c r="E69" s="4" t="s">
        <v>1099</v>
      </c>
      <c r="F69" s="19" t="s">
        <v>74</v>
      </c>
      <c r="G69" s="5" t="s">
        <v>6</v>
      </c>
      <c r="H69" s="6">
        <v>750</v>
      </c>
    </row>
    <row r="70" spans="1:8" ht="19.5" customHeight="1" x14ac:dyDescent="0.25">
      <c r="A70" s="77"/>
      <c r="B70" s="2">
        <v>45576</v>
      </c>
      <c r="C70" s="3">
        <v>1674723443</v>
      </c>
      <c r="D70" s="3">
        <v>1</v>
      </c>
      <c r="E70" s="4" t="s">
        <v>1100</v>
      </c>
      <c r="F70" s="19" t="s">
        <v>74</v>
      </c>
      <c r="G70" s="5" t="s">
        <v>7</v>
      </c>
      <c r="H70" s="6">
        <v>750</v>
      </c>
    </row>
    <row r="71" spans="1:8" ht="19.5" customHeight="1" x14ac:dyDescent="0.25">
      <c r="A71" s="77"/>
      <c r="B71" s="2">
        <v>45579</v>
      </c>
      <c r="C71" s="3">
        <v>16933994579</v>
      </c>
      <c r="D71" s="3">
        <v>1</v>
      </c>
      <c r="E71" s="4" t="s">
        <v>1090</v>
      </c>
      <c r="F71" s="19" t="s">
        <v>74</v>
      </c>
      <c r="G71" s="5" t="s">
        <v>7</v>
      </c>
      <c r="H71" s="6">
        <v>750</v>
      </c>
    </row>
    <row r="72" spans="1:8" ht="19.5" customHeight="1" x14ac:dyDescent="0.25">
      <c r="A72" s="77"/>
      <c r="B72" s="2">
        <v>45581</v>
      </c>
      <c r="C72" s="3">
        <v>4133767457</v>
      </c>
      <c r="D72" s="3">
        <v>1</v>
      </c>
      <c r="E72" s="4" t="s">
        <v>1091</v>
      </c>
      <c r="F72" s="19" t="s">
        <v>74</v>
      </c>
      <c r="G72" s="5" t="s">
        <v>10</v>
      </c>
      <c r="H72" s="6">
        <v>750</v>
      </c>
    </row>
    <row r="73" spans="1:8" ht="19.5" customHeight="1" x14ac:dyDescent="0.25">
      <c r="A73" s="77"/>
      <c r="B73" s="2">
        <v>45583</v>
      </c>
      <c r="C73" s="3">
        <v>2368881418</v>
      </c>
      <c r="D73" s="3">
        <v>2</v>
      </c>
      <c r="E73" s="4" t="s">
        <v>97</v>
      </c>
      <c r="F73" s="19" t="s">
        <v>74</v>
      </c>
      <c r="G73" s="5" t="s">
        <v>19</v>
      </c>
      <c r="H73" s="6">
        <v>1500</v>
      </c>
    </row>
    <row r="74" spans="1:8" ht="19.5" customHeight="1" x14ac:dyDescent="0.25">
      <c r="A74" s="77"/>
      <c r="B74" s="2">
        <v>45587</v>
      </c>
      <c r="C74" s="3">
        <v>540951001</v>
      </c>
      <c r="D74" s="3">
        <v>1</v>
      </c>
      <c r="E74" s="4" t="s">
        <v>800</v>
      </c>
      <c r="F74" s="19" t="s">
        <v>74</v>
      </c>
      <c r="G74" s="5" t="s">
        <v>6</v>
      </c>
      <c r="H74" s="6">
        <v>750</v>
      </c>
    </row>
    <row r="75" spans="1:8" ht="19.5" customHeight="1" x14ac:dyDescent="0.25">
      <c r="A75" s="77"/>
      <c r="B75" s="2">
        <v>45587</v>
      </c>
      <c r="C75" s="3">
        <v>3081588223</v>
      </c>
      <c r="D75" s="3">
        <v>1</v>
      </c>
      <c r="E75" s="4" t="s">
        <v>1091</v>
      </c>
      <c r="F75" s="19" t="s">
        <v>74</v>
      </c>
      <c r="G75" s="5" t="s">
        <v>10</v>
      </c>
      <c r="H75" s="6">
        <v>750</v>
      </c>
    </row>
    <row r="76" spans="1:8" ht="19.5" customHeight="1" x14ac:dyDescent="0.25">
      <c r="A76" s="77"/>
      <c r="B76" s="2">
        <v>45601</v>
      </c>
      <c r="C76" s="3">
        <v>998327909</v>
      </c>
      <c r="D76" s="3">
        <v>1</v>
      </c>
      <c r="E76" s="4" t="s">
        <v>1239</v>
      </c>
      <c r="F76" s="19" t="s">
        <v>74</v>
      </c>
      <c r="G76" s="5" t="s">
        <v>10</v>
      </c>
      <c r="H76" s="6">
        <v>750</v>
      </c>
    </row>
    <row r="77" spans="1:8" ht="19.5" customHeight="1" x14ac:dyDescent="0.25">
      <c r="A77" s="77"/>
      <c r="B77" s="2">
        <v>45610</v>
      </c>
      <c r="C77" s="3">
        <v>1136674904</v>
      </c>
      <c r="D77" s="3">
        <v>1</v>
      </c>
      <c r="E77" s="4" t="s">
        <v>780</v>
      </c>
      <c r="F77" s="19" t="s">
        <v>74</v>
      </c>
      <c r="G77" s="5" t="s">
        <v>6</v>
      </c>
      <c r="H77" s="6">
        <v>750</v>
      </c>
    </row>
    <row r="78" spans="1:8" ht="19.5" customHeight="1" x14ac:dyDescent="0.25">
      <c r="A78" s="77"/>
      <c r="B78" s="61">
        <v>45628</v>
      </c>
      <c r="C78" s="62">
        <v>1987004504</v>
      </c>
      <c r="D78" s="56">
        <v>1</v>
      </c>
      <c r="E78" s="57" t="s">
        <v>544</v>
      </c>
      <c r="F78" s="57" t="s">
        <v>74</v>
      </c>
      <c r="G78" s="59" t="s">
        <v>10</v>
      </c>
      <c r="H78" s="58">
        <v>750</v>
      </c>
    </row>
    <row r="79" spans="1:8" ht="19.5" customHeight="1" x14ac:dyDescent="0.25">
      <c r="A79" s="77"/>
      <c r="B79" s="61">
        <v>45631</v>
      </c>
      <c r="C79" s="62">
        <v>3743696020</v>
      </c>
      <c r="D79" s="56">
        <v>1</v>
      </c>
      <c r="E79" s="57" t="s">
        <v>1277</v>
      </c>
      <c r="F79" s="57" t="s">
        <v>74</v>
      </c>
      <c r="G79" s="59" t="s">
        <v>6</v>
      </c>
      <c r="H79" s="58">
        <v>750</v>
      </c>
    </row>
    <row r="80" spans="1:8" ht="19.5" customHeight="1" x14ac:dyDescent="0.25">
      <c r="A80" s="77"/>
      <c r="B80" s="61">
        <v>45631</v>
      </c>
      <c r="C80" s="62">
        <v>1621313940</v>
      </c>
      <c r="D80" s="56">
        <v>3</v>
      </c>
      <c r="E80" s="57" t="s">
        <v>1201</v>
      </c>
      <c r="F80" s="57" t="s">
        <v>74</v>
      </c>
      <c r="G80" s="59" t="s">
        <v>7</v>
      </c>
      <c r="H80" s="58">
        <v>2250</v>
      </c>
    </row>
    <row r="81" spans="1:8" ht="19.5" customHeight="1" x14ac:dyDescent="0.25">
      <c r="A81" s="77"/>
      <c r="B81" s="61">
        <v>45644</v>
      </c>
      <c r="C81" s="62">
        <v>2141932067</v>
      </c>
      <c r="D81" s="56">
        <v>1</v>
      </c>
      <c r="E81" s="57" t="s">
        <v>1170</v>
      </c>
      <c r="F81" s="57" t="s">
        <v>74</v>
      </c>
      <c r="G81" s="59" t="s">
        <v>19</v>
      </c>
      <c r="H81" s="58">
        <v>750</v>
      </c>
    </row>
    <row r="82" spans="1:8" ht="19.5" customHeight="1" x14ac:dyDescent="0.25">
      <c r="A82" s="77"/>
      <c r="B82" s="61">
        <v>45645</v>
      </c>
      <c r="C82" s="62">
        <v>1479166327</v>
      </c>
      <c r="D82" s="56">
        <v>1</v>
      </c>
      <c r="E82" s="57" t="s">
        <v>170</v>
      </c>
      <c r="F82" s="57" t="s">
        <v>74</v>
      </c>
      <c r="G82" s="59" t="s">
        <v>6</v>
      </c>
      <c r="H82" s="58">
        <v>750</v>
      </c>
    </row>
    <row r="83" spans="1:8" ht="19.5" customHeight="1" x14ac:dyDescent="0.25">
      <c r="A83" s="77"/>
      <c r="B83" s="61">
        <v>45646</v>
      </c>
      <c r="C83" s="62">
        <v>4254155511</v>
      </c>
      <c r="D83" s="56">
        <v>1</v>
      </c>
      <c r="E83" s="57" t="s">
        <v>1263</v>
      </c>
      <c r="F83" s="57" t="s">
        <v>74</v>
      </c>
      <c r="G83" s="59" t="s">
        <v>6</v>
      </c>
      <c r="H83" s="58">
        <v>750</v>
      </c>
    </row>
    <row r="84" spans="1:8" ht="19.5" customHeight="1" x14ac:dyDescent="0.25">
      <c r="A84" s="77"/>
      <c r="B84" s="2"/>
      <c r="C84" s="3"/>
      <c r="D84" s="3"/>
      <c r="E84" s="4"/>
      <c r="F84" s="19"/>
      <c r="G84" s="5"/>
      <c r="H84" s="6"/>
    </row>
    <row r="85" spans="1:8" ht="19.5" customHeight="1" x14ac:dyDescent="0.25">
      <c r="A85" s="77"/>
      <c r="B85" s="2"/>
      <c r="C85" s="3"/>
      <c r="D85" s="3"/>
      <c r="E85" s="4"/>
      <c r="F85" s="19"/>
      <c r="G85" s="5"/>
      <c r="H85" s="6"/>
    </row>
    <row r="86" spans="1:8" ht="19.5" customHeight="1" x14ac:dyDescent="0.25">
      <c r="A86" s="77"/>
      <c r="B86" s="2"/>
      <c r="C86" s="3"/>
      <c r="D86" s="3"/>
      <c r="E86" s="4"/>
      <c r="F86" s="19"/>
      <c r="G86" s="5"/>
      <c r="H86" s="6"/>
    </row>
    <row r="87" spans="1:8" ht="19.5" customHeight="1" x14ac:dyDescent="0.25">
      <c r="A87" s="77"/>
      <c r="B87" s="2"/>
      <c r="C87" s="3"/>
      <c r="D87" s="3"/>
      <c r="E87" s="4"/>
      <c r="F87" s="19"/>
      <c r="G87" s="5"/>
      <c r="H87" s="6"/>
    </row>
    <row r="88" spans="1:8" ht="19.5" customHeight="1" x14ac:dyDescent="0.25">
      <c r="A88" s="77"/>
      <c r="B88" s="2"/>
      <c r="C88" s="3"/>
      <c r="D88" s="3"/>
      <c r="E88" s="4"/>
      <c r="F88" s="19"/>
      <c r="G88" s="5"/>
      <c r="H88" s="6"/>
    </row>
    <row r="89" spans="1:8" ht="19.5" customHeight="1" x14ac:dyDescent="0.25">
      <c r="A89" s="77"/>
      <c r="B89" s="2"/>
      <c r="C89" s="3"/>
      <c r="D89" s="3"/>
      <c r="E89" s="4"/>
      <c r="F89" s="19"/>
      <c r="G89" s="5"/>
      <c r="H89" s="6"/>
    </row>
    <row r="90" spans="1:8" ht="19.5" customHeight="1" x14ac:dyDescent="0.25">
      <c r="A90" s="77"/>
      <c r="B90" s="2"/>
      <c r="C90" s="3"/>
      <c r="D90" s="3"/>
      <c r="E90" s="4"/>
      <c r="F90" s="19"/>
      <c r="G90" s="5"/>
      <c r="H90" s="6"/>
    </row>
    <row r="91" spans="1:8" ht="20.100000000000001" customHeight="1" x14ac:dyDescent="0.25">
      <c r="A91" s="78"/>
      <c r="B91" s="13"/>
      <c r="C91" s="14"/>
      <c r="D91" s="14"/>
      <c r="E91" s="14" t="s">
        <v>5</v>
      </c>
      <c r="F91" s="15"/>
      <c r="G91" s="16"/>
      <c r="H91" s="17">
        <f>SUM(H3:H90)</f>
        <v>78070</v>
      </c>
    </row>
    <row r="92" spans="1:8" ht="20.100000000000001" customHeight="1" x14ac:dyDescent="0.25">
      <c r="A92" s="7"/>
      <c r="B92" s="8"/>
      <c r="C92" s="8"/>
      <c r="D92" s="8"/>
      <c r="E92" s="8"/>
      <c r="F92" s="12"/>
      <c r="G92" s="8"/>
      <c r="H92" s="9"/>
    </row>
  </sheetData>
  <autoFilter ref="B1:H91" xr:uid="{00000000-0001-0000-2800-000000000000}"/>
  <mergeCells count="8">
    <mergeCell ref="G1:G2"/>
    <mergeCell ref="H1:H2"/>
    <mergeCell ref="A1:A91"/>
    <mergeCell ref="B1:B2"/>
    <mergeCell ref="C1:C2"/>
    <mergeCell ref="D1:D2"/>
    <mergeCell ref="E1:E2"/>
    <mergeCell ref="F1:F2"/>
  </mergeCells>
  <pageMargins left="0.7" right="0.7" top="0.75" bottom="0.75" header="0.3" footer="0.3"/>
  <pageSetup paperSize="9" orientation="portrait" horizontalDpi="120" verticalDpi="72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H7"/>
  <sheetViews>
    <sheetView workbookViewId="0">
      <selection activeCell="E13" sqref="E13"/>
    </sheetView>
  </sheetViews>
  <sheetFormatPr baseColWidth="10" defaultColWidth="9.140625" defaultRowHeight="15" x14ac:dyDescent="0.25"/>
  <cols>
    <col min="1" max="1" width="24.140625" customWidth="1"/>
    <col min="2" max="2" width="12.7109375" bestFit="1" customWidth="1"/>
    <col min="3" max="3" width="17.42578125" customWidth="1"/>
    <col min="4" max="4" width="11" customWidth="1"/>
    <col min="5" max="5" width="32.42578125" bestFit="1" customWidth="1"/>
    <col min="6" max="6" width="52.140625" style="1" customWidth="1"/>
    <col min="7" max="7" width="16.140625" customWidth="1"/>
    <col min="8" max="8" width="14.28515625" bestFit="1" customWidth="1"/>
  </cols>
  <sheetData>
    <row r="1" spans="1:8" ht="15" customHeight="1" x14ac:dyDescent="0.25">
      <c r="A1" s="76" t="s">
        <v>76</v>
      </c>
      <c r="B1" s="72" t="s">
        <v>0</v>
      </c>
      <c r="C1" s="74" t="s">
        <v>1</v>
      </c>
      <c r="D1" s="74" t="s">
        <v>2</v>
      </c>
      <c r="E1" s="74" t="s">
        <v>3</v>
      </c>
      <c r="F1" s="74" t="s">
        <v>8</v>
      </c>
      <c r="G1" s="68" t="s">
        <v>4</v>
      </c>
      <c r="H1" s="70" t="s">
        <v>5</v>
      </c>
    </row>
    <row r="2" spans="1:8" ht="15" customHeight="1" x14ac:dyDescent="0.25">
      <c r="A2" s="77"/>
      <c r="B2" s="73"/>
      <c r="C2" s="75"/>
      <c r="D2" s="75"/>
      <c r="E2" s="75"/>
      <c r="F2" s="75"/>
      <c r="G2" s="69"/>
      <c r="H2" s="71"/>
    </row>
    <row r="3" spans="1:8" ht="20.100000000000001" customHeight="1" x14ac:dyDescent="0.25">
      <c r="A3" s="77"/>
      <c r="B3" s="2">
        <v>45488</v>
      </c>
      <c r="C3" s="3">
        <v>1988379910</v>
      </c>
      <c r="D3" s="3">
        <v>1</v>
      </c>
      <c r="E3" s="4" t="s">
        <v>683</v>
      </c>
      <c r="F3" s="19" t="s">
        <v>76</v>
      </c>
      <c r="G3" s="10" t="s">
        <v>6</v>
      </c>
      <c r="H3" s="11">
        <v>250</v>
      </c>
    </row>
    <row r="4" spans="1:8" ht="20.100000000000001" customHeight="1" x14ac:dyDescent="0.25">
      <c r="A4" s="77"/>
      <c r="B4" s="2"/>
      <c r="C4" s="3"/>
      <c r="D4" s="3"/>
      <c r="E4" s="4"/>
      <c r="F4" s="19"/>
      <c r="G4" s="5"/>
      <c r="H4" s="6"/>
    </row>
    <row r="5" spans="1:8" ht="20.100000000000001" customHeight="1" x14ac:dyDescent="0.25">
      <c r="A5" s="77"/>
      <c r="B5" s="2"/>
      <c r="C5" s="3"/>
      <c r="D5" s="3"/>
      <c r="E5" s="4"/>
      <c r="F5" s="19"/>
      <c r="G5" s="5"/>
      <c r="H5" s="6"/>
    </row>
    <row r="6" spans="1:8" ht="20.100000000000001" customHeight="1" x14ac:dyDescent="0.25">
      <c r="A6" s="78"/>
      <c r="B6" s="13"/>
      <c r="C6" s="14"/>
      <c r="D6" s="14"/>
      <c r="E6" s="14" t="s">
        <v>5</v>
      </c>
      <c r="F6" s="15"/>
      <c r="G6" s="16"/>
      <c r="H6" s="17">
        <f>SUM(H3:H5)</f>
        <v>250</v>
      </c>
    </row>
    <row r="7" spans="1:8" ht="20.100000000000001" customHeight="1" x14ac:dyDescent="0.25">
      <c r="A7" s="7"/>
      <c r="B7" s="8"/>
      <c r="C7" s="8"/>
      <c r="D7" s="8"/>
      <c r="E7" s="8"/>
      <c r="F7" s="12"/>
      <c r="G7" s="8"/>
      <c r="H7" s="9"/>
    </row>
  </sheetData>
  <mergeCells count="8">
    <mergeCell ref="G1:G2"/>
    <mergeCell ref="H1:H2"/>
    <mergeCell ref="A1:A6"/>
    <mergeCell ref="B1:B2"/>
    <mergeCell ref="C1:C2"/>
    <mergeCell ref="D1:D2"/>
    <mergeCell ref="E1:E2"/>
    <mergeCell ref="F1:F2"/>
  </mergeCells>
  <pageMargins left="0.7" right="0.7" top="0.75" bottom="0.75" header="0.3" footer="0.3"/>
  <pageSetup paperSize="9" orientation="portrait" horizontalDpi="120" verticalDpi="72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I41"/>
  <sheetViews>
    <sheetView topLeftCell="A3" workbookViewId="0">
      <selection activeCell="D14" sqref="D14"/>
    </sheetView>
  </sheetViews>
  <sheetFormatPr baseColWidth="10" defaultColWidth="9.140625" defaultRowHeight="15" x14ac:dyDescent="0.25"/>
  <cols>
    <col min="1" max="1" width="16.7109375" customWidth="1"/>
    <col min="2" max="2" width="12.7109375" bestFit="1" customWidth="1"/>
    <col min="3" max="3" width="17.42578125" customWidth="1"/>
    <col min="4" max="4" width="11" customWidth="1"/>
    <col min="5" max="5" width="32.42578125" bestFit="1" customWidth="1"/>
    <col min="6" max="6" width="81.7109375" style="1" customWidth="1"/>
    <col min="7" max="7" width="16.140625" customWidth="1"/>
    <col min="8" max="8" width="14.28515625" bestFit="1" customWidth="1"/>
  </cols>
  <sheetData>
    <row r="1" spans="1:8" ht="15" customHeight="1" x14ac:dyDescent="0.25">
      <c r="A1" s="76" t="s">
        <v>83</v>
      </c>
      <c r="B1" s="72" t="s">
        <v>0</v>
      </c>
      <c r="C1" s="74" t="s">
        <v>1</v>
      </c>
      <c r="D1" s="74" t="s">
        <v>2</v>
      </c>
      <c r="E1" s="74" t="s">
        <v>3</v>
      </c>
      <c r="F1" s="74" t="s">
        <v>8</v>
      </c>
      <c r="G1" s="68" t="s">
        <v>4</v>
      </c>
      <c r="H1" s="70" t="s">
        <v>5</v>
      </c>
    </row>
    <row r="2" spans="1:8" ht="15" customHeight="1" x14ac:dyDescent="0.25">
      <c r="A2" s="77"/>
      <c r="B2" s="73"/>
      <c r="C2" s="75"/>
      <c r="D2" s="75"/>
      <c r="E2" s="75"/>
      <c r="F2" s="75"/>
      <c r="G2" s="69"/>
      <c r="H2" s="71"/>
    </row>
    <row r="3" spans="1:8" ht="15.75" x14ac:dyDescent="0.25">
      <c r="A3" s="77"/>
      <c r="B3" s="2">
        <v>45314</v>
      </c>
      <c r="C3" s="3">
        <v>3983101787</v>
      </c>
      <c r="D3" s="3">
        <v>6</v>
      </c>
      <c r="E3" s="4" t="s">
        <v>145</v>
      </c>
      <c r="F3" s="19" t="s">
        <v>195</v>
      </c>
      <c r="G3" s="5" t="s">
        <v>7</v>
      </c>
      <c r="H3" s="6">
        <v>3000</v>
      </c>
    </row>
    <row r="4" spans="1:8" ht="20.100000000000001" customHeight="1" x14ac:dyDescent="0.25">
      <c r="A4" s="77"/>
      <c r="B4" s="2">
        <v>45328</v>
      </c>
      <c r="C4" s="3">
        <v>1239304704</v>
      </c>
      <c r="D4" s="3">
        <v>8</v>
      </c>
      <c r="E4" s="4" t="s">
        <v>203</v>
      </c>
      <c r="F4" s="19" t="s">
        <v>283</v>
      </c>
      <c r="G4" s="10" t="s">
        <v>6</v>
      </c>
      <c r="H4" s="11">
        <v>4368</v>
      </c>
    </row>
    <row r="5" spans="1:8" ht="20.100000000000001" customHeight="1" x14ac:dyDescent="0.25">
      <c r="A5" s="77"/>
      <c r="B5" s="2">
        <v>45384</v>
      </c>
      <c r="C5" s="3">
        <v>3862580577</v>
      </c>
      <c r="D5" s="3">
        <v>8</v>
      </c>
      <c r="E5" s="4" t="s">
        <v>491</v>
      </c>
      <c r="F5" s="19" t="s">
        <v>548</v>
      </c>
      <c r="G5" s="10" t="s">
        <v>7</v>
      </c>
      <c r="H5" s="11">
        <v>4368</v>
      </c>
    </row>
    <row r="6" spans="1:8" ht="20.100000000000001" customHeight="1" x14ac:dyDescent="0.25">
      <c r="A6" s="77"/>
      <c r="B6" s="2">
        <v>45392</v>
      </c>
      <c r="C6" s="3">
        <v>1103053273</v>
      </c>
      <c r="D6" s="3">
        <v>4</v>
      </c>
      <c r="E6" s="4" t="s">
        <v>428</v>
      </c>
      <c r="F6" s="19" t="s">
        <v>546</v>
      </c>
      <c r="G6" s="10" t="s">
        <v>7</v>
      </c>
      <c r="H6" s="11">
        <v>1560</v>
      </c>
    </row>
    <row r="7" spans="1:8" ht="20.100000000000001" customHeight="1" x14ac:dyDescent="0.25">
      <c r="A7" s="77"/>
      <c r="B7" s="2">
        <v>45393</v>
      </c>
      <c r="C7" s="3">
        <v>3140305740</v>
      </c>
      <c r="D7" s="3">
        <v>4</v>
      </c>
      <c r="E7" s="4" t="s">
        <v>485</v>
      </c>
      <c r="F7" s="19" t="s">
        <v>547</v>
      </c>
      <c r="G7" s="10" t="s">
        <v>7</v>
      </c>
      <c r="H7" s="11">
        <v>1560</v>
      </c>
    </row>
    <row r="8" spans="1:8" ht="20.100000000000001" customHeight="1" x14ac:dyDescent="0.25">
      <c r="A8" s="77"/>
      <c r="B8" s="2"/>
      <c r="C8" s="3"/>
      <c r="D8" s="3"/>
      <c r="E8" s="4"/>
      <c r="F8" s="19"/>
      <c r="G8" s="10"/>
      <c r="H8" s="11"/>
    </row>
    <row r="9" spans="1:8" ht="20.100000000000001" customHeight="1" x14ac:dyDescent="0.25">
      <c r="A9" s="77"/>
      <c r="B9" s="2"/>
      <c r="C9" s="3"/>
      <c r="D9" s="3"/>
      <c r="E9" s="4"/>
      <c r="F9" s="19"/>
      <c r="G9" s="10"/>
      <c r="H9" s="11"/>
    </row>
    <row r="10" spans="1:8" ht="20.100000000000001" customHeight="1" x14ac:dyDescent="0.25">
      <c r="A10" s="77"/>
      <c r="B10" s="2"/>
      <c r="C10" s="3"/>
      <c r="D10" s="3"/>
      <c r="E10" s="4"/>
      <c r="F10" s="19"/>
      <c r="G10" s="10"/>
      <c r="H10" s="11"/>
    </row>
    <row r="11" spans="1:8" ht="20.100000000000001" customHeight="1" x14ac:dyDescent="0.25">
      <c r="A11" s="77"/>
      <c r="B11" s="2"/>
      <c r="C11" s="3"/>
      <c r="D11" s="3"/>
      <c r="E11" s="4"/>
      <c r="F11" s="19"/>
      <c r="G11" s="10"/>
      <c r="H11" s="11"/>
    </row>
    <row r="12" spans="1:8" ht="20.100000000000001" customHeight="1" x14ac:dyDescent="0.25">
      <c r="A12" s="77"/>
      <c r="B12" s="2"/>
      <c r="C12" s="3"/>
      <c r="D12" s="3"/>
      <c r="E12" s="4"/>
      <c r="F12" s="19"/>
      <c r="G12" s="10"/>
      <c r="H12" s="11"/>
    </row>
    <row r="13" spans="1:8" ht="20.100000000000001" customHeight="1" x14ac:dyDescent="0.25">
      <c r="A13" s="77"/>
      <c r="B13" s="2"/>
      <c r="C13" s="3"/>
      <c r="D13" s="3"/>
      <c r="E13" s="4"/>
      <c r="F13" s="19"/>
      <c r="G13" s="5"/>
      <c r="H13" s="6"/>
    </row>
    <row r="14" spans="1:8" ht="20.100000000000001" customHeight="1" x14ac:dyDescent="0.25">
      <c r="A14" s="77"/>
      <c r="B14" s="2"/>
      <c r="C14" s="3"/>
      <c r="D14" s="3"/>
      <c r="E14" s="4"/>
      <c r="F14" s="19"/>
      <c r="G14" s="5"/>
      <c r="H14" s="6"/>
    </row>
    <row r="15" spans="1:8" ht="20.100000000000001" customHeight="1" x14ac:dyDescent="0.25">
      <c r="A15" s="77"/>
      <c r="B15" s="2"/>
      <c r="C15" s="3"/>
      <c r="D15" s="3"/>
      <c r="E15" s="4"/>
      <c r="F15" s="19"/>
      <c r="G15" s="5"/>
      <c r="H15" s="6"/>
    </row>
    <row r="16" spans="1:8" ht="20.100000000000001" customHeight="1" x14ac:dyDescent="0.25">
      <c r="A16" s="77"/>
      <c r="B16" s="2"/>
      <c r="C16" s="3"/>
      <c r="D16" s="3"/>
      <c r="E16" s="4"/>
      <c r="F16" s="19"/>
      <c r="G16" s="5"/>
      <c r="H16" s="6"/>
    </row>
    <row r="17" spans="1:9" ht="20.100000000000001" customHeight="1" x14ac:dyDescent="0.25">
      <c r="A17" s="77"/>
      <c r="B17" s="2"/>
      <c r="C17" s="3"/>
      <c r="D17" s="3"/>
      <c r="E17" s="4"/>
      <c r="F17" s="19"/>
      <c r="G17" s="5"/>
      <c r="H17" s="6"/>
    </row>
    <row r="18" spans="1:9" ht="20.100000000000001" customHeight="1" x14ac:dyDescent="0.25">
      <c r="A18" s="77"/>
      <c r="B18" s="2"/>
      <c r="C18" s="3"/>
      <c r="D18" s="3"/>
      <c r="E18" s="4"/>
      <c r="F18" s="19"/>
      <c r="G18" s="5"/>
      <c r="H18" s="6"/>
    </row>
    <row r="19" spans="1:9" ht="20.100000000000001" customHeight="1" x14ac:dyDescent="0.25">
      <c r="A19" s="77"/>
      <c r="B19" s="2"/>
      <c r="C19" s="3"/>
      <c r="D19" s="3"/>
      <c r="E19" s="4"/>
      <c r="F19" s="19"/>
      <c r="G19" s="5"/>
      <c r="H19" s="6"/>
    </row>
    <row r="20" spans="1:9" ht="20.100000000000001" customHeight="1" x14ac:dyDescent="0.25">
      <c r="A20" s="77"/>
      <c r="B20" s="2"/>
      <c r="C20" s="3"/>
      <c r="D20" s="3"/>
      <c r="E20" s="4"/>
      <c r="F20" s="19"/>
      <c r="G20" s="5"/>
      <c r="H20" s="6"/>
    </row>
    <row r="21" spans="1:9" ht="20.100000000000001" customHeight="1" x14ac:dyDescent="0.25">
      <c r="A21" s="77"/>
      <c r="B21" s="2"/>
      <c r="C21" s="3"/>
      <c r="D21" s="3"/>
      <c r="E21" s="4"/>
      <c r="F21" s="19"/>
      <c r="G21" s="5"/>
      <c r="H21" s="6"/>
    </row>
    <row r="22" spans="1:9" ht="20.100000000000001" customHeight="1" x14ac:dyDescent="0.25">
      <c r="A22" s="77"/>
      <c r="B22" s="2"/>
      <c r="C22" s="3"/>
      <c r="D22" s="3"/>
      <c r="E22" s="4"/>
      <c r="F22" s="19"/>
      <c r="G22" s="5"/>
      <c r="H22" s="6"/>
    </row>
    <row r="23" spans="1:9" ht="20.100000000000001" customHeight="1" x14ac:dyDescent="0.25">
      <c r="A23" s="77"/>
      <c r="B23" s="2"/>
      <c r="C23" s="3"/>
      <c r="D23" s="3"/>
      <c r="E23" s="4"/>
      <c r="F23" s="19"/>
      <c r="G23" s="5"/>
      <c r="H23" s="6"/>
    </row>
    <row r="24" spans="1:9" ht="20.100000000000001" customHeight="1" x14ac:dyDescent="0.25">
      <c r="A24" s="77"/>
      <c r="B24" s="2"/>
      <c r="C24" s="3"/>
      <c r="D24" s="3"/>
      <c r="E24" s="4"/>
      <c r="F24" s="19"/>
      <c r="G24" s="5"/>
      <c r="H24" s="6"/>
    </row>
    <row r="25" spans="1:9" ht="20.100000000000001" customHeight="1" x14ac:dyDescent="0.25">
      <c r="A25" s="77"/>
      <c r="B25" s="2"/>
      <c r="C25" s="3"/>
      <c r="D25" s="3"/>
      <c r="E25" s="4"/>
      <c r="F25" s="19"/>
      <c r="G25" s="5"/>
      <c r="H25" s="6"/>
    </row>
    <row r="26" spans="1:9" ht="20.100000000000001" customHeight="1" x14ac:dyDescent="0.25">
      <c r="A26" s="77"/>
      <c r="B26" s="2"/>
      <c r="C26" s="3"/>
      <c r="D26" s="3"/>
      <c r="E26" s="4"/>
      <c r="F26" s="19"/>
      <c r="G26" s="5"/>
      <c r="H26" s="6"/>
    </row>
    <row r="27" spans="1:9" ht="20.100000000000001" customHeight="1" x14ac:dyDescent="0.25">
      <c r="A27" s="77"/>
      <c r="B27" s="2"/>
      <c r="C27" s="3"/>
      <c r="D27" s="3"/>
      <c r="E27" s="4"/>
      <c r="F27" s="19"/>
      <c r="G27" s="5"/>
      <c r="H27" s="6"/>
    </row>
    <row r="28" spans="1:9" ht="20.100000000000001" customHeight="1" x14ac:dyDescent="0.25">
      <c r="A28" s="77"/>
      <c r="B28" s="2"/>
      <c r="C28" s="3"/>
      <c r="D28" s="3"/>
      <c r="E28" s="4"/>
      <c r="F28" s="19"/>
      <c r="G28" s="5"/>
      <c r="H28" s="6"/>
    </row>
    <row r="29" spans="1:9" ht="20.100000000000001" customHeight="1" x14ac:dyDescent="0.25">
      <c r="A29" s="77"/>
      <c r="B29" s="2"/>
      <c r="C29" s="3"/>
      <c r="D29" s="3"/>
      <c r="E29" s="4"/>
      <c r="F29" s="19"/>
      <c r="G29" s="5"/>
      <c r="H29" s="6"/>
    </row>
    <row r="30" spans="1:9" ht="20.100000000000001" customHeight="1" x14ac:dyDescent="0.25">
      <c r="A30" s="77"/>
      <c r="B30" s="2"/>
      <c r="C30" s="3"/>
      <c r="D30" s="3"/>
      <c r="E30" s="4"/>
      <c r="F30" s="19"/>
      <c r="G30" s="5"/>
      <c r="H30" s="6"/>
    </row>
    <row r="31" spans="1:9" ht="20.100000000000001" customHeight="1" x14ac:dyDescent="0.25">
      <c r="A31" s="77"/>
      <c r="B31" s="2"/>
      <c r="C31" s="3"/>
      <c r="D31" s="3"/>
      <c r="E31" s="4"/>
      <c r="F31" s="19"/>
      <c r="G31" s="5"/>
      <c r="H31" s="6"/>
      <c r="I31" s="55"/>
    </row>
    <row r="32" spans="1:9" ht="20.100000000000001" customHeight="1" x14ac:dyDescent="0.25">
      <c r="A32" s="77"/>
      <c r="B32" s="2"/>
      <c r="C32" s="3"/>
      <c r="D32" s="3"/>
      <c r="E32" s="4"/>
      <c r="F32" s="19"/>
      <c r="G32" s="5"/>
      <c r="H32" s="6"/>
    </row>
    <row r="33" spans="1:8" ht="20.100000000000001" customHeight="1" x14ac:dyDescent="0.25">
      <c r="A33" s="77"/>
      <c r="B33" s="2"/>
      <c r="C33" s="3"/>
      <c r="D33" s="3"/>
      <c r="E33" s="4"/>
      <c r="F33" s="54"/>
      <c r="G33" s="5"/>
      <c r="H33" s="6"/>
    </row>
    <row r="34" spans="1:8" ht="20.100000000000001" customHeight="1" x14ac:dyDescent="0.25">
      <c r="A34" s="77"/>
      <c r="B34" s="2"/>
      <c r="C34" s="3"/>
      <c r="D34" s="3"/>
      <c r="E34" s="4"/>
      <c r="F34" s="19"/>
      <c r="G34" s="5"/>
      <c r="H34" s="6"/>
    </row>
    <row r="35" spans="1:8" ht="20.100000000000001" customHeight="1" x14ac:dyDescent="0.25">
      <c r="A35" s="77"/>
      <c r="B35" s="2"/>
      <c r="C35" s="3"/>
      <c r="D35" s="3"/>
      <c r="E35" s="4"/>
      <c r="F35" s="19"/>
      <c r="G35" s="5"/>
      <c r="H35" s="6"/>
    </row>
    <row r="36" spans="1:8" ht="20.100000000000001" customHeight="1" x14ac:dyDescent="0.25">
      <c r="A36" s="77"/>
      <c r="B36" s="2"/>
      <c r="C36" s="3"/>
      <c r="D36" s="3"/>
      <c r="E36" s="4"/>
      <c r="F36" s="19"/>
      <c r="G36" s="5"/>
      <c r="H36" s="6"/>
    </row>
    <row r="37" spans="1:8" ht="20.100000000000001" customHeight="1" x14ac:dyDescent="0.25">
      <c r="A37" s="77"/>
      <c r="B37" s="2"/>
      <c r="C37" s="3"/>
      <c r="D37" s="3"/>
      <c r="E37" s="4"/>
      <c r="F37" s="19"/>
      <c r="G37" s="5"/>
      <c r="H37" s="6"/>
    </row>
    <row r="38" spans="1:8" ht="20.100000000000001" customHeight="1" x14ac:dyDescent="0.25">
      <c r="A38" s="77"/>
      <c r="B38" s="2"/>
      <c r="C38" s="3"/>
      <c r="D38" s="3"/>
      <c r="E38" s="4"/>
      <c r="F38" s="19"/>
      <c r="G38" s="5"/>
      <c r="H38" s="6"/>
    </row>
    <row r="39" spans="1:8" ht="20.100000000000001" customHeight="1" x14ac:dyDescent="0.25">
      <c r="A39" s="77"/>
      <c r="B39" s="2"/>
      <c r="C39" s="3"/>
      <c r="D39" s="3"/>
      <c r="E39" s="4"/>
      <c r="F39" s="19"/>
      <c r="G39" s="5"/>
      <c r="H39" s="6"/>
    </row>
    <row r="40" spans="1:8" ht="20.100000000000001" customHeight="1" x14ac:dyDescent="0.25">
      <c r="A40" s="78"/>
      <c r="B40" s="13"/>
      <c r="C40" s="14"/>
      <c r="D40" s="14"/>
      <c r="E40" s="14" t="s">
        <v>5</v>
      </c>
      <c r="F40" s="15"/>
      <c r="G40" s="16"/>
      <c r="H40" s="17">
        <f>SUM(H3:H39)</f>
        <v>14856</v>
      </c>
    </row>
    <row r="41" spans="1:8" ht="20.100000000000001" customHeight="1" x14ac:dyDescent="0.25">
      <c r="A41" s="7"/>
      <c r="B41" s="8"/>
      <c r="C41" s="8"/>
      <c r="D41" s="8"/>
      <c r="E41" s="8"/>
      <c r="F41" s="12"/>
      <c r="G41" s="8"/>
      <c r="H41" s="9"/>
    </row>
  </sheetData>
  <mergeCells count="8">
    <mergeCell ref="G1:G2"/>
    <mergeCell ref="H1:H2"/>
    <mergeCell ref="A1:A40"/>
    <mergeCell ref="B1:B2"/>
    <mergeCell ref="C1:C2"/>
    <mergeCell ref="D1:D2"/>
    <mergeCell ref="E1:E2"/>
    <mergeCell ref="F1:F2"/>
  </mergeCells>
  <pageMargins left="0.7" right="0.7" top="0.75" bottom="0.75" header="0.3" footer="0.3"/>
  <pageSetup paperSize="9" orientation="portrait" horizontalDpi="120" verticalDpi="72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H11"/>
  <sheetViews>
    <sheetView workbookViewId="0">
      <selection activeCell="B9" sqref="B9:H9"/>
    </sheetView>
  </sheetViews>
  <sheetFormatPr baseColWidth="10" defaultColWidth="9.140625" defaultRowHeight="15" x14ac:dyDescent="0.25"/>
  <cols>
    <col min="1" max="1" width="16.7109375" customWidth="1"/>
    <col min="2" max="2" width="12.7109375" bestFit="1" customWidth="1"/>
    <col min="3" max="3" width="17.42578125" customWidth="1"/>
    <col min="4" max="4" width="11" customWidth="1"/>
    <col min="5" max="5" width="32.42578125" bestFit="1" customWidth="1"/>
    <col min="6" max="6" width="80.140625" style="1" customWidth="1"/>
    <col min="7" max="7" width="16.140625" customWidth="1"/>
    <col min="8" max="8" width="14.28515625" bestFit="1" customWidth="1"/>
  </cols>
  <sheetData>
    <row r="1" spans="1:8" ht="15" customHeight="1" x14ac:dyDescent="0.25">
      <c r="A1" s="76" t="s">
        <v>105</v>
      </c>
      <c r="B1" s="72" t="s">
        <v>0</v>
      </c>
      <c r="C1" s="74" t="s">
        <v>1</v>
      </c>
      <c r="D1" s="74" t="s">
        <v>2</v>
      </c>
      <c r="E1" s="74" t="s">
        <v>3</v>
      </c>
      <c r="F1" s="74" t="s">
        <v>8</v>
      </c>
      <c r="G1" s="68" t="s">
        <v>4</v>
      </c>
      <c r="H1" s="70" t="s">
        <v>5</v>
      </c>
    </row>
    <row r="2" spans="1:8" ht="15" customHeight="1" x14ac:dyDescent="0.25">
      <c r="A2" s="77"/>
      <c r="B2" s="73"/>
      <c r="C2" s="75"/>
      <c r="D2" s="75"/>
      <c r="E2" s="75"/>
      <c r="F2" s="75"/>
      <c r="G2" s="69"/>
      <c r="H2" s="71"/>
    </row>
    <row r="3" spans="1:8" ht="15" customHeight="1" x14ac:dyDescent="0.25">
      <c r="A3" s="77"/>
      <c r="B3" s="2">
        <v>45406</v>
      </c>
      <c r="C3" s="3">
        <v>522404626</v>
      </c>
      <c r="D3" s="3">
        <v>1</v>
      </c>
      <c r="E3" s="4" t="s">
        <v>549</v>
      </c>
      <c r="F3" s="19" t="s">
        <v>550</v>
      </c>
      <c r="G3" s="10" t="s">
        <v>11</v>
      </c>
      <c r="H3" s="11">
        <v>500</v>
      </c>
    </row>
    <row r="4" spans="1:8" ht="15" customHeight="1" x14ac:dyDescent="0.25">
      <c r="A4" s="77"/>
      <c r="B4" s="2">
        <v>45426</v>
      </c>
      <c r="C4" s="3">
        <v>85541046</v>
      </c>
      <c r="D4" s="3">
        <v>1</v>
      </c>
      <c r="E4" s="4" t="s">
        <v>518</v>
      </c>
      <c r="F4" s="19" t="s">
        <v>643</v>
      </c>
      <c r="G4" s="10" t="s">
        <v>6</v>
      </c>
      <c r="H4" s="11">
        <v>400</v>
      </c>
    </row>
    <row r="5" spans="1:8" ht="15" customHeight="1" x14ac:dyDescent="0.25">
      <c r="A5" s="77"/>
      <c r="B5" s="2">
        <v>45471</v>
      </c>
      <c r="C5" s="3">
        <v>3951707648</v>
      </c>
      <c r="D5" s="3">
        <v>1</v>
      </c>
      <c r="E5" s="19" t="s">
        <v>739</v>
      </c>
      <c r="F5" s="19" t="s">
        <v>550</v>
      </c>
      <c r="G5" s="10" t="s">
        <v>10</v>
      </c>
      <c r="H5" s="11">
        <v>400</v>
      </c>
    </row>
    <row r="6" spans="1:8" ht="15" customHeight="1" x14ac:dyDescent="0.25">
      <c r="A6" s="77"/>
      <c r="B6" s="2">
        <v>45504</v>
      </c>
      <c r="C6" s="3">
        <v>281562593</v>
      </c>
      <c r="D6" s="3">
        <v>1</v>
      </c>
      <c r="E6" s="4" t="s">
        <v>771</v>
      </c>
      <c r="F6" s="19" t="s">
        <v>550</v>
      </c>
      <c r="G6" s="10" t="s">
        <v>6</v>
      </c>
      <c r="H6" s="11">
        <v>410</v>
      </c>
    </row>
    <row r="7" spans="1:8" ht="15" customHeight="1" x14ac:dyDescent="0.25">
      <c r="A7" s="77"/>
      <c r="B7" s="2">
        <v>45625</v>
      </c>
      <c r="C7" s="3">
        <v>866402595</v>
      </c>
      <c r="D7" s="3">
        <v>1</v>
      </c>
      <c r="E7" s="4" t="s">
        <v>653</v>
      </c>
      <c r="F7" s="19" t="s">
        <v>550</v>
      </c>
      <c r="G7" s="10" t="s">
        <v>10</v>
      </c>
      <c r="H7" s="11">
        <v>400</v>
      </c>
    </row>
    <row r="8" spans="1:8" ht="15" customHeight="1" x14ac:dyDescent="0.25">
      <c r="A8" s="77"/>
      <c r="B8" s="2">
        <v>45625</v>
      </c>
      <c r="C8" s="3">
        <v>65815975</v>
      </c>
      <c r="D8" s="3">
        <v>1</v>
      </c>
      <c r="E8" s="4" t="s">
        <v>652</v>
      </c>
      <c r="F8" s="19" t="s">
        <v>550</v>
      </c>
      <c r="G8" s="10" t="s">
        <v>10</v>
      </c>
      <c r="H8" s="11">
        <v>400</v>
      </c>
    </row>
    <row r="9" spans="1:8" ht="15" customHeight="1" x14ac:dyDescent="0.25">
      <c r="A9" s="77"/>
      <c r="B9" s="2">
        <v>45629</v>
      </c>
      <c r="C9" s="3">
        <v>1225149328</v>
      </c>
      <c r="D9" s="3">
        <v>1</v>
      </c>
      <c r="E9" s="4" t="s">
        <v>1280</v>
      </c>
      <c r="F9" s="19" t="s">
        <v>550</v>
      </c>
      <c r="G9" s="10" t="s">
        <v>11</v>
      </c>
      <c r="H9" s="11">
        <v>400</v>
      </c>
    </row>
    <row r="10" spans="1:8" ht="20.100000000000001" customHeight="1" x14ac:dyDescent="0.25">
      <c r="A10" s="78"/>
      <c r="B10" s="13"/>
      <c r="C10" s="14"/>
      <c r="D10" s="14"/>
      <c r="E10" s="14" t="s">
        <v>5</v>
      </c>
      <c r="F10" s="15"/>
      <c r="G10" s="16"/>
      <c r="H10" s="17">
        <f>SUM(H3:H9)</f>
        <v>2910</v>
      </c>
    </row>
    <row r="11" spans="1:8" ht="20.100000000000001" customHeight="1" x14ac:dyDescent="0.25">
      <c r="A11" s="7"/>
      <c r="B11" s="8"/>
      <c r="C11" s="8"/>
      <c r="D11" s="8"/>
      <c r="E11" s="8"/>
      <c r="F11" s="12"/>
      <c r="G11" s="8"/>
      <c r="H11" s="9"/>
    </row>
  </sheetData>
  <mergeCells count="8">
    <mergeCell ref="G1:G2"/>
    <mergeCell ref="H1:H2"/>
    <mergeCell ref="A1:A10"/>
    <mergeCell ref="B1:B2"/>
    <mergeCell ref="C1:C2"/>
    <mergeCell ref="D1:D2"/>
    <mergeCell ref="E1:E2"/>
    <mergeCell ref="F1:F2"/>
  </mergeCells>
  <pageMargins left="0.7" right="0.7" top="0.75" bottom="0.75" header="0.3" footer="0.3"/>
  <pageSetup paperSize="9" orientation="portrait" horizontalDpi="120" verticalDpi="72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H5"/>
  <sheetViews>
    <sheetView workbookViewId="0">
      <selection activeCell="D12" sqref="D12"/>
    </sheetView>
  </sheetViews>
  <sheetFormatPr baseColWidth="10" defaultColWidth="9.140625" defaultRowHeight="15" x14ac:dyDescent="0.25"/>
  <cols>
    <col min="1" max="1" width="16.7109375" customWidth="1"/>
    <col min="2" max="2" width="12.7109375" bestFit="1" customWidth="1"/>
    <col min="3" max="3" width="17.42578125" customWidth="1"/>
    <col min="4" max="4" width="11" customWidth="1"/>
    <col min="5" max="5" width="32.42578125" bestFit="1" customWidth="1"/>
    <col min="6" max="6" width="80.140625" style="1" customWidth="1"/>
    <col min="7" max="7" width="16.140625" customWidth="1"/>
    <col min="8" max="8" width="14.28515625" bestFit="1" customWidth="1"/>
  </cols>
  <sheetData>
    <row r="1" spans="1:8" ht="15" customHeight="1" x14ac:dyDescent="0.25">
      <c r="A1" s="76" t="s">
        <v>105</v>
      </c>
      <c r="B1" s="72" t="s">
        <v>0</v>
      </c>
      <c r="C1" s="74" t="s">
        <v>1</v>
      </c>
      <c r="D1" s="74" t="s">
        <v>2</v>
      </c>
      <c r="E1" s="74" t="s">
        <v>3</v>
      </c>
      <c r="F1" s="74" t="s">
        <v>8</v>
      </c>
      <c r="G1" s="68" t="s">
        <v>4</v>
      </c>
      <c r="H1" s="70" t="s">
        <v>5</v>
      </c>
    </row>
    <row r="2" spans="1:8" ht="15" customHeight="1" x14ac:dyDescent="0.25">
      <c r="A2" s="77"/>
      <c r="B2" s="73"/>
      <c r="C2" s="75"/>
      <c r="D2" s="75"/>
      <c r="E2" s="75"/>
      <c r="F2" s="75"/>
      <c r="G2" s="69"/>
      <c r="H2" s="71"/>
    </row>
    <row r="3" spans="1:8" ht="29.25" customHeight="1" x14ac:dyDescent="0.25">
      <c r="A3" s="77"/>
      <c r="B3" s="2">
        <v>45348</v>
      </c>
      <c r="C3" s="3">
        <v>2742046411</v>
      </c>
      <c r="D3" s="3">
        <v>1</v>
      </c>
      <c r="E3" s="4" t="s">
        <v>179</v>
      </c>
      <c r="F3" s="19" t="s">
        <v>284</v>
      </c>
      <c r="G3" s="10" t="s">
        <v>6</v>
      </c>
      <c r="H3" s="11">
        <v>200</v>
      </c>
    </row>
    <row r="4" spans="1:8" ht="20.100000000000001" customHeight="1" x14ac:dyDescent="0.25">
      <c r="A4" s="78"/>
      <c r="B4" s="13"/>
      <c r="C4" s="14"/>
      <c r="D4" s="14"/>
      <c r="E4" s="14" t="s">
        <v>5</v>
      </c>
      <c r="F4" s="15"/>
      <c r="G4" s="16"/>
      <c r="H4" s="17">
        <f>SUM(H3:H3)</f>
        <v>200</v>
      </c>
    </row>
    <row r="5" spans="1:8" ht="20.100000000000001" customHeight="1" x14ac:dyDescent="0.25">
      <c r="A5" s="7"/>
      <c r="B5" s="8"/>
      <c r="C5" s="8"/>
      <c r="D5" s="8"/>
      <c r="E5" s="8"/>
      <c r="F5" s="12"/>
      <c r="G5" s="8"/>
      <c r="H5" s="9"/>
    </row>
  </sheetData>
  <mergeCells count="8">
    <mergeCell ref="G1:G2"/>
    <mergeCell ref="H1:H2"/>
    <mergeCell ref="A1:A4"/>
    <mergeCell ref="B1:B2"/>
    <mergeCell ref="C1:C2"/>
    <mergeCell ref="D1:D2"/>
    <mergeCell ref="E1:E2"/>
    <mergeCell ref="F1:F2"/>
  </mergeCells>
  <pageMargins left="0.7" right="0.7" top="0.75" bottom="0.75" header="0.3" footer="0.3"/>
  <pageSetup paperSize="9" orientation="portrait" horizontalDpi="120" verticalDpi="72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H67"/>
  <sheetViews>
    <sheetView topLeftCell="A55" workbookViewId="0">
      <selection activeCell="H70" sqref="H70"/>
    </sheetView>
  </sheetViews>
  <sheetFormatPr baseColWidth="10" defaultColWidth="9.140625" defaultRowHeight="15" x14ac:dyDescent="0.25"/>
  <cols>
    <col min="1" max="1" width="16.7109375" customWidth="1"/>
    <col min="2" max="2" width="14" bestFit="1" customWidth="1"/>
    <col min="3" max="3" width="17.42578125" customWidth="1"/>
    <col min="4" max="4" width="11" customWidth="1"/>
    <col min="5" max="5" width="32.42578125" bestFit="1" customWidth="1"/>
    <col min="6" max="6" width="27.28515625" style="1" bestFit="1" customWidth="1"/>
    <col min="7" max="7" width="16.140625" customWidth="1"/>
    <col min="8" max="8" width="14.28515625" bestFit="1" customWidth="1"/>
  </cols>
  <sheetData>
    <row r="1" spans="1:8" ht="15" customHeight="1" x14ac:dyDescent="0.25">
      <c r="A1" s="76" t="s">
        <v>286</v>
      </c>
      <c r="B1" s="72" t="s">
        <v>0</v>
      </c>
      <c r="C1" s="74" t="s">
        <v>1</v>
      </c>
      <c r="D1" s="74" t="s">
        <v>2</v>
      </c>
      <c r="E1" s="74" t="s">
        <v>3</v>
      </c>
      <c r="F1" s="74" t="s">
        <v>8</v>
      </c>
      <c r="G1" s="68" t="s">
        <v>4</v>
      </c>
      <c r="H1" s="70" t="s">
        <v>5</v>
      </c>
    </row>
    <row r="2" spans="1:8" ht="15" customHeight="1" x14ac:dyDescent="0.25">
      <c r="A2" s="77"/>
      <c r="B2" s="73"/>
      <c r="C2" s="75"/>
      <c r="D2" s="75"/>
      <c r="E2" s="75"/>
      <c r="F2" s="75"/>
      <c r="G2" s="69"/>
      <c r="H2" s="71"/>
    </row>
    <row r="3" spans="1:8" ht="29.25" customHeight="1" x14ac:dyDescent="0.25">
      <c r="A3" s="77"/>
      <c r="B3" s="2">
        <v>45350</v>
      </c>
      <c r="C3" s="3">
        <v>1237076442</v>
      </c>
      <c r="D3" s="3">
        <v>10</v>
      </c>
      <c r="E3" s="4" t="s">
        <v>59</v>
      </c>
      <c r="F3" s="19" t="s">
        <v>286</v>
      </c>
      <c r="G3" s="10" t="s">
        <v>11</v>
      </c>
      <c r="H3" s="11">
        <v>5000</v>
      </c>
    </row>
    <row r="4" spans="1:8" ht="20.100000000000001" customHeight="1" x14ac:dyDescent="0.25">
      <c r="A4" s="77"/>
      <c r="B4" s="2">
        <v>45355</v>
      </c>
      <c r="C4" s="3">
        <v>1405176394</v>
      </c>
      <c r="D4" s="3">
        <v>10</v>
      </c>
      <c r="E4" s="4" t="s">
        <v>264</v>
      </c>
      <c r="F4" s="19" t="s">
        <v>286</v>
      </c>
      <c r="G4" s="5" t="s">
        <v>7</v>
      </c>
      <c r="H4" s="6">
        <v>5000</v>
      </c>
    </row>
    <row r="5" spans="1:8" ht="20.100000000000001" customHeight="1" x14ac:dyDescent="0.25">
      <c r="A5" s="77"/>
      <c r="B5" s="2">
        <v>45355</v>
      </c>
      <c r="C5" s="3">
        <v>2570077656</v>
      </c>
      <c r="D5" s="3">
        <v>10</v>
      </c>
      <c r="E5" s="4" t="s">
        <v>447</v>
      </c>
      <c r="F5" s="19" t="s">
        <v>286</v>
      </c>
      <c r="G5" s="5" t="s">
        <v>7</v>
      </c>
      <c r="H5" s="6">
        <v>5000</v>
      </c>
    </row>
    <row r="6" spans="1:8" ht="20.100000000000001" customHeight="1" x14ac:dyDescent="0.25">
      <c r="A6" s="77"/>
      <c r="B6" s="2">
        <v>45373</v>
      </c>
      <c r="C6" s="3">
        <v>557860364</v>
      </c>
      <c r="D6" s="3">
        <v>5</v>
      </c>
      <c r="E6" s="4" t="s">
        <v>445</v>
      </c>
      <c r="F6" s="19" t="s">
        <v>286</v>
      </c>
      <c r="G6" s="5" t="s">
        <v>6</v>
      </c>
      <c r="H6" s="6">
        <v>2500</v>
      </c>
    </row>
    <row r="7" spans="1:8" ht="20.100000000000001" customHeight="1" x14ac:dyDescent="0.25">
      <c r="A7" s="77"/>
      <c r="B7" s="2">
        <v>45383</v>
      </c>
      <c r="C7" s="3">
        <v>1790724770</v>
      </c>
      <c r="D7" s="3">
        <v>9</v>
      </c>
      <c r="E7" s="4" t="s">
        <v>503</v>
      </c>
      <c r="F7" s="19" t="s">
        <v>286</v>
      </c>
      <c r="G7" s="5" t="s">
        <v>6</v>
      </c>
      <c r="H7" s="6">
        <v>4500</v>
      </c>
    </row>
    <row r="8" spans="1:8" ht="20.100000000000001" customHeight="1" x14ac:dyDescent="0.25">
      <c r="A8" s="77"/>
      <c r="B8" s="2">
        <v>45397</v>
      </c>
      <c r="C8" s="3">
        <v>3227928430</v>
      </c>
      <c r="D8" s="3">
        <v>5</v>
      </c>
      <c r="E8" s="4" t="s">
        <v>100</v>
      </c>
      <c r="F8" s="19" t="s">
        <v>286</v>
      </c>
      <c r="G8" s="5" t="s">
        <v>7</v>
      </c>
      <c r="H8" s="6">
        <v>2500</v>
      </c>
    </row>
    <row r="9" spans="1:8" ht="20.100000000000001" customHeight="1" x14ac:dyDescent="0.25">
      <c r="A9" s="77"/>
      <c r="B9" s="2">
        <v>45420</v>
      </c>
      <c r="C9" s="3">
        <v>1414023308</v>
      </c>
      <c r="D9" s="3">
        <v>8</v>
      </c>
      <c r="E9" s="19" t="s">
        <v>644</v>
      </c>
      <c r="F9" s="19" t="s">
        <v>286</v>
      </c>
      <c r="G9" s="10" t="s">
        <v>10</v>
      </c>
      <c r="H9" s="11">
        <v>4000</v>
      </c>
    </row>
    <row r="10" spans="1:8" ht="20.100000000000001" customHeight="1" x14ac:dyDescent="0.25">
      <c r="A10" s="77"/>
      <c r="B10" s="2">
        <v>45440</v>
      </c>
      <c r="C10" s="3">
        <v>3523888738</v>
      </c>
      <c r="D10" s="3">
        <v>6</v>
      </c>
      <c r="E10" s="19" t="s">
        <v>640</v>
      </c>
      <c r="F10" s="19" t="s">
        <v>286</v>
      </c>
      <c r="G10" s="10" t="s">
        <v>7</v>
      </c>
      <c r="H10" s="11">
        <v>3000</v>
      </c>
    </row>
    <row r="11" spans="1:8" ht="20.100000000000001" customHeight="1" x14ac:dyDescent="0.25">
      <c r="A11" s="77"/>
      <c r="B11" s="2">
        <v>45440</v>
      </c>
      <c r="C11" s="3">
        <v>4104929880</v>
      </c>
      <c r="D11" s="3">
        <v>5</v>
      </c>
      <c r="E11" s="19" t="s">
        <v>638</v>
      </c>
      <c r="F11" s="19" t="s">
        <v>286</v>
      </c>
      <c r="G11" s="10" t="s">
        <v>6</v>
      </c>
      <c r="H11" s="11">
        <v>2500</v>
      </c>
    </row>
    <row r="12" spans="1:8" ht="20.100000000000001" customHeight="1" x14ac:dyDescent="0.25">
      <c r="A12" s="77"/>
      <c r="B12" s="2">
        <v>45447</v>
      </c>
      <c r="C12" s="3">
        <v>3884991468</v>
      </c>
      <c r="D12" s="3">
        <v>4</v>
      </c>
      <c r="E12" s="19" t="s">
        <v>740</v>
      </c>
      <c r="F12" s="19" t="s">
        <v>286</v>
      </c>
      <c r="G12" s="10" t="s">
        <v>7</v>
      </c>
      <c r="H12" s="11">
        <v>2000</v>
      </c>
    </row>
    <row r="13" spans="1:8" ht="20.100000000000001" customHeight="1" x14ac:dyDescent="0.25">
      <c r="A13" s="77"/>
      <c r="B13" s="2">
        <v>45447</v>
      </c>
      <c r="C13" s="3">
        <v>3884991468</v>
      </c>
      <c r="D13" s="3">
        <v>6</v>
      </c>
      <c r="E13" s="19" t="s">
        <v>740</v>
      </c>
      <c r="F13" s="19" t="s">
        <v>286</v>
      </c>
      <c r="G13" s="10" t="s">
        <v>11</v>
      </c>
      <c r="H13" s="11">
        <v>3000</v>
      </c>
    </row>
    <row r="14" spans="1:8" ht="20.100000000000001" customHeight="1" x14ac:dyDescent="0.25">
      <c r="A14" s="77"/>
      <c r="B14" s="2">
        <v>45454</v>
      </c>
      <c r="C14" s="3">
        <v>75122376</v>
      </c>
      <c r="D14" s="3">
        <v>5</v>
      </c>
      <c r="E14" s="19" t="s">
        <v>741</v>
      </c>
      <c r="F14" s="19" t="s">
        <v>286</v>
      </c>
      <c r="G14" s="10" t="s">
        <v>7</v>
      </c>
      <c r="H14" s="11">
        <v>2500</v>
      </c>
    </row>
    <row r="15" spans="1:8" ht="20.100000000000001" customHeight="1" x14ac:dyDescent="0.25">
      <c r="A15" s="77"/>
      <c r="B15" s="2">
        <v>45454</v>
      </c>
      <c r="C15" s="3">
        <v>984301768</v>
      </c>
      <c r="D15" s="3">
        <v>3</v>
      </c>
      <c r="E15" s="19" t="s">
        <v>701</v>
      </c>
      <c r="F15" s="19" t="s">
        <v>286</v>
      </c>
      <c r="G15" s="10" t="s">
        <v>7</v>
      </c>
      <c r="H15" s="11">
        <v>1500</v>
      </c>
    </row>
    <row r="16" spans="1:8" ht="20.100000000000001" customHeight="1" x14ac:dyDescent="0.25">
      <c r="A16" s="77"/>
      <c r="B16" s="2">
        <v>45454</v>
      </c>
      <c r="C16" s="3">
        <v>3801433744</v>
      </c>
      <c r="D16" s="3">
        <v>3</v>
      </c>
      <c r="E16" s="19" t="s">
        <v>735</v>
      </c>
      <c r="F16" s="19" t="s">
        <v>286</v>
      </c>
      <c r="G16" s="10" t="s">
        <v>7</v>
      </c>
      <c r="H16" s="11">
        <v>1500</v>
      </c>
    </row>
    <row r="17" spans="1:8" ht="20.100000000000001" customHeight="1" x14ac:dyDescent="0.25">
      <c r="A17" s="77"/>
      <c r="B17" s="2">
        <v>45454</v>
      </c>
      <c r="C17" s="3">
        <v>2492352363</v>
      </c>
      <c r="D17" s="3">
        <v>10</v>
      </c>
      <c r="E17" s="19" t="s">
        <v>742</v>
      </c>
      <c r="F17" s="19" t="s">
        <v>286</v>
      </c>
      <c r="G17" s="10" t="s">
        <v>7</v>
      </c>
      <c r="H17" s="11">
        <v>5000</v>
      </c>
    </row>
    <row r="18" spans="1:8" ht="20.100000000000001" customHeight="1" x14ac:dyDescent="0.25">
      <c r="A18" s="77"/>
      <c r="B18" s="2">
        <v>45456</v>
      </c>
      <c r="C18" s="3">
        <v>2076592428</v>
      </c>
      <c r="D18" s="3">
        <v>10</v>
      </c>
      <c r="E18" s="19" t="s">
        <v>707</v>
      </c>
      <c r="F18" s="19" t="s">
        <v>286</v>
      </c>
      <c r="G18" s="10" t="s">
        <v>6</v>
      </c>
      <c r="H18" s="11">
        <v>5000</v>
      </c>
    </row>
    <row r="19" spans="1:8" ht="20.100000000000001" customHeight="1" x14ac:dyDescent="0.25">
      <c r="A19" s="77"/>
      <c r="B19" s="2">
        <v>45468</v>
      </c>
      <c r="C19" s="3">
        <v>3727183281</v>
      </c>
      <c r="D19" s="3">
        <v>10</v>
      </c>
      <c r="E19" s="19" t="s">
        <v>743</v>
      </c>
      <c r="F19" s="19" t="s">
        <v>286</v>
      </c>
      <c r="G19" s="10" t="s">
        <v>7</v>
      </c>
      <c r="H19" s="11">
        <v>5000</v>
      </c>
    </row>
    <row r="20" spans="1:8" ht="20.100000000000001" customHeight="1" x14ac:dyDescent="0.25">
      <c r="A20" s="77"/>
      <c r="B20" s="2">
        <v>45471</v>
      </c>
      <c r="C20" s="3">
        <v>1388269323</v>
      </c>
      <c r="D20" s="3">
        <v>10</v>
      </c>
      <c r="E20" s="19" t="s">
        <v>744</v>
      </c>
      <c r="F20" s="19" t="s">
        <v>286</v>
      </c>
      <c r="G20" s="10" t="s">
        <v>10</v>
      </c>
      <c r="H20" s="11">
        <v>5000</v>
      </c>
    </row>
    <row r="21" spans="1:8" ht="20.100000000000001" customHeight="1" x14ac:dyDescent="0.25">
      <c r="A21" s="77"/>
      <c r="B21" s="2">
        <v>45475</v>
      </c>
      <c r="C21" s="3">
        <v>301417057</v>
      </c>
      <c r="D21" s="3">
        <v>10</v>
      </c>
      <c r="E21" s="4" t="s">
        <v>861</v>
      </c>
      <c r="F21" s="19" t="s">
        <v>286</v>
      </c>
      <c r="G21" s="10" t="s">
        <v>6</v>
      </c>
      <c r="H21" s="11">
        <v>5000</v>
      </c>
    </row>
    <row r="22" spans="1:8" ht="20.100000000000001" customHeight="1" x14ac:dyDescent="0.25">
      <c r="A22" s="77"/>
      <c r="B22" s="2">
        <v>45478</v>
      </c>
      <c r="C22" s="3">
        <v>1214793357</v>
      </c>
      <c r="D22" s="3">
        <v>10</v>
      </c>
      <c r="E22" s="4" t="s">
        <v>862</v>
      </c>
      <c r="F22" s="19" t="s">
        <v>286</v>
      </c>
      <c r="G22" s="10" t="s">
        <v>6</v>
      </c>
      <c r="H22" s="11">
        <v>5000</v>
      </c>
    </row>
    <row r="23" spans="1:8" ht="20.100000000000001" customHeight="1" x14ac:dyDescent="0.25">
      <c r="A23" s="77"/>
      <c r="B23" s="2">
        <v>45482</v>
      </c>
      <c r="C23" s="3">
        <v>985219518</v>
      </c>
      <c r="D23" s="3">
        <v>5</v>
      </c>
      <c r="E23" s="4" t="s">
        <v>610</v>
      </c>
      <c r="F23" s="19" t="s">
        <v>286</v>
      </c>
      <c r="G23" s="10" t="s">
        <v>7</v>
      </c>
      <c r="H23" s="11">
        <v>2500</v>
      </c>
    </row>
    <row r="24" spans="1:8" ht="20.100000000000001" customHeight="1" x14ac:dyDescent="0.25">
      <c r="A24" s="77"/>
      <c r="B24" s="2">
        <v>45483</v>
      </c>
      <c r="C24" s="3">
        <v>3338227262</v>
      </c>
      <c r="D24" s="3">
        <v>3</v>
      </c>
      <c r="E24" s="4" t="s">
        <v>863</v>
      </c>
      <c r="F24" s="19" t="s">
        <v>286</v>
      </c>
      <c r="G24" s="10" t="s">
        <v>6</v>
      </c>
      <c r="H24" s="11">
        <v>1350</v>
      </c>
    </row>
    <row r="25" spans="1:8" ht="20.100000000000001" customHeight="1" x14ac:dyDescent="0.25">
      <c r="A25" s="77"/>
      <c r="B25" s="2">
        <v>45488</v>
      </c>
      <c r="C25" s="3">
        <v>666062139</v>
      </c>
      <c r="D25" s="3">
        <v>5</v>
      </c>
      <c r="E25" s="4" t="s">
        <v>864</v>
      </c>
      <c r="F25" s="19" t="s">
        <v>286</v>
      </c>
      <c r="G25" s="10" t="s">
        <v>6</v>
      </c>
      <c r="H25" s="11">
        <v>2500</v>
      </c>
    </row>
    <row r="26" spans="1:8" ht="20.100000000000001" customHeight="1" x14ac:dyDescent="0.25">
      <c r="A26" s="77"/>
      <c r="B26" s="2">
        <v>45491</v>
      </c>
      <c r="C26" s="3">
        <v>406602391</v>
      </c>
      <c r="D26" s="3">
        <v>10</v>
      </c>
      <c r="E26" s="4" t="s">
        <v>865</v>
      </c>
      <c r="F26" s="19" t="s">
        <v>286</v>
      </c>
      <c r="G26" s="10" t="s">
        <v>7</v>
      </c>
      <c r="H26" s="11">
        <v>5000</v>
      </c>
    </row>
    <row r="27" spans="1:8" ht="20.100000000000001" customHeight="1" x14ac:dyDescent="0.25">
      <c r="A27" s="77"/>
      <c r="B27" s="2">
        <v>45492</v>
      </c>
      <c r="C27" s="3">
        <v>1039615387</v>
      </c>
      <c r="D27" s="3">
        <v>3</v>
      </c>
      <c r="E27" s="4" t="s">
        <v>863</v>
      </c>
      <c r="F27" s="19" t="s">
        <v>286</v>
      </c>
      <c r="G27" s="10" t="s">
        <v>6</v>
      </c>
      <c r="H27" s="11">
        <v>1350</v>
      </c>
    </row>
    <row r="28" spans="1:8" ht="20.100000000000001" customHeight="1" x14ac:dyDescent="0.25">
      <c r="A28" s="77"/>
      <c r="B28" s="2">
        <v>45497</v>
      </c>
      <c r="C28" s="3">
        <v>2117552313</v>
      </c>
      <c r="D28" s="3">
        <v>5</v>
      </c>
      <c r="E28" s="4" t="s">
        <v>857</v>
      </c>
      <c r="F28" s="19" t="s">
        <v>286</v>
      </c>
      <c r="G28" s="10" t="s">
        <v>19</v>
      </c>
      <c r="H28" s="11">
        <v>2500</v>
      </c>
    </row>
    <row r="29" spans="1:8" ht="20.100000000000001" customHeight="1" x14ac:dyDescent="0.25">
      <c r="A29" s="77"/>
      <c r="B29" s="2">
        <v>45502</v>
      </c>
      <c r="C29" s="3">
        <v>1740981764</v>
      </c>
      <c r="D29" s="3">
        <v>5</v>
      </c>
      <c r="E29" s="4" t="s">
        <v>858</v>
      </c>
      <c r="F29" s="19" t="s">
        <v>286</v>
      </c>
      <c r="G29" s="10" t="s">
        <v>7</v>
      </c>
      <c r="H29" s="11">
        <v>2500</v>
      </c>
    </row>
    <row r="30" spans="1:8" ht="20.100000000000001" customHeight="1" x14ac:dyDescent="0.25">
      <c r="A30" s="77"/>
      <c r="B30" s="2">
        <v>45503</v>
      </c>
      <c r="C30" s="3">
        <v>1752517762</v>
      </c>
      <c r="D30" s="3">
        <v>3</v>
      </c>
      <c r="E30" s="4" t="s">
        <v>711</v>
      </c>
      <c r="F30" s="19" t="s">
        <v>286</v>
      </c>
      <c r="G30" s="10" t="s">
        <v>6</v>
      </c>
      <c r="H30" s="11">
        <v>1500</v>
      </c>
    </row>
    <row r="31" spans="1:8" ht="20.100000000000001" customHeight="1" x14ac:dyDescent="0.25">
      <c r="A31" s="77"/>
      <c r="B31" s="2">
        <v>45503</v>
      </c>
      <c r="C31" s="3">
        <v>1532707740</v>
      </c>
      <c r="D31" s="3">
        <v>3</v>
      </c>
      <c r="E31" s="4" t="s">
        <v>860</v>
      </c>
      <c r="F31" s="19" t="s">
        <v>286</v>
      </c>
      <c r="G31" s="10" t="s">
        <v>6</v>
      </c>
      <c r="H31" s="11">
        <v>1500</v>
      </c>
    </row>
    <row r="32" spans="1:8" ht="20.100000000000001" customHeight="1" x14ac:dyDescent="0.25">
      <c r="A32" s="77"/>
      <c r="B32" s="2">
        <v>45505</v>
      </c>
      <c r="C32" s="3">
        <v>3500756369</v>
      </c>
      <c r="D32" s="3">
        <v>5</v>
      </c>
      <c r="E32" s="4" t="s">
        <v>951</v>
      </c>
      <c r="F32" s="19" t="s">
        <v>953</v>
      </c>
      <c r="G32" s="5" t="s">
        <v>7</v>
      </c>
      <c r="H32" s="6">
        <v>2800</v>
      </c>
    </row>
    <row r="33" spans="1:8" ht="20.100000000000001" customHeight="1" x14ac:dyDescent="0.25">
      <c r="A33" s="77"/>
      <c r="B33" s="2">
        <v>45556</v>
      </c>
      <c r="C33" s="3">
        <v>1181240724</v>
      </c>
      <c r="D33" s="3">
        <v>5</v>
      </c>
      <c r="E33" s="4" t="s">
        <v>768</v>
      </c>
      <c r="F33" s="19" t="s">
        <v>953</v>
      </c>
      <c r="G33" s="5" t="s">
        <v>19</v>
      </c>
      <c r="H33" s="6">
        <v>2500</v>
      </c>
    </row>
    <row r="34" spans="1:8" ht="20.100000000000001" customHeight="1" x14ac:dyDescent="0.25">
      <c r="A34" s="77"/>
      <c r="B34" s="2" t="s">
        <v>898</v>
      </c>
      <c r="C34" s="3">
        <v>1640252489</v>
      </c>
      <c r="D34" s="3">
        <v>10</v>
      </c>
      <c r="E34" s="4" t="s">
        <v>802</v>
      </c>
      <c r="F34" s="19" t="s">
        <v>953</v>
      </c>
      <c r="G34" s="5" t="s">
        <v>10</v>
      </c>
      <c r="H34" s="6">
        <v>5000</v>
      </c>
    </row>
    <row r="35" spans="1:8" ht="20.100000000000001" customHeight="1" x14ac:dyDescent="0.25">
      <c r="A35" s="77"/>
      <c r="B35" s="2">
        <v>45530</v>
      </c>
      <c r="C35" s="3">
        <v>3659744214</v>
      </c>
      <c r="D35" s="3">
        <v>3</v>
      </c>
      <c r="E35" s="4" t="s">
        <v>700</v>
      </c>
      <c r="F35" s="19" t="s">
        <v>953</v>
      </c>
      <c r="G35" s="5" t="s">
        <v>6</v>
      </c>
      <c r="H35" s="6">
        <v>1500</v>
      </c>
    </row>
    <row r="36" spans="1:8" ht="20.100000000000001" customHeight="1" x14ac:dyDescent="0.25">
      <c r="A36" s="77"/>
      <c r="B36" s="2">
        <v>45538</v>
      </c>
      <c r="C36" s="3">
        <v>1964396493</v>
      </c>
      <c r="D36" s="3">
        <v>10</v>
      </c>
      <c r="E36" s="4" t="s">
        <v>1024</v>
      </c>
      <c r="F36" s="19" t="s">
        <v>286</v>
      </c>
      <c r="G36" s="5" t="s">
        <v>7</v>
      </c>
      <c r="H36" s="6">
        <v>5000</v>
      </c>
    </row>
    <row r="37" spans="1:8" ht="20.100000000000001" customHeight="1" x14ac:dyDescent="0.25">
      <c r="A37" s="77"/>
      <c r="B37" s="2">
        <v>45539</v>
      </c>
      <c r="C37" s="3">
        <v>1533821579</v>
      </c>
      <c r="D37" s="3">
        <v>5</v>
      </c>
      <c r="E37" s="4" t="s">
        <v>802</v>
      </c>
      <c r="F37" s="19" t="s">
        <v>286</v>
      </c>
      <c r="G37" s="5" t="s">
        <v>6</v>
      </c>
      <c r="H37" s="6">
        <v>2500</v>
      </c>
    </row>
    <row r="38" spans="1:8" ht="20.100000000000001" customHeight="1" x14ac:dyDescent="0.25">
      <c r="A38" s="77"/>
      <c r="B38" s="2">
        <v>45541</v>
      </c>
      <c r="C38" s="3">
        <v>17055932</v>
      </c>
      <c r="D38" s="3">
        <v>5</v>
      </c>
      <c r="E38" s="4" t="s">
        <v>243</v>
      </c>
      <c r="F38" s="19" t="s">
        <v>286</v>
      </c>
      <c r="G38" s="5" t="s">
        <v>10</v>
      </c>
      <c r="H38" s="6">
        <v>2500</v>
      </c>
    </row>
    <row r="39" spans="1:8" ht="20.100000000000001" customHeight="1" x14ac:dyDescent="0.25">
      <c r="A39" s="77"/>
      <c r="B39" s="2">
        <v>45544</v>
      </c>
      <c r="C39" s="3">
        <v>489900255</v>
      </c>
      <c r="D39" s="3">
        <v>10</v>
      </c>
      <c r="E39" s="4" t="s">
        <v>966</v>
      </c>
      <c r="F39" s="19" t="s">
        <v>286</v>
      </c>
      <c r="G39" s="5" t="s">
        <v>6</v>
      </c>
      <c r="H39" s="6">
        <v>5000</v>
      </c>
    </row>
    <row r="40" spans="1:8" ht="20.100000000000001" customHeight="1" x14ac:dyDescent="0.25">
      <c r="A40" s="77"/>
      <c r="B40" s="2">
        <v>45553</v>
      </c>
      <c r="C40" s="3">
        <v>3104721567</v>
      </c>
      <c r="D40" s="3">
        <v>10</v>
      </c>
      <c r="E40" s="4" t="s">
        <v>353</v>
      </c>
      <c r="F40" s="19" t="s">
        <v>286</v>
      </c>
      <c r="G40" s="5" t="s">
        <v>7</v>
      </c>
      <c r="H40" s="6">
        <v>5000</v>
      </c>
    </row>
    <row r="41" spans="1:8" ht="20.100000000000001" customHeight="1" x14ac:dyDescent="0.25">
      <c r="A41" s="77"/>
      <c r="B41" s="2">
        <v>45555</v>
      </c>
      <c r="C41" s="3">
        <v>3821620307</v>
      </c>
      <c r="D41" s="3">
        <v>5</v>
      </c>
      <c r="E41" s="4" t="s">
        <v>1020</v>
      </c>
      <c r="F41" s="19" t="s">
        <v>286</v>
      </c>
      <c r="G41" s="5" t="s">
        <v>11</v>
      </c>
      <c r="H41" s="6">
        <v>2500</v>
      </c>
    </row>
    <row r="42" spans="1:8" ht="20.100000000000001" customHeight="1" x14ac:dyDescent="0.25">
      <c r="A42" s="77"/>
      <c r="B42" s="2">
        <v>45555</v>
      </c>
      <c r="C42" s="3">
        <v>4127540157</v>
      </c>
      <c r="D42" s="3">
        <v>10</v>
      </c>
      <c r="E42" s="4" t="s">
        <v>969</v>
      </c>
      <c r="F42" s="19" t="s">
        <v>286</v>
      </c>
      <c r="G42" s="5" t="s">
        <v>7</v>
      </c>
      <c r="H42" s="6">
        <v>5000</v>
      </c>
    </row>
    <row r="43" spans="1:8" ht="20.100000000000001" customHeight="1" x14ac:dyDescent="0.25">
      <c r="A43" s="77"/>
      <c r="B43" s="2">
        <v>45558</v>
      </c>
      <c r="C43" s="3">
        <v>2458012255</v>
      </c>
      <c r="D43" s="3">
        <v>2</v>
      </c>
      <c r="E43" s="4" t="s">
        <v>1025</v>
      </c>
      <c r="F43" s="19" t="s">
        <v>286</v>
      </c>
      <c r="G43" s="5" t="s">
        <v>7</v>
      </c>
      <c r="H43" s="6">
        <v>1000</v>
      </c>
    </row>
    <row r="44" spans="1:8" ht="20.100000000000001" customHeight="1" x14ac:dyDescent="0.25">
      <c r="A44" s="77"/>
      <c r="B44" s="2">
        <v>45566</v>
      </c>
      <c r="C44" s="3">
        <v>3832365736</v>
      </c>
      <c r="D44" s="3">
        <v>10</v>
      </c>
      <c r="E44" s="4" t="s">
        <v>1101</v>
      </c>
      <c r="F44" s="19" t="s">
        <v>286</v>
      </c>
      <c r="G44" s="5" t="s">
        <v>7</v>
      </c>
      <c r="H44" s="6">
        <v>5000</v>
      </c>
    </row>
    <row r="45" spans="1:8" ht="20.100000000000001" customHeight="1" x14ac:dyDescent="0.25">
      <c r="A45" s="77"/>
      <c r="B45" s="2">
        <v>45568</v>
      </c>
      <c r="C45" s="3">
        <v>3236253181</v>
      </c>
      <c r="D45" s="3">
        <v>10</v>
      </c>
      <c r="E45" s="4" t="s">
        <v>1037</v>
      </c>
      <c r="F45" s="19" t="s">
        <v>286</v>
      </c>
      <c r="G45" s="5" t="s">
        <v>7</v>
      </c>
      <c r="H45" s="6">
        <v>5000</v>
      </c>
    </row>
    <row r="46" spans="1:8" ht="20.100000000000001" customHeight="1" x14ac:dyDescent="0.25">
      <c r="A46" s="77"/>
      <c r="B46" s="2">
        <v>45572</v>
      </c>
      <c r="C46" s="3">
        <v>1766476073</v>
      </c>
      <c r="D46" s="3">
        <v>10</v>
      </c>
      <c r="E46" s="4" t="s">
        <v>1078</v>
      </c>
      <c r="F46" s="19" t="s">
        <v>286</v>
      </c>
      <c r="G46" s="5" t="s">
        <v>7</v>
      </c>
      <c r="H46" s="6">
        <v>5000</v>
      </c>
    </row>
    <row r="47" spans="1:8" ht="20.100000000000001" customHeight="1" x14ac:dyDescent="0.25">
      <c r="A47" s="77"/>
      <c r="B47" s="2">
        <v>45572</v>
      </c>
      <c r="C47" s="3">
        <v>2928034021</v>
      </c>
      <c r="D47" s="3">
        <v>5</v>
      </c>
      <c r="E47" s="4" t="s">
        <v>1096</v>
      </c>
      <c r="F47" s="19" t="s">
        <v>286</v>
      </c>
      <c r="G47" s="5" t="s">
        <v>7</v>
      </c>
      <c r="H47" s="6">
        <v>2500</v>
      </c>
    </row>
    <row r="48" spans="1:8" ht="20.100000000000001" customHeight="1" x14ac:dyDescent="0.25">
      <c r="A48" s="77"/>
      <c r="B48" s="2">
        <v>45574</v>
      </c>
      <c r="C48" s="3">
        <v>3799270427</v>
      </c>
      <c r="D48" s="3">
        <v>10</v>
      </c>
      <c r="E48" s="4" t="s">
        <v>1081</v>
      </c>
      <c r="F48" s="19" t="s">
        <v>286</v>
      </c>
      <c r="G48" s="5" t="s">
        <v>7</v>
      </c>
      <c r="H48" s="6">
        <v>5000</v>
      </c>
    </row>
    <row r="49" spans="1:8" ht="20.100000000000001" customHeight="1" x14ac:dyDescent="0.25">
      <c r="A49" s="77"/>
      <c r="B49" s="2">
        <v>45574</v>
      </c>
      <c r="C49" s="3">
        <v>1958691493</v>
      </c>
      <c r="D49" s="3">
        <v>6</v>
      </c>
      <c r="E49" s="4" t="s">
        <v>1057</v>
      </c>
      <c r="F49" s="19" t="s">
        <v>286</v>
      </c>
      <c r="G49" s="5" t="s">
        <v>11</v>
      </c>
      <c r="H49" s="6">
        <v>3000</v>
      </c>
    </row>
    <row r="50" spans="1:8" ht="20.100000000000001" customHeight="1" x14ac:dyDescent="0.25">
      <c r="A50" s="77"/>
      <c r="B50" s="2">
        <v>45579</v>
      </c>
      <c r="C50" s="3">
        <v>1115310689</v>
      </c>
      <c r="D50" s="3">
        <v>2</v>
      </c>
      <c r="E50" s="4" t="s">
        <v>1102</v>
      </c>
      <c r="F50" s="19" t="s">
        <v>286</v>
      </c>
      <c r="G50" s="5" t="s">
        <v>6</v>
      </c>
      <c r="H50" s="6">
        <v>1000</v>
      </c>
    </row>
    <row r="51" spans="1:8" ht="20.100000000000001" customHeight="1" x14ac:dyDescent="0.25">
      <c r="A51" s="77"/>
      <c r="B51" s="2">
        <v>45580</v>
      </c>
      <c r="C51" s="3">
        <v>564022781</v>
      </c>
      <c r="D51" s="3">
        <v>10</v>
      </c>
      <c r="E51" s="4" t="s">
        <v>1103</v>
      </c>
      <c r="F51" s="19" t="s">
        <v>286</v>
      </c>
      <c r="G51" s="5" t="s">
        <v>19</v>
      </c>
      <c r="H51" s="6">
        <v>5000</v>
      </c>
    </row>
    <row r="52" spans="1:8" ht="20.100000000000001" customHeight="1" x14ac:dyDescent="0.25">
      <c r="A52" s="77"/>
      <c r="B52" s="2">
        <v>45583</v>
      </c>
      <c r="C52" s="3">
        <v>1649887545</v>
      </c>
      <c r="D52" s="3">
        <v>10</v>
      </c>
      <c r="E52" s="4" t="s">
        <v>1104</v>
      </c>
      <c r="F52" s="19" t="s">
        <v>286</v>
      </c>
      <c r="G52" s="5" t="s">
        <v>7</v>
      </c>
      <c r="H52" s="6">
        <v>5000</v>
      </c>
    </row>
    <row r="53" spans="1:8" ht="20.100000000000001" customHeight="1" x14ac:dyDescent="0.25">
      <c r="A53" s="77"/>
      <c r="B53" s="2">
        <v>45586</v>
      </c>
      <c r="C53" s="3">
        <v>2589542847</v>
      </c>
      <c r="D53" s="3">
        <v>5</v>
      </c>
      <c r="E53" s="4" t="s">
        <v>1105</v>
      </c>
      <c r="F53" s="19" t="s">
        <v>286</v>
      </c>
      <c r="G53" s="5" t="s">
        <v>7</v>
      </c>
      <c r="H53" s="6">
        <v>2500</v>
      </c>
    </row>
    <row r="54" spans="1:8" ht="20.100000000000001" customHeight="1" x14ac:dyDescent="0.25">
      <c r="A54" s="77"/>
      <c r="B54" s="2">
        <v>45586</v>
      </c>
      <c r="C54" s="3">
        <v>2589542847</v>
      </c>
      <c r="D54" s="3">
        <v>5</v>
      </c>
      <c r="E54" s="4" t="s">
        <v>1105</v>
      </c>
      <c r="F54" s="19" t="s">
        <v>72</v>
      </c>
      <c r="G54" s="5" t="s">
        <v>7</v>
      </c>
      <c r="H54" s="6">
        <v>2500</v>
      </c>
    </row>
    <row r="55" spans="1:8" ht="20.100000000000001" customHeight="1" x14ac:dyDescent="0.25">
      <c r="A55" s="77"/>
      <c r="B55" s="2">
        <v>45601</v>
      </c>
      <c r="C55" s="3">
        <v>222447949</v>
      </c>
      <c r="D55" s="3">
        <v>5</v>
      </c>
      <c r="E55" s="4" t="s">
        <v>1238</v>
      </c>
      <c r="F55" s="19" t="s">
        <v>286</v>
      </c>
      <c r="G55" s="5" t="s">
        <v>19</v>
      </c>
      <c r="H55" s="6">
        <v>2500</v>
      </c>
    </row>
    <row r="56" spans="1:8" ht="20.100000000000001" customHeight="1" x14ac:dyDescent="0.25">
      <c r="A56" s="77"/>
      <c r="B56" s="2">
        <v>45603</v>
      </c>
      <c r="C56" s="3">
        <v>1265715069</v>
      </c>
      <c r="D56" s="3">
        <v>5</v>
      </c>
      <c r="E56" s="4" t="s">
        <v>1163</v>
      </c>
      <c r="F56" s="19" t="s">
        <v>286</v>
      </c>
      <c r="G56" s="5" t="s">
        <v>7</v>
      </c>
      <c r="H56" s="6">
        <v>2500</v>
      </c>
    </row>
    <row r="57" spans="1:8" ht="20.100000000000001" customHeight="1" x14ac:dyDescent="0.25">
      <c r="A57" s="77"/>
      <c r="B57" s="2">
        <v>45611</v>
      </c>
      <c r="C57" s="3">
        <v>32197828</v>
      </c>
      <c r="D57" s="3">
        <v>2</v>
      </c>
      <c r="E57" s="4" t="s">
        <v>969</v>
      </c>
      <c r="F57" s="19" t="s">
        <v>286</v>
      </c>
      <c r="G57" s="5" t="s">
        <v>6</v>
      </c>
      <c r="H57" s="6">
        <v>1000</v>
      </c>
    </row>
    <row r="58" spans="1:8" ht="20.100000000000001" customHeight="1" x14ac:dyDescent="0.25">
      <c r="A58" s="77"/>
      <c r="B58" s="2">
        <v>45614</v>
      </c>
      <c r="C58" s="3">
        <v>1437942630</v>
      </c>
      <c r="D58" s="3">
        <v>5</v>
      </c>
      <c r="E58" s="4" t="s">
        <v>1119</v>
      </c>
      <c r="F58" s="19" t="s">
        <v>286</v>
      </c>
      <c r="G58" s="5" t="s">
        <v>7</v>
      </c>
      <c r="H58" s="6">
        <v>2500</v>
      </c>
    </row>
    <row r="59" spans="1:8" ht="20.100000000000001" customHeight="1" x14ac:dyDescent="0.25">
      <c r="A59" s="77"/>
      <c r="B59" s="2">
        <v>45625</v>
      </c>
      <c r="C59" s="3">
        <v>1301105820</v>
      </c>
      <c r="D59" s="3">
        <v>1</v>
      </c>
      <c r="E59" s="4" t="s">
        <v>1163</v>
      </c>
      <c r="F59" s="19" t="s">
        <v>286</v>
      </c>
      <c r="G59" s="5" t="s">
        <v>11</v>
      </c>
      <c r="H59" s="6">
        <v>500</v>
      </c>
    </row>
    <row r="60" spans="1:8" ht="20.100000000000001" customHeight="1" x14ac:dyDescent="0.25">
      <c r="A60" s="77"/>
      <c r="B60" s="2">
        <v>45629</v>
      </c>
      <c r="C60" s="3">
        <v>524963283</v>
      </c>
      <c r="D60" s="3">
        <v>6</v>
      </c>
      <c r="E60" s="4" t="s">
        <v>1163</v>
      </c>
      <c r="F60" s="19" t="s">
        <v>286</v>
      </c>
      <c r="G60" s="5" t="s">
        <v>6</v>
      </c>
      <c r="H60" s="6">
        <v>3000</v>
      </c>
    </row>
    <row r="61" spans="1:8" ht="20.100000000000001" customHeight="1" x14ac:dyDescent="0.25">
      <c r="A61" s="77"/>
      <c r="B61" s="2">
        <v>45631</v>
      </c>
      <c r="C61" s="3">
        <v>1985561915</v>
      </c>
      <c r="D61" s="3">
        <v>10</v>
      </c>
      <c r="E61" s="4" t="s">
        <v>1281</v>
      </c>
      <c r="F61" s="19" t="s">
        <v>286</v>
      </c>
      <c r="G61" s="5" t="s">
        <v>7</v>
      </c>
      <c r="H61" s="6">
        <v>5000</v>
      </c>
    </row>
    <row r="62" spans="1:8" ht="20.100000000000001" customHeight="1" x14ac:dyDescent="0.25">
      <c r="A62" s="77"/>
      <c r="B62" s="2">
        <v>45635</v>
      </c>
      <c r="C62" s="3">
        <v>3622784439</v>
      </c>
      <c r="D62" s="3">
        <v>5</v>
      </c>
      <c r="E62" s="4" t="s">
        <v>1282</v>
      </c>
      <c r="F62" s="19" t="s">
        <v>286</v>
      </c>
      <c r="G62" s="5" t="s">
        <v>7</v>
      </c>
      <c r="H62" s="6">
        <v>2500</v>
      </c>
    </row>
    <row r="63" spans="1:8" ht="20.100000000000001" customHeight="1" x14ac:dyDescent="0.25">
      <c r="A63" s="77"/>
      <c r="B63" s="2">
        <v>45639</v>
      </c>
      <c r="C63" s="3">
        <v>1679770480</v>
      </c>
      <c r="D63" s="3">
        <v>7</v>
      </c>
      <c r="E63" s="4" t="s">
        <v>1275</v>
      </c>
      <c r="F63" s="19" t="s">
        <v>286</v>
      </c>
      <c r="G63" s="5" t="s">
        <v>7</v>
      </c>
      <c r="H63" s="6">
        <v>3500</v>
      </c>
    </row>
    <row r="64" spans="1:8" ht="20.100000000000001" customHeight="1" x14ac:dyDescent="0.25">
      <c r="A64" s="77"/>
      <c r="B64" s="2">
        <v>45643</v>
      </c>
      <c r="C64" s="3">
        <v>140369993</v>
      </c>
      <c r="D64" s="3">
        <v>10</v>
      </c>
      <c r="E64" s="4" t="s">
        <v>1262</v>
      </c>
      <c r="F64" s="19" t="s">
        <v>286</v>
      </c>
      <c r="G64" s="5" t="s">
        <v>13</v>
      </c>
      <c r="H64" s="6">
        <v>5000</v>
      </c>
    </row>
    <row r="65" spans="1:8" ht="20.100000000000001" customHeight="1" x14ac:dyDescent="0.25">
      <c r="A65" s="77"/>
      <c r="B65" s="2">
        <v>45644</v>
      </c>
      <c r="C65" s="3">
        <v>2844082337</v>
      </c>
      <c r="D65" s="3">
        <v>1</v>
      </c>
      <c r="E65" s="4" t="s">
        <v>1283</v>
      </c>
      <c r="F65" s="19" t="s">
        <v>286</v>
      </c>
      <c r="G65" s="5" t="s">
        <v>19</v>
      </c>
      <c r="H65" s="6">
        <v>600</v>
      </c>
    </row>
    <row r="66" spans="1:8" ht="20.100000000000001" customHeight="1" x14ac:dyDescent="0.25">
      <c r="A66" s="78"/>
      <c r="B66" s="13"/>
      <c r="C66" s="14"/>
      <c r="D66" s="14"/>
      <c r="E66" s="14" t="s">
        <v>5</v>
      </c>
      <c r="F66" s="15"/>
      <c r="G66" s="16"/>
      <c r="H66" s="17">
        <f>SUM(H3:H65)</f>
        <v>205600</v>
      </c>
    </row>
    <row r="67" spans="1:8" ht="20.100000000000001" customHeight="1" x14ac:dyDescent="0.25">
      <c r="A67" s="7"/>
      <c r="B67" s="8"/>
      <c r="C67" s="8"/>
      <c r="D67" s="8"/>
      <c r="E67" s="8"/>
      <c r="F67" s="12"/>
      <c r="G67" s="8"/>
      <c r="H67" s="9"/>
    </row>
  </sheetData>
  <mergeCells count="8">
    <mergeCell ref="G1:G2"/>
    <mergeCell ref="H1:H2"/>
    <mergeCell ref="A1:A66"/>
    <mergeCell ref="B1:B2"/>
    <mergeCell ref="C1:C2"/>
    <mergeCell ref="D1:D2"/>
    <mergeCell ref="E1:E2"/>
    <mergeCell ref="F1:F2"/>
  </mergeCells>
  <pageMargins left="0.7" right="0.7" top="0.75" bottom="0.75" header="0.3" footer="0.3"/>
  <pageSetup paperSize="9" orientation="portrait" horizontalDpi="120" verticalDpi="72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H6"/>
  <sheetViews>
    <sheetView workbookViewId="0">
      <selection activeCell="F11" sqref="F11"/>
    </sheetView>
  </sheetViews>
  <sheetFormatPr baseColWidth="10" defaultColWidth="9.140625" defaultRowHeight="15" x14ac:dyDescent="0.25"/>
  <cols>
    <col min="1" max="1" width="16.7109375" customWidth="1"/>
    <col min="2" max="2" width="12.7109375" bestFit="1" customWidth="1"/>
    <col min="3" max="3" width="17.42578125" customWidth="1"/>
    <col min="4" max="4" width="11" customWidth="1"/>
    <col min="5" max="5" width="32.42578125" bestFit="1" customWidth="1"/>
    <col min="6" max="6" width="81.7109375" style="1" customWidth="1"/>
    <col min="7" max="7" width="16.140625" customWidth="1"/>
    <col min="8" max="8" width="14.28515625" bestFit="1" customWidth="1"/>
  </cols>
  <sheetData>
    <row r="1" spans="1:8" ht="15" customHeight="1" x14ac:dyDescent="0.25">
      <c r="A1" s="76" t="s">
        <v>560</v>
      </c>
      <c r="B1" s="72" t="s">
        <v>0</v>
      </c>
      <c r="C1" s="74" t="s">
        <v>1</v>
      </c>
      <c r="D1" s="74" t="s">
        <v>2</v>
      </c>
      <c r="E1" s="74" t="s">
        <v>3</v>
      </c>
      <c r="F1" s="74" t="s">
        <v>8</v>
      </c>
      <c r="G1" s="68" t="s">
        <v>4</v>
      </c>
      <c r="H1" s="70" t="s">
        <v>5</v>
      </c>
    </row>
    <row r="2" spans="1:8" ht="15" customHeight="1" x14ac:dyDescent="0.25">
      <c r="A2" s="77"/>
      <c r="B2" s="73"/>
      <c r="C2" s="75"/>
      <c r="D2" s="75"/>
      <c r="E2" s="75"/>
      <c r="F2" s="75"/>
      <c r="G2" s="69"/>
      <c r="H2" s="71"/>
    </row>
    <row r="3" spans="1:8" ht="29.25" customHeight="1" x14ac:dyDescent="0.25">
      <c r="A3" s="77"/>
      <c r="B3" s="2">
        <v>45331</v>
      </c>
      <c r="C3" s="3">
        <v>3728426352</v>
      </c>
      <c r="D3" s="3">
        <v>1</v>
      </c>
      <c r="E3" s="4" t="s">
        <v>236</v>
      </c>
      <c r="F3" s="19" t="s">
        <v>287</v>
      </c>
      <c r="G3" s="10" t="s">
        <v>6</v>
      </c>
      <c r="H3" s="11">
        <v>650</v>
      </c>
    </row>
    <row r="4" spans="1:8" ht="20.100000000000001" customHeight="1" x14ac:dyDescent="0.25">
      <c r="A4" s="77"/>
      <c r="B4" s="2">
        <v>45373</v>
      </c>
      <c r="C4" s="3">
        <v>698630611</v>
      </c>
      <c r="D4" s="3">
        <v>1</v>
      </c>
      <c r="E4" s="4" t="s">
        <v>176</v>
      </c>
      <c r="F4" s="19" t="s">
        <v>448</v>
      </c>
      <c r="G4" s="10" t="s">
        <v>6</v>
      </c>
      <c r="H4" s="11">
        <v>150</v>
      </c>
    </row>
    <row r="5" spans="1:8" ht="20.100000000000001" customHeight="1" x14ac:dyDescent="0.25">
      <c r="A5" s="78"/>
      <c r="B5" s="13"/>
      <c r="C5" s="14"/>
      <c r="D5" s="14"/>
      <c r="E5" s="14" t="s">
        <v>5</v>
      </c>
      <c r="F5" s="15"/>
      <c r="G5" s="16"/>
      <c r="H5" s="17">
        <f>SUM(H3:H4)</f>
        <v>800</v>
      </c>
    </row>
    <row r="6" spans="1:8" ht="20.100000000000001" customHeight="1" x14ac:dyDescent="0.25">
      <c r="A6" s="7"/>
      <c r="B6" s="8"/>
      <c r="C6" s="8"/>
      <c r="D6" s="8"/>
      <c r="E6" s="8"/>
      <c r="F6" s="12"/>
      <c r="G6" s="8"/>
      <c r="H6" s="9"/>
    </row>
  </sheetData>
  <mergeCells count="8">
    <mergeCell ref="G1:G2"/>
    <mergeCell ref="H1:H2"/>
    <mergeCell ref="A1:A5"/>
    <mergeCell ref="B1:B2"/>
    <mergeCell ref="C1:C2"/>
    <mergeCell ref="D1:D2"/>
    <mergeCell ref="E1:E2"/>
    <mergeCell ref="F1:F2"/>
  </mergeCells>
  <pageMargins left="0.7" right="0.7" top="0.75" bottom="0.75" header="0.3" footer="0.3"/>
  <pageSetup paperSize="9" orientation="portrait" horizontalDpi="120" verticalDpi="72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H63"/>
  <sheetViews>
    <sheetView topLeftCell="A52" workbookViewId="0">
      <selection activeCell="B59" sqref="B59"/>
    </sheetView>
  </sheetViews>
  <sheetFormatPr baseColWidth="10" defaultColWidth="9.140625" defaultRowHeight="15" x14ac:dyDescent="0.25"/>
  <cols>
    <col min="1" max="1" width="16.7109375" customWidth="1"/>
    <col min="2" max="2" width="12.7109375" bestFit="1" customWidth="1"/>
    <col min="3" max="3" width="17.42578125" customWidth="1"/>
    <col min="4" max="4" width="11" customWidth="1"/>
    <col min="5" max="5" width="32.42578125" bestFit="1" customWidth="1"/>
    <col min="6" max="6" width="81.7109375" style="1" customWidth="1"/>
    <col min="7" max="7" width="16.140625" customWidth="1"/>
    <col min="8" max="8" width="14.28515625" bestFit="1" customWidth="1"/>
  </cols>
  <sheetData>
    <row r="1" spans="1:8" ht="15" customHeight="1" x14ac:dyDescent="0.25">
      <c r="A1" s="76" t="s">
        <v>288</v>
      </c>
      <c r="B1" s="72" t="s">
        <v>0</v>
      </c>
      <c r="C1" s="74" t="s">
        <v>1</v>
      </c>
      <c r="D1" s="74" t="s">
        <v>2</v>
      </c>
      <c r="E1" s="74" t="s">
        <v>3</v>
      </c>
      <c r="F1" s="74" t="s">
        <v>8</v>
      </c>
      <c r="G1" s="68" t="s">
        <v>4</v>
      </c>
      <c r="H1" s="70" t="s">
        <v>5</v>
      </c>
    </row>
    <row r="2" spans="1:8" ht="15" customHeight="1" x14ac:dyDescent="0.25">
      <c r="A2" s="77"/>
      <c r="B2" s="73"/>
      <c r="C2" s="75"/>
      <c r="D2" s="75"/>
      <c r="E2" s="75"/>
      <c r="F2" s="75"/>
      <c r="G2" s="69"/>
      <c r="H2" s="71"/>
    </row>
    <row r="3" spans="1:8" ht="29.25" customHeight="1" x14ac:dyDescent="0.25">
      <c r="A3" s="77"/>
      <c r="B3" s="2">
        <v>45349</v>
      </c>
      <c r="C3" s="3">
        <v>2695384338</v>
      </c>
      <c r="D3" s="3">
        <v>1</v>
      </c>
      <c r="E3" s="4" t="s">
        <v>221</v>
      </c>
      <c r="F3" s="19" t="s">
        <v>289</v>
      </c>
      <c r="G3" s="10" t="s">
        <v>7</v>
      </c>
      <c r="H3" s="11">
        <v>3840</v>
      </c>
    </row>
    <row r="4" spans="1:8" ht="20.100000000000001" customHeight="1" x14ac:dyDescent="0.25">
      <c r="A4" s="77"/>
      <c r="B4" s="2">
        <v>45357</v>
      </c>
      <c r="C4" s="3">
        <v>1854623442</v>
      </c>
      <c r="D4" s="3">
        <v>1</v>
      </c>
      <c r="E4" s="4" t="s">
        <v>450</v>
      </c>
      <c r="F4" s="19" t="s">
        <v>451</v>
      </c>
      <c r="G4" s="10" t="s">
        <v>7</v>
      </c>
      <c r="H4" s="11">
        <v>6800</v>
      </c>
    </row>
    <row r="5" spans="1:8" ht="20.100000000000001" customHeight="1" x14ac:dyDescent="0.25">
      <c r="A5" s="77"/>
      <c r="B5" s="2">
        <v>45364</v>
      </c>
      <c r="C5" s="3">
        <v>2314817074</v>
      </c>
      <c r="D5" s="3">
        <v>1</v>
      </c>
      <c r="E5" s="4" t="s">
        <v>349</v>
      </c>
      <c r="F5" s="19" t="s">
        <v>452</v>
      </c>
      <c r="G5" s="10" t="s">
        <v>7</v>
      </c>
      <c r="H5" s="11">
        <v>300</v>
      </c>
    </row>
    <row r="6" spans="1:8" ht="20.100000000000001" customHeight="1" x14ac:dyDescent="0.25">
      <c r="A6" s="77"/>
      <c r="B6" s="2">
        <v>45364</v>
      </c>
      <c r="C6" s="3">
        <v>2314817074</v>
      </c>
      <c r="D6" s="3">
        <v>1</v>
      </c>
      <c r="E6" s="4" t="s">
        <v>349</v>
      </c>
      <c r="F6" s="19" t="s">
        <v>453</v>
      </c>
      <c r="G6" s="10" t="s">
        <v>10</v>
      </c>
      <c r="H6" s="11">
        <v>3900</v>
      </c>
    </row>
    <row r="7" spans="1:8" ht="20.100000000000001" customHeight="1" x14ac:dyDescent="0.25">
      <c r="A7" s="77"/>
      <c r="B7" s="2">
        <v>45364</v>
      </c>
      <c r="C7" s="3">
        <v>2314817074</v>
      </c>
      <c r="D7" s="3">
        <v>1</v>
      </c>
      <c r="E7" s="4" t="s">
        <v>349</v>
      </c>
      <c r="F7" s="19" t="s">
        <v>454</v>
      </c>
      <c r="G7" s="10" t="s">
        <v>10</v>
      </c>
      <c r="H7" s="11">
        <v>2600</v>
      </c>
    </row>
    <row r="8" spans="1:8" ht="20.100000000000001" customHeight="1" x14ac:dyDescent="0.25">
      <c r="A8" s="77"/>
      <c r="B8" s="2">
        <v>45371</v>
      </c>
      <c r="C8" s="3">
        <v>3013034420</v>
      </c>
      <c r="D8" s="3">
        <v>1</v>
      </c>
      <c r="E8" s="4" t="s">
        <v>455</v>
      </c>
      <c r="F8" s="19" t="s">
        <v>454</v>
      </c>
      <c r="G8" s="10" t="s">
        <v>7</v>
      </c>
      <c r="H8" s="11">
        <v>2600</v>
      </c>
    </row>
    <row r="9" spans="1:8" ht="20.100000000000001" customHeight="1" x14ac:dyDescent="0.25">
      <c r="A9" s="77"/>
      <c r="B9" s="2">
        <v>45384</v>
      </c>
      <c r="C9" s="3">
        <v>3072214406</v>
      </c>
      <c r="D9" s="3">
        <v>1</v>
      </c>
      <c r="E9" s="4" t="s">
        <v>544</v>
      </c>
      <c r="F9" s="19" t="s">
        <v>551</v>
      </c>
      <c r="G9" s="10" t="s">
        <v>10</v>
      </c>
      <c r="H9" s="11">
        <v>2600</v>
      </c>
    </row>
    <row r="10" spans="1:8" ht="20.100000000000001" customHeight="1" x14ac:dyDescent="0.25">
      <c r="A10" s="77"/>
      <c r="B10" s="2">
        <v>45384</v>
      </c>
      <c r="C10" s="3">
        <v>3072214406</v>
      </c>
      <c r="D10" s="3">
        <v>1</v>
      </c>
      <c r="E10" s="4" t="s">
        <v>544</v>
      </c>
      <c r="F10" s="19" t="s">
        <v>552</v>
      </c>
      <c r="G10" s="10" t="s">
        <v>10</v>
      </c>
      <c r="H10" s="11">
        <v>2600</v>
      </c>
    </row>
    <row r="11" spans="1:8" ht="20.100000000000001" customHeight="1" x14ac:dyDescent="0.25">
      <c r="A11" s="77"/>
      <c r="B11" s="2">
        <v>45384</v>
      </c>
      <c r="C11" s="3">
        <v>3072214406</v>
      </c>
      <c r="D11" s="3">
        <v>1</v>
      </c>
      <c r="E11" s="4" t="s">
        <v>544</v>
      </c>
      <c r="F11" s="19" t="s">
        <v>553</v>
      </c>
      <c r="G11" s="10" t="s">
        <v>10</v>
      </c>
      <c r="H11" s="11">
        <v>2600</v>
      </c>
    </row>
    <row r="12" spans="1:8" ht="20.100000000000001" customHeight="1" x14ac:dyDescent="0.25">
      <c r="A12" s="77"/>
      <c r="B12" s="2">
        <v>45384</v>
      </c>
      <c r="C12" s="3">
        <v>3072214406</v>
      </c>
      <c r="D12" s="3">
        <v>1</v>
      </c>
      <c r="E12" s="4" t="s">
        <v>544</v>
      </c>
      <c r="F12" s="19" t="s">
        <v>554</v>
      </c>
      <c r="G12" s="10" t="s">
        <v>10</v>
      </c>
      <c r="H12" s="11">
        <v>2600</v>
      </c>
    </row>
    <row r="13" spans="1:8" ht="20.100000000000001" customHeight="1" x14ac:dyDescent="0.25">
      <c r="A13" s="77"/>
      <c r="B13" s="2">
        <v>45385</v>
      </c>
      <c r="C13" s="3">
        <v>2392803424</v>
      </c>
      <c r="D13" s="3">
        <v>1</v>
      </c>
      <c r="E13" s="4" t="s">
        <v>513</v>
      </c>
      <c r="F13" s="19" t="s">
        <v>555</v>
      </c>
      <c r="G13" s="10" t="s">
        <v>10</v>
      </c>
      <c r="H13" s="11">
        <v>4000</v>
      </c>
    </row>
    <row r="14" spans="1:8" ht="20.100000000000001" customHeight="1" x14ac:dyDescent="0.25">
      <c r="A14" s="77"/>
      <c r="B14" s="2">
        <v>45387</v>
      </c>
      <c r="C14" s="3">
        <v>2569159485</v>
      </c>
      <c r="D14" s="3">
        <v>1</v>
      </c>
      <c r="E14" s="4" t="s">
        <v>368</v>
      </c>
      <c r="F14" s="19" t="s">
        <v>552</v>
      </c>
      <c r="G14" s="10" t="s">
        <v>19</v>
      </c>
      <c r="H14" s="11">
        <v>2600</v>
      </c>
    </row>
    <row r="15" spans="1:8" ht="20.100000000000001" customHeight="1" x14ac:dyDescent="0.25">
      <c r="A15" s="77"/>
      <c r="B15" s="2">
        <v>45387</v>
      </c>
      <c r="C15" s="3">
        <v>2569159485</v>
      </c>
      <c r="D15" s="3">
        <v>1</v>
      </c>
      <c r="E15" s="4" t="s">
        <v>368</v>
      </c>
      <c r="F15" s="19" t="s">
        <v>554</v>
      </c>
      <c r="G15" s="10" t="s">
        <v>19</v>
      </c>
      <c r="H15" s="11">
        <v>2600</v>
      </c>
    </row>
    <row r="16" spans="1:8" ht="20.100000000000001" customHeight="1" x14ac:dyDescent="0.25">
      <c r="A16" s="77"/>
      <c r="B16" s="2">
        <v>45387</v>
      </c>
      <c r="C16" s="3">
        <v>2569159485</v>
      </c>
      <c r="D16" s="3">
        <v>1</v>
      </c>
      <c r="E16" s="4" t="s">
        <v>368</v>
      </c>
      <c r="F16" s="19" t="s">
        <v>553</v>
      </c>
      <c r="G16" s="10" t="s">
        <v>19</v>
      </c>
      <c r="H16" s="11">
        <v>2600</v>
      </c>
    </row>
    <row r="17" spans="1:8" ht="20.100000000000001" customHeight="1" x14ac:dyDescent="0.25">
      <c r="A17" s="77"/>
      <c r="B17" s="2">
        <v>45394</v>
      </c>
      <c r="C17" s="3">
        <v>1712341042</v>
      </c>
      <c r="D17" s="3">
        <v>1</v>
      </c>
      <c r="E17" s="4" t="s">
        <v>517</v>
      </c>
      <c r="F17" s="19" t="s">
        <v>551</v>
      </c>
      <c r="G17" s="10" t="s">
        <v>19</v>
      </c>
      <c r="H17" s="11">
        <v>3500</v>
      </c>
    </row>
    <row r="18" spans="1:8" ht="20.100000000000001" customHeight="1" x14ac:dyDescent="0.25">
      <c r="A18" s="77"/>
      <c r="B18" s="2">
        <v>45399</v>
      </c>
      <c r="C18" s="3">
        <v>3749661464</v>
      </c>
      <c r="D18" s="3">
        <v>1</v>
      </c>
      <c r="E18" s="4" t="s">
        <v>556</v>
      </c>
      <c r="F18" s="19" t="s">
        <v>554</v>
      </c>
      <c r="G18" s="10" t="s">
        <v>7</v>
      </c>
      <c r="H18" s="11">
        <v>2600</v>
      </c>
    </row>
    <row r="19" spans="1:8" ht="20.100000000000001" customHeight="1" x14ac:dyDescent="0.25">
      <c r="A19" s="77"/>
      <c r="B19" s="2">
        <v>45404</v>
      </c>
      <c r="C19" s="3">
        <v>2971616687</v>
      </c>
      <c r="D19" s="3">
        <v>1</v>
      </c>
      <c r="E19" s="4" t="s">
        <v>557</v>
      </c>
      <c r="F19" s="19" t="s">
        <v>551</v>
      </c>
      <c r="G19" s="10" t="s">
        <v>10</v>
      </c>
      <c r="H19" s="11">
        <v>2600</v>
      </c>
    </row>
    <row r="20" spans="1:8" ht="20.100000000000001" customHeight="1" x14ac:dyDescent="0.25">
      <c r="A20" s="77"/>
      <c r="B20" s="2">
        <v>45404</v>
      </c>
      <c r="C20" s="3">
        <v>2971616687</v>
      </c>
      <c r="D20" s="3">
        <v>1</v>
      </c>
      <c r="E20" s="4" t="s">
        <v>557</v>
      </c>
      <c r="F20" s="19" t="s">
        <v>552</v>
      </c>
      <c r="G20" s="10" t="s">
        <v>10</v>
      </c>
      <c r="H20" s="11">
        <v>2600</v>
      </c>
    </row>
    <row r="21" spans="1:8" ht="20.100000000000001" customHeight="1" x14ac:dyDescent="0.25">
      <c r="A21" s="77"/>
      <c r="B21" s="2">
        <v>45404</v>
      </c>
      <c r="C21" s="3">
        <v>2971616687</v>
      </c>
      <c r="D21" s="3">
        <v>1</v>
      </c>
      <c r="E21" s="4" t="s">
        <v>557</v>
      </c>
      <c r="F21" s="19" t="s">
        <v>553</v>
      </c>
      <c r="G21" s="10" t="s">
        <v>10</v>
      </c>
      <c r="H21" s="11">
        <v>2600</v>
      </c>
    </row>
    <row r="22" spans="1:8" ht="20.100000000000001" customHeight="1" x14ac:dyDescent="0.25">
      <c r="A22" s="77"/>
      <c r="B22" s="2">
        <v>45404</v>
      </c>
      <c r="C22" s="3">
        <v>2971616687</v>
      </c>
      <c r="D22" s="3">
        <v>1</v>
      </c>
      <c r="E22" s="4" t="s">
        <v>557</v>
      </c>
      <c r="F22" s="19" t="s">
        <v>554</v>
      </c>
      <c r="G22" s="10" t="s">
        <v>10</v>
      </c>
      <c r="H22" s="11">
        <v>2600</v>
      </c>
    </row>
    <row r="23" spans="1:8" ht="20.100000000000001" customHeight="1" x14ac:dyDescent="0.25">
      <c r="A23" s="77"/>
      <c r="B23" s="2">
        <v>45418</v>
      </c>
      <c r="C23" s="3">
        <v>528173846</v>
      </c>
      <c r="D23" s="3">
        <v>1</v>
      </c>
      <c r="E23" s="19" t="s">
        <v>641</v>
      </c>
      <c r="F23" s="19" t="s">
        <v>552</v>
      </c>
      <c r="G23" s="10" t="s">
        <v>10</v>
      </c>
      <c r="H23" s="11">
        <v>2600</v>
      </c>
    </row>
    <row r="24" spans="1:8" ht="20.100000000000001" customHeight="1" x14ac:dyDescent="0.25">
      <c r="A24" s="77"/>
      <c r="B24" s="2">
        <v>45418</v>
      </c>
      <c r="C24" s="3">
        <v>528173846</v>
      </c>
      <c r="D24" s="3">
        <v>1</v>
      </c>
      <c r="E24" s="19" t="s">
        <v>641</v>
      </c>
      <c r="F24" s="19" t="s">
        <v>554</v>
      </c>
      <c r="G24" s="10" t="s">
        <v>10</v>
      </c>
      <c r="H24" s="11">
        <v>2600</v>
      </c>
    </row>
    <row r="25" spans="1:8" ht="20.100000000000001" customHeight="1" x14ac:dyDescent="0.25">
      <c r="A25" s="77"/>
      <c r="B25" s="2">
        <v>45418</v>
      </c>
      <c r="C25" s="3">
        <v>528173846</v>
      </c>
      <c r="D25" s="3">
        <v>1</v>
      </c>
      <c r="E25" s="19" t="s">
        <v>641</v>
      </c>
      <c r="F25" s="19" t="s">
        <v>647</v>
      </c>
      <c r="G25" s="10" t="s">
        <v>10</v>
      </c>
      <c r="H25" s="11">
        <v>2600</v>
      </c>
    </row>
    <row r="26" spans="1:8" ht="20.100000000000001" customHeight="1" x14ac:dyDescent="0.25">
      <c r="A26" s="77"/>
      <c r="B26" s="2">
        <v>45418</v>
      </c>
      <c r="C26" s="3">
        <v>528173846</v>
      </c>
      <c r="D26" s="3">
        <v>1</v>
      </c>
      <c r="E26" s="19" t="s">
        <v>641</v>
      </c>
      <c r="F26" s="19" t="s">
        <v>551</v>
      </c>
      <c r="G26" s="10" t="s">
        <v>10</v>
      </c>
      <c r="H26" s="11">
        <v>2600</v>
      </c>
    </row>
    <row r="27" spans="1:8" ht="20.100000000000001" customHeight="1" x14ac:dyDescent="0.25">
      <c r="A27" s="77"/>
      <c r="B27" s="2">
        <v>45419</v>
      </c>
      <c r="C27" s="3">
        <v>2986950798</v>
      </c>
      <c r="D27" s="3">
        <v>1</v>
      </c>
      <c r="E27" s="19" t="s">
        <v>645</v>
      </c>
      <c r="F27" s="19" t="s">
        <v>552</v>
      </c>
      <c r="G27" s="10" t="s">
        <v>7</v>
      </c>
      <c r="H27" s="11">
        <v>2600</v>
      </c>
    </row>
    <row r="28" spans="1:8" ht="20.100000000000001" customHeight="1" x14ac:dyDescent="0.25">
      <c r="A28" s="77"/>
      <c r="B28" s="2">
        <v>45419</v>
      </c>
      <c r="C28" s="3">
        <v>2986950798</v>
      </c>
      <c r="D28" s="3">
        <v>1</v>
      </c>
      <c r="E28" s="19" t="s">
        <v>645</v>
      </c>
      <c r="F28" s="19" t="s">
        <v>647</v>
      </c>
      <c r="G28" s="10" t="s">
        <v>7</v>
      </c>
      <c r="H28" s="11">
        <v>2600</v>
      </c>
    </row>
    <row r="29" spans="1:8" ht="20.100000000000001" customHeight="1" x14ac:dyDescent="0.25">
      <c r="A29" s="77"/>
      <c r="B29" s="2">
        <v>45419</v>
      </c>
      <c r="C29" s="3">
        <v>2986950798</v>
      </c>
      <c r="D29" s="3">
        <v>1</v>
      </c>
      <c r="E29" s="19" t="s">
        <v>645</v>
      </c>
      <c r="F29" s="19" t="s">
        <v>554</v>
      </c>
      <c r="G29" s="10" t="s">
        <v>7</v>
      </c>
      <c r="H29" s="11">
        <v>2600</v>
      </c>
    </row>
    <row r="30" spans="1:8" ht="20.100000000000001" customHeight="1" x14ac:dyDescent="0.25">
      <c r="A30" s="77"/>
      <c r="B30" s="2">
        <v>45419</v>
      </c>
      <c r="C30" s="3">
        <v>2986950798</v>
      </c>
      <c r="D30" s="3">
        <v>1</v>
      </c>
      <c r="E30" s="19" t="s">
        <v>645</v>
      </c>
      <c r="F30" s="19" t="s">
        <v>555</v>
      </c>
      <c r="G30" s="10" t="s">
        <v>7</v>
      </c>
      <c r="H30" s="11">
        <v>2600</v>
      </c>
    </row>
    <row r="31" spans="1:8" ht="20.100000000000001" customHeight="1" x14ac:dyDescent="0.25">
      <c r="A31" s="77"/>
      <c r="B31" s="2">
        <v>45419</v>
      </c>
      <c r="C31" s="3">
        <v>2569225023</v>
      </c>
      <c r="D31" s="3">
        <v>1</v>
      </c>
      <c r="E31" s="19" t="s">
        <v>646</v>
      </c>
      <c r="F31" s="19" t="s">
        <v>552</v>
      </c>
      <c r="G31" s="10" t="s">
        <v>7</v>
      </c>
      <c r="H31" s="11">
        <v>2600</v>
      </c>
    </row>
    <row r="32" spans="1:8" ht="20.100000000000001" customHeight="1" x14ac:dyDescent="0.25">
      <c r="A32" s="77"/>
      <c r="B32" s="2">
        <v>45419</v>
      </c>
      <c r="C32" s="3">
        <v>2569225023</v>
      </c>
      <c r="D32" s="3">
        <v>1</v>
      </c>
      <c r="E32" s="19" t="s">
        <v>646</v>
      </c>
      <c r="F32" s="19" t="s">
        <v>554</v>
      </c>
      <c r="G32" s="10" t="s">
        <v>7</v>
      </c>
      <c r="H32" s="11">
        <v>2600</v>
      </c>
    </row>
    <row r="33" spans="1:8" ht="20.100000000000001" customHeight="1" x14ac:dyDescent="0.25">
      <c r="A33" s="77"/>
      <c r="B33" s="2">
        <v>45419</v>
      </c>
      <c r="C33" s="3">
        <v>2569225023</v>
      </c>
      <c r="D33" s="3">
        <v>1</v>
      </c>
      <c r="E33" s="19" t="s">
        <v>646</v>
      </c>
      <c r="F33" s="19" t="s">
        <v>648</v>
      </c>
      <c r="G33" s="10" t="s">
        <v>7</v>
      </c>
      <c r="H33" s="11">
        <v>2600</v>
      </c>
    </row>
    <row r="34" spans="1:8" ht="20.100000000000001" customHeight="1" x14ac:dyDescent="0.25">
      <c r="A34" s="77"/>
      <c r="B34" s="2">
        <v>45419</v>
      </c>
      <c r="C34" s="3">
        <v>2569225023</v>
      </c>
      <c r="D34" s="3">
        <v>1</v>
      </c>
      <c r="E34" s="19" t="s">
        <v>646</v>
      </c>
      <c r="F34" s="19" t="s">
        <v>555</v>
      </c>
      <c r="G34" s="10" t="s">
        <v>7</v>
      </c>
      <c r="H34" s="11">
        <v>2600</v>
      </c>
    </row>
    <row r="35" spans="1:8" ht="20.100000000000001" customHeight="1" x14ac:dyDescent="0.25">
      <c r="A35" s="77"/>
      <c r="B35" s="2">
        <v>45420</v>
      </c>
      <c r="C35" s="3">
        <v>4125051060</v>
      </c>
      <c r="D35" s="3">
        <v>1</v>
      </c>
      <c r="E35" s="19" t="s">
        <v>649</v>
      </c>
      <c r="F35" s="19" t="s">
        <v>552</v>
      </c>
      <c r="G35" s="10" t="s">
        <v>7</v>
      </c>
      <c r="H35" s="11">
        <v>2600</v>
      </c>
    </row>
    <row r="36" spans="1:8" ht="20.100000000000001" customHeight="1" x14ac:dyDescent="0.25">
      <c r="A36" s="77"/>
      <c r="B36" s="2">
        <v>45420</v>
      </c>
      <c r="C36" s="3">
        <v>4125051060</v>
      </c>
      <c r="D36" s="3">
        <v>1</v>
      </c>
      <c r="E36" s="19" t="s">
        <v>649</v>
      </c>
      <c r="F36" s="19" t="s">
        <v>554</v>
      </c>
      <c r="G36" s="10" t="s">
        <v>7</v>
      </c>
      <c r="H36" s="11">
        <v>2600</v>
      </c>
    </row>
    <row r="37" spans="1:8" ht="20.100000000000001" customHeight="1" x14ac:dyDescent="0.25">
      <c r="A37" s="77"/>
      <c r="B37" s="2">
        <v>45420</v>
      </c>
      <c r="C37" s="3">
        <v>4125051060</v>
      </c>
      <c r="D37" s="3">
        <v>1</v>
      </c>
      <c r="E37" s="19" t="s">
        <v>649</v>
      </c>
      <c r="F37" s="19" t="s">
        <v>647</v>
      </c>
      <c r="G37" s="10" t="s">
        <v>7</v>
      </c>
      <c r="H37" s="11">
        <v>2600</v>
      </c>
    </row>
    <row r="38" spans="1:8" ht="20.100000000000001" customHeight="1" x14ac:dyDescent="0.25">
      <c r="A38" s="77"/>
      <c r="B38" s="2">
        <v>45420</v>
      </c>
      <c r="C38" s="3">
        <v>4125051060</v>
      </c>
      <c r="D38" s="3">
        <v>1</v>
      </c>
      <c r="E38" s="19" t="s">
        <v>649</v>
      </c>
      <c r="F38" s="19" t="s">
        <v>551</v>
      </c>
      <c r="G38" s="10" t="s">
        <v>7</v>
      </c>
      <c r="H38" s="11">
        <v>2600</v>
      </c>
    </row>
    <row r="39" spans="1:8" ht="20.100000000000001" customHeight="1" x14ac:dyDescent="0.25">
      <c r="A39" s="77"/>
      <c r="B39" s="2">
        <v>45425</v>
      </c>
      <c r="C39" s="3">
        <v>1214661680</v>
      </c>
      <c r="D39" s="3">
        <v>1</v>
      </c>
      <c r="E39" s="19" t="s">
        <v>650</v>
      </c>
      <c r="F39" s="19" t="s">
        <v>651</v>
      </c>
      <c r="G39" s="10" t="s">
        <v>11</v>
      </c>
      <c r="H39" s="11">
        <v>10400</v>
      </c>
    </row>
    <row r="40" spans="1:8" ht="20.100000000000001" customHeight="1" x14ac:dyDescent="0.25">
      <c r="A40" s="77"/>
      <c r="B40" s="2">
        <v>45429</v>
      </c>
      <c r="C40" s="3">
        <v>4231938606</v>
      </c>
      <c r="D40" s="3">
        <v>1</v>
      </c>
      <c r="E40" s="19" t="s">
        <v>652</v>
      </c>
      <c r="F40" s="19" t="s">
        <v>654</v>
      </c>
      <c r="G40" s="10" t="s">
        <v>13</v>
      </c>
      <c r="H40" s="11">
        <v>5200</v>
      </c>
    </row>
    <row r="41" spans="1:8" ht="20.100000000000001" customHeight="1" x14ac:dyDescent="0.25">
      <c r="A41" s="77"/>
      <c r="B41" s="2">
        <v>45429</v>
      </c>
      <c r="C41" s="3">
        <v>469975133</v>
      </c>
      <c r="D41" s="3">
        <v>1</v>
      </c>
      <c r="E41" s="19" t="s">
        <v>653</v>
      </c>
      <c r="F41" s="19" t="s">
        <v>654</v>
      </c>
      <c r="G41" s="10" t="s">
        <v>13</v>
      </c>
      <c r="H41" s="11">
        <v>5200</v>
      </c>
    </row>
    <row r="42" spans="1:8" ht="20.100000000000001" customHeight="1" x14ac:dyDescent="0.25">
      <c r="A42" s="77"/>
      <c r="B42" s="2">
        <v>45429</v>
      </c>
      <c r="C42" s="3">
        <v>4141894204</v>
      </c>
      <c r="D42" s="3">
        <v>1</v>
      </c>
      <c r="E42" s="19" t="s">
        <v>604</v>
      </c>
      <c r="F42" s="19" t="s">
        <v>654</v>
      </c>
      <c r="G42" s="10" t="s">
        <v>10</v>
      </c>
      <c r="H42" s="11">
        <v>10400</v>
      </c>
    </row>
    <row r="43" spans="1:8" ht="20.100000000000001" customHeight="1" x14ac:dyDescent="0.25">
      <c r="A43" s="77"/>
      <c r="B43" s="2">
        <v>45434</v>
      </c>
      <c r="C43" s="3">
        <v>3551873224</v>
      </c>
      <c r="D43" s="3">
        <v>1</v>
      </c>
      <c r="E43" s="19" t="s">
        <v>236</v>
      </c>
      <c r="F43" s="19" t="s">
        <v>654</v>
      </c>
      <c r="G43" s="10" t="s">
        <v>6</v>
      </c>
      <c r="H43" s="11">
        <v>10400</v>
      </c>
    </row>
    <row r="44" spans="1:8" ht="20.100000000000001" customHeight="1" x14ac:dyDescent="0.25">
      <c r="A44" s="77"/>
      <c r="B44" s="2">
        <v>45471</v>
      </c>
      <c r="C44" s="3">
        <v>3358017658</v>
      </c>
      <c r="D44" s="3">
        <v>1</v>
      </c>
      <c r="E44" s="19" t="s">
        <v>202</v>
      </c>
      <c r="F44" s="19" t="s">
        <v>745</v>
      </c>
      <c r="G44" s="10" t="s">
        <v>11</v>
      </c>
      <c r="H44" s="11">
        <v>3500</v>
      </c>
    </row>
    <row r="45" spans="1:8" ht="20.100000000000001" customHeight="1" x14ac:dyDescent="0.25">
      <c r="A45" s="77"/>
      <c r="B45" s="2">
        <v>45471</v>
      </c>
      <c r="C45" s="3">
        <v>3358017658</v>
      </c>
      <c r="D45" s="3">
        <v>1</v>
      </c>
      <c r="E45" s="19" t="s">
        <v>202</v>
      </c>
      <c r="F45" s="19" t="s">
        <v>746</v>
      </c>
      <c r="G45" s="10" t="s">
        <v>6</v>
      </c>
      <c r="H45" s="11">
        <v>4000</v>
      </c>
    </row>
    <row r="46" spans="1:8" ht="20.100000000000001" customHeight="1" x14ac:dyDescent="0.25">
      <c r="A46" s="77"/>
      <c r="B46" s="2">
        <v>45483</v>
      </c>
      <c r="C46" s="3">
        <v>3301199124</v>
      </c>
      <c r="D46" s="3">
        <v>1</v>
      </c>
      <c r="E46" s="4" t="s">
        <v>800</v>
      </c>
      <c r="F46" s="19" t="s">
        <v>866</v>
      </c>
      <c r="G46" s="10" t="s">
        <v>7</v>
      </c>
      <c r="H46" s="11">
        <v>7800</v>
      </c>
    </row>
    <row r="47" spans="1:8" ht="20.100000000000001" customHeight="1" x14ac:dyDescent="0.25">
      <c r="A47" s="77"/>
      <c r="B47" s="2">
        <v>45485</v>
      </c>
      <c r="C47" s="3">
        <v>2907851864</v>
      </c>
      <c r="D47" s="3">
        <v>1</v>
      </c>
      <c r="E47" s="4" t="s">
        <v>867</v>
      </c>
      <c r="F47" s="19" t="s">
        <v>654</v>
      </c>
      <c r="G47" s="10" t="s">
        <v>7</v>
      </c>
      <c r="H47" s="11">
        <v>10400</v>
      </c>
    </row>
    <row r="48" spans="1:8" ht="20.100000000000001" customHeight="1" x14ac:dyDescent="0.25">
      <c r="A48" s="77"/>
      <c r="B48" s="2">
        <v>45485</v>
      </c>
      <c r="C48" s="3">
        <v>2945797110</v>
      </c>
      <c r="D48" s="3">
        <v>1</v>
      </c>
      <c r="E48" s="4" t="s">
        <v>868</v>
      </c>
      <c r="F48" s="19" t="s">
        <v>654</v>
      </c>
      <c r="G48" s="10" t="s">
        <v>7</v>
      </c>
      <c r="H48" s="11">
        <v>10400</v>
      </c>
    </row>
    <row r="49" spans="1:8" ht="20.100000000000001" customHeight="1" x14ac:dyDescent="0.25">
      <c r="A49" s="77"/>
      <c r="B49" s="2">
        <v>45498</v>
      </c>
      <c r="C49" s="3">
        <v>4014229739</v>
      </c>
      <c r="D49" s="3">
        <v>1</v>
      </c>
      <c r="E49" s="4" t="s">
        <v>228</v>
      </c>
      <c r="F49" s="19" t="s">
        <v>869</v>
      </c>
      <c r="G49" s="10" t="s">
        <v>7</v>
      </c>
      <c r="H49" s="11">
        <v>7800</v>
      </c>
    </row>
    <row r="50" spans="1:8" ht="20.100000000000001" customHeight="1" x14ac:dyDescent="0.25">
      <c r="A50" s="77"/>
      <c r="B50" s="2">
        <v>45518</v>
      </c>
      <c r="C50" s="3">
        <v>3143256530</v>
      </c>
      <c r="D50" s="3">
        <v>1</v>
      </c>
      <c r="E50" s="4" t="s">
        <v>756</v>
      </c>
      <c r="F50" s="19" t="s">
        <v>554</v>
      </c>
      <c r="G50" s="5" t="s">
        <v>19</v>
      </c>
      <c r="H50" s="6">
        <v>3000</v>
      </c>
    </row>
    <row r="51" spans="1:8" ht="20.100000000000001" customHeight="1" x14ac:dyDescent="0.25">
      <c r="A51" s="77"/>
      <c r="B51" s="2">
        <v>45518</v>
      </c>
      <c r="C51" s="3">
        <v>3143256530</v>
      </c>
      <c r="D51" s="3">
        <v>1</v>
      </c>
      <c r="E51" s="4" t="s">
        <v>756</v>
      </c>
      <c r="F51" s="19" t="s">
        <v>551</v>
      </c>
      <c r="G51" s="5" t="s">
        <v>19</v>
      </c>
      <c r="H51" s="6">
        <v>3000</v>
      </c>
    </row>
    <row r="52" spans="1:8" ht="20.100000000000001" customHeight="1" x14ac:dyDescent="0.25">
      <c r="A52" s="77"/>
      <c r="B52" s="2">
        <v>45575</v>
      </c>
      <c r="C52" s="3">
        <v>4279648327</v>
      </c>
      <c r="D52" s="3">
        <v>1</v>
      </c>
      <c r="E52" s="4" t="s">
        <v>516</v>
      </c>
      <c r="F52" s="19" t="s">
        <v>654</v>
      </c>
      <c r="G52" s="5" t="s">
        <v>13</v>
      </c>
      <c r="H52" s="6">
        <v>10400</v>
      </c>
    </row>
    <row r="53" spans="1:8" ht="20.100000000000001" customHeight="1" x14ac:dyDescent="0.25">
      <c r="A53" s="77"/>
      <c r="B53" s="2">
        <v>45611</v>
      </c>
      <c r="C53" s="3">
        <v>1496795756</v>
      </c>
      <c r="D53" s="3">
        <v>1</v>
      </c>
      <c r="E53" s="4" t="s">
        <v>1131</v>
      </c>
      <c r="F53" s="19" t="s">
        <v>555</v>
      </c>
      <c r="G53" s="5" t="s">
        <v>26</v>
      </c>
      <c r="H53" s="6">
        <v>4000</v>
      </c>
    </row>
    <row r="54" spans="1:8" ht="20.100000000000001" customHeight="1" x14ac:dyDescent="0.25">
      <c r="A54" s="77"/>
      <c r="B54" s="2">
        <v>45611</v>
      </c>
      <c r="C54" s="3">
        <v>1496795756</v>
      </c>
      <c r="D54" s="3">
        <v>1</v>
      </c>
      <c r="E54" s="4" t="s">
        <v>1131</v>
      </c>
      <c r="F54" s="19" t="s">
        <v>554</v>
      </c>
      <c r="G54" s="5" t="s">
        <v>26</v>
      </c>
      <c r="H54" s="6">
        <v>4200</v>
      </c>
    </row>
    <row r="55" spans="1:8" ht="20.100000000000001" customHeight="1" x14ac:dyDescent="0.25">
      <c r="A55" s="77"/>
      <c r="B55" s="2">
        <v>45611</v>
      </c>
      <c r="C55" s="3">
        <v>1496795756</v>
      </c>
      <c r="D55" s="3">
        <v>1</v>
      </c>
      <c r="E55" s="4" t="s">
        <v>1131</v>
      </c>
      <c r="F55" s="19" t="s">
        <v>1240</v>
      </c>
      <c r="G55" s="5" t="s">
        <v>26</v>
      </c>
      <c r="H55" s="6">
        <v>2031</v>
      </c>
    </row>
    <row r="56" spans="1:8" ht="20.100000000000001" customHeight="1" x14ac:dyDescent="0.25">
      <c r="A56" s="77"/>
      <c r="B56" s="2">
        <v>45611</v>
      </c>
      <c r="C56" s="3">
        <v>1496795756</v>
      </c>
      <c r="D56" s="3">
        <v>1</v>
      </c>
      <c r="E56" s="4" t="s">
        <v>1131</v>
      </c>
      <c r="F56" s="19" t="s">
        <v>1241</v>
      </c>
      <c r="G56" s="5" t="s">
        <v>7</v>
      </c>
      <c r="H56" s="6">
        <v>174</v>
      </c>
    </row>
    <row r="57" spans="1:8" ht="20.100000000000001" customHeight="1" x14ac:dyDescent="0.25">
      <c r="A57" s="77"/>
      <c r="B57" s="2">
        <v>45624</v>
      </c>
      <c r="C57" s="3">
        <v>1438533192</v>
      </c>
      <c r="D57" s="3">
        <v>1</v>
      </c>
      <c r="E57" s="4" t="s">
        <v>1134</v>
      </c>
      <c r="F57" s="19" t="s">
        <v>551</v>
      </c>
      <c r="G57" s="5" t="s">
        <v>10</v>
      </c>
      <c r="H57" s="6">
        <v>3000</v>
      </c>
    </row>
    <row r="58" spans="1:8" ht="20.100000000000001" customHeight="1" x14ac:dyDescent="0.25">
      <c r="A58" s="77"/>
      <c r="B58" s="2">
        <v>45628</v>
      </c>
      <c r="C58" s="3">
        <v>1987004504</v>
      </c>
      <c r="D58" s="3">
        <v>1</v>
      </c>
      <c r="E58" s="4" t="s">
        <v>544</v>
      </c>
      <c r="F58" s="19" t="s">
        <v>554</v>
      </c>
      <c r="G58" s="5" t="s">
        <v>10</v>
      </c>
      <c r="H58" s="6">
        <v>2600</v>
      </c>
    </row>
    <row r="59" spans="1:8" ht="20.100000000000001" customHeight="1" x14ac:dyDescent="0.25">
      <c r="A59" s="77"/>
      <c r="B59" s="2">
        <v>45628</v>
      </c>
      <c r="C59" s="3">
        <v>1987004504</v>
      </c>
      <c r="D59" s="3">
        <v>1</v>
      </c>
      <c r="E59" s="4" t="s">
        <v>544</v>
      </c>
      <c r="F59" s="19" t="s">
        <v>551</v>
      </c>
      <c r="G59" s="5" t="s">
        <v>10</v>
      </c>
      <c r="H59" s="6">
        <v>2600</v>
      </c>
    </row>
    <row r="60" spans="1:8" ht="20.100000000000001" customHeight="1" x14ac:dyDescent="0.25">
      <c r="A60" s="77"/>
      <c r="B60" s="2">
        <v>45628</v>
      </c>
      <c r="C60" s="3">
        <v>1987004504</v>
      </c>
      <c r="D60" s="3">
        <v>1</v>
      </c>
      <c r="E60" s="4" t="s">
        <v>544</v>
      </c>
      <c r="F60" s="19" t="s">
        <v>552</v>
      </c>
      <c r="G60" s="5" t="s">
        <v>10</v>
      </c>
      <c r="H60" s="6">
        <v>2600</v>
      </c>
    </row>
    <row r="61" spans="1:8" ht="20.100000000000001" customHeight="1" x14ac:dyDescent="0.25">
      <c r="A61" s="77"/>
      <c r="B61" s="2">
        <v>45628</v>
      </c>
      <c r="C61" s="3">
        <v>1987004504</v>
      </c>
      <c r="D61" s="3">
        <v>1</v>
      </c>
      <c r="E61" s="4" t="s">
        <v>544</v>
      </c>
      <c r="F61" s="19" t="s">
        <v>1284</v>
      </c>
      <c r="G61" s="5" t="s">
        <v>10</v>
      </c>
      <c r="H61" s="6">
        <v>2600</v>
      </c>
    </row>
    <row r="62" spans="1:8" ht="20.100000000000001" customHeight="1" x14ac:dyDescent="0.25">
      <c r="A62" s="78"/>
      <c r="B62" s="13"/>
      <c r="C62" s="14"/>
      <c r="D62" s="14"/>
      <c r="E62" s="18" t="s">
        <v>5</v>
      </c>
      <c r="F62" s="15"/>
      <c r="G62" s="16"/>
      <c r="H62" s="17">
        <f>SUM(H3:H61)</f>
        <v>226045</v>
      </c>
    </row>
    <row r="63" spans="1:8" ht="20.100000000000001" customHeight="1" x14ac:dyDescent="0.25">
      <c r="A63" s="7"/>
      <c r="B63" s="8"/>
      <c r="C63" s="8"/>
      <c r="D63" s="8"/>
      <c r="E63" s="8"/>
      <c r="F63" s="12"/>
      <c r="G63" s="8"/>
      <c r="H63" s="9"/>
    </row>
  </sheetData>
  <mergeCells count="8">
    <mergeCell ref="G1:G2"/>
    <mergeCell ref="H1:H2"/>
    <mergeCell ref="A1:A62"/>
    <mergeCell ref="B1:B2"/>
    <mergeCell ref="C1:C2"/>
    <mergeCell ref="D1:D2"/>
    <mergeCell ref="E1:E2"/>
    <mergeCell ref="F1:F2"/>
  </mergeCells>
  <pageMargins left="0.7" right="0.7" top="0.75" bottom="0.75" header="0.3" footer="0.3"/>
  <pageSetup paperSize="9" orientation="portrait" horizontalDpi="120" verticalDpi="72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6C186-97A7-45B6-B6B4-A5619D637190}">
  <dimension ref="A1:H21"/>
  <sheetViews>
    <sheetView tabSelected="1" topLeftCell="A10" workbookViewId="0">
      <selection activeCell="F38" sqref="F38"/>
    </sheetView>
  </sheetViews>
  <sheetFormatPr baseColWidth="10" defaultColWidth="9.140625" defaultRowHeight="15" x14ac:dyDescent="0.25"/>
  <cols>
    <col min="1" max="1" width="16.7109375" customWidth="1"/>
    <col min="2" max="2" width="12.7109375" bestFit="1" customWidth="1"/>
    <col min="3" max="3" width="17.42578125" customWidth="1"/>
    <col min="4" max="4" width="11" customWidth="1"/>
    <col min="5" max="5" width="33.5703125" bestFit="1" customWidth="1"/>
    <col min="6" max="6" width="81.7109375" style="1" customWidth="1"/>
    <col min="7" max="7" width="16.140625" customWidth="1"/>
    <col min="8" max="8" width="14.28515625" bestFit="1" customWidth="1"/>
  </cols>
  <sheetData>
    <row r="1" spans="1:8" ht="15" customHeight="1" x14ac:dyDescent="0.25">
      <c r="A1" s="76" t="s">
        <v>558</v>
      </c>
      <c r="B1" s="72" t="s">
        <v>0</v>
      </c>
      <c r="C1" s="74" t="s">
        <v>1</v>
      </c>
      <c r="D1" s="74" t="s">
        <v>2</v>
      </c>
      <c r="E1" s="74" t="s">
        <v>3</v>
      </c>
      <c r="F1" s="74" t="s">
        <v>8</v>
      </c>
      <c r="G1" s="68" t="s">
        <v>4</v>
      </c>
      <c r="H1" s="70" t="s">
        <v>5</v>
      </c>
    </row>
    <row r="2" spans="1:8" ht="15" customHeight="1" x14ac:dyDescent="0.25">
      <c r="A2" s="77"/>
      <c r="B2" s="73"/>
      <c r="C2" s="75"/>
      <c r="D2" s="75"/>
      <c r="E2" s="75"/>
      <c r="F2" s="75"/>
      <c r="G2" s="69"/>
      <c r="H2" s="71"/>
    </row>
    <row r="3" spans="1:8" ht="29.25" customHeight="1" x14ac:dyDescent="0.25">
      <c r="A3" s="77"/>
      <c r="B3" s="2">
        <v>45411</v>
      </c>
      <c r="C3" s="3">
        <v>3358674097</v>
      </c>
      <c r="D3" s="3">
        <v>8</v>
      </c>
      <c r="E3" s="19" t="s">
        <v>497</v>
      </c>
      <c r="F3" s="19" t="s">
        <v>559</v>
      </c>
      <c r="G3" s="10" t="s">
        <v>7</v>
      </c>
      <c r="H3" s="11">
        <v>4000</v>
      </c>
    </row>
    <row r="4" spans="1:8" ht="20.100000000000001" customHeight="1" x14ac:dyDescent="0.25">
      <c r="A4" s="77"/>
      <c r="B4" s="2">
        <v>45426</v>
      </c>
      <c r="C4" s="3">
        <v>1007568992</v>
      </c>
      <c r="D4" s="3">
        <v>8</v>
      </c>
      <c r="E4" s="19" t="s">
        <v>586</v>
      </c>
      <c r="F4" s="19" t="s">
        <v>588</v>
      </c>
      <c r="G4" s="10" t="s">
        <v>19</v>
      </c>
      <c r="H4" s="11">
        <v>4000</v>
      </c>
    </row>
    <row r="5" spans="1:8" ht="20.100000000000001" customHeight="1" x14ac:dyDescent="0.25">
      <c r="A5" s="77"/>
      <c r="B5" s="2">
        <v>45440</v>
      </c>
      <c r="C5" s="3">
        <v>1100628841</v>
      </c>
      <c r="D5" s="3">
        <v>8</v>
      </c>
      <c r="E5" s="19" t="s">
        <v>631</v>
      </c>
      <c r="F5" s="19" t="s">
        <v>655</v>
      </c>
      <c r="G5" s="10" t="s">
        <v>6</v>
      </c>
      <c r="H5" s="11">
        <v>3800</v>
      </c>
    </row>
    <row r="6" spans="1:8" ht="20.100000000000001" customHeight="1" x14ac:dyDescent="0.25">
      <c r="A6" s="77"/>
      <c r="B6" s="2">
        <v>45441</v>
      </c>
      <c r="C6" s="3">
        <v>1952337598</v>
      </c>
      <c r="D6" s="3">
        <v>8</v>
      </c>
      <c r="E6" s="19" t="s">
        <v>598</v>
      </c>
      <c r="F6" s="19" t="s">
        <v>656</v>
      </c>
      <c r="G6" s="10" t="s">
        <v>7</v>
      </c>
      <c r="H6" s="11">
        <v>2000</v>
      </c>
    </row>
    <row r="7" spans="1:8" ht="20.100000000000001" customHeight="1" x14ac:dyDescent="0.25">
      <c r="A7" s="77"/>
      <c r="B7" s="2">
        <v>45460</v>
      </c>
      <c r="C7" s="3">
        <v>2626440107</v>
      </c>
      <c r="D7" s="3">
        <v>8</v>
      </c>
      <c r="E7" s="19" t="s">
        <v>685</v>
      </c>
      <c r="F7" s="19" t="s">
        <v>747</v>
      </c>
      <c r="G7" s="10" t="s">
        <v>19</v>
      </c>
      <c r="H7" s="11">
        <v>5000</v>
      </c>
    </row>
    <row r="8" spans="1:8" ht="20.100000000000001" customHeight="1" x14ac:dyDescent="0.25">
      <c r="A8" s="77"/>
      <c r="B8" s="2">
        <v>45461</v>
      </c>
      <c r="C8" s="3">
        <v>2075607868</v>
      </c>
      <c r="D8" s="3">
        <v>11</v>
      </c>
      <c r="E8" s="19" t="s">
        <v>748</v>
      </c>
      <c r="F8" s="19" t="s">
        <v>749</v>
      </c>
      <c r="G8" s="10" t="s">
        <v>6</v>
      </c>
      <c r="H8" s="11">
        <v>5951</v>
      </c>
    </row>
    <row r="9" spans="1:8" ht="20.100000000000001" customHeight="1" x14ac:dyDescent="0.25">
      <c r="A9" s="77"/>
      <c r="B9" s="2">
        <v>45461</v>
      </c>
      <c r="C9" s="3">
        <v>2075607868</v>
      </c>
      <c r="D9" s="3">
        <v>1</v>
      </c>
      <c r="E9" s="19" t="s">
        <v>748</v>
      </c>
      <c r="F9" s="19" t="s">
        <v>749</v>
      </c>
      <c r="G9" s="10" t="s">
        <v>6</v>
      </c>
      <c r="H9" s="11">
        <v>549</v>
      </c>
    </row>
    <row r="10" spans="1:8" ht="20.100000000000001" customHeight="1" x14ac:dyDescent="0.25">
      <c r="A10" s="77"/>
      <c r="B10" s="2">
        <v>45461</v>
      </c>
      <c r="C10" s="3">
        <v>2075607868</v>
      </c>
      <c r="D10" s="3">
        <v>11</v>
      </c>
      <c r="E10" s="19" t="s">
        <v>661</v>
      </c>
      <c r="F10" s="19" t="s">
        <v>656</v>
      </c>
      <c r="G10" s="10" t="s">
        <v>7</v>
      </c>
      <c r="H10" s="11">
        <v>5951</v>
      </c>
    </row>
    <row r="11" spans="1:8" ht="23.25" customHeight="1" x14ac:dyDescent="0.25">
      <c r="A11" s="77"/>
      <c r="B11" s="2">
        <v>45461</v>
      </c>
      <c r="C11" s="3">
        <v>2075607868</v>
      </c>
      <c r="D11" s="3">
        <v>1</v>
      </c>
      <c r="E11" s="19" t="s">
        <v>661</v>
      </c>
      <c r="F11" s="19" t="s">
        <v>656</v>
      </c>
      <c r="G11" s="10" t="s">
        <v>7</v>
      </c>
      <c r="H11" s="11">
        <v>549</v>
      </c>
    </row>
    <row r="12" spans="1:8" ht="29.25" customHeight="1" x14ac:dyDescent="0.25">
      <c r="A12" s="77"/>
      <c r="B12" s="2">
        <v>45464</v>
      </c>
      <c r="C12" s="3">
        <v>4054534147</v>
      </c>
      <c r="D12" s="3">
        <v>6</v>
      </c>
      <c r="E12" s="19" t="s">
        <v>626</v>
      </c>
      <c r="F12" s="19" t="s">
        <v>750</v>
      </c>
      <c r="G12" s="10" t="s">
        <v>7</v>
      </c>
      <c r="H12" s="11">
        <v>3000</v>
      </c>
    </row>
    <row r="13" spans="1:8" ht="20.100000000000001" customHeight="1" x14ac:dyDescent="0.25">
      <c r="A13" s="77"/>
      <c r="B13" s="2">
        <v>45467</v>
      </c>
      <c r="C13" s="3">
        <v>187188692</v>
      </c>
      <c r="D13" s="3">
        <v>8</v>
      </c>
      <c r="E13" s="19" t="s">
        <v>681</v>
      </c>
      <c r="F13" s="19" t="s">
        <v>751</v>
      </c>
      <c r="G13" s="10" t="s">
        <v>19</v>
      </c>
      <c r="H13" s="11">
        <v>4368</v>
      </c>
    </row>
    <row r="14" spans="1:8" ht="20.100000000000001" customHeight="1" x14ac:dyDescent="0.25">
      <c r="A14" s="77"/>
      <c r="B14" s="2">
        <v>45485</v>
      </c>
      <c r="C14" s="3">
        <v>637421756</v>
      </c>
      <c r="D14" s="3">
        <v>8</v>
      </c>
      <c r="E14" s="4" t="s">
        <v>580</v>
      </c>
      <c r="F14" s="19" t="s">
        <v>870</v>
      </c>
      <c r="G14" s="10" t="s">
        <v>7</v>
      </c>
      <c r="H14" s="11">
        <v>5000</v>
      </c>
    </row>
    <row r="15" spans="1:8" ht="20.100000000000001" customHeight="1" x14ac:dyDescent="0.25">
      <c r="A15" s="77"/>
      <c r="B15" s="2">
        <v>45555</v>
      </c>
      <c r="C15" s="3">
        <v>81545079</v>
      </c>
      <c r="D15" s="3">
        <v>8</v>
      </c>
      <c r="E15" s="4" t="s">
        <v>983</v>
      </c>
      <c r="F15" s="19" t="s">
        <v>1026</v>
      </c>
      <c r="G15" s="5" t="s">
        <v>7</v>
      </c>
      <c r="H15" s="6">
        <v>4368</v>
      </c>
    </row>
    <row r="16" spans="1:8" ht="20.100000000000001" customHeight="1" x14ac:dyDescent="0.25">
      <c r="A16" s="77"/>
      <c r="B16" s="2">
        <v>45559</v>
      </c>
      <c r="C16" s="3">
        <v>1252541782</v>
      </c>
      <c r="D16" s="3">
        <v>8</v>
      </c>
      <c r="E16" s="4" t="s">
        <v>223</v>
      </c>
      <c r="F16" s="19" t="s">
        <v>1027</v>
      </c>
      <c r="G16" s="5" t="s">
        <v>19</v>
      </c>
      <c r="H16" s="6">
        <v>3800</v>
      </c>
    </row>
    <row r="17" spans="1:8" ht="20.100000000000001" customHeight="1" x14ac:dyDescent="0.25">
      <c r="A17" s="77"/>
      <c r="B17" s="2">
        <v>45576</v>
      </c>
      <c r="C17" s="3">
        <v>66551850</v>
      </c>
      <c r="D17" s="3">
        <v>14</v>
      </c>
      <c r="E17" s="4" t="s">
        <v>1082</v>
      </c>
      <c r="F17" s="19" t="s">
        <v>1106</v>
      </c>
      <c r="G17" s="5" t="s">
        <v>19</v>
      </c>
      <c r="H17" s="6">
        <v>5460</v>
      </c>
    </row>
    <row r="18" spans="1:8" ht="20.100000000000001" customHeight="1" x14ac:dyDescent="0.25">
      <c r="A18" s="77"/>
      <c r="B18" s="2">
        <v>45614</v>
      </c>
      <c r="C18" s="3">
        <v>3523429021</v>
      </c>
      <c r="D18" s="3">
        <v>8</v>
      </c>
      <c r="E18" s="4" t="s">
        <v>1152</v>
      </c>
      <c r="F18" s="19" t="s">
        <v>747</v>
      </c>
      <c r="G18" s="5" t="s">
        <v>7</v>
      </c>
      <c r="H18" s="6">
        <v>3000</v>
      </c>
    </row>
    <row r="19" spans="1:8" ht="20.100000000000001" customHeight="1" x14ac:dyDescent="0.25">
      <c r="A19" s="77"/>
      <c r="B19" s="2">
        <v>45625</v>
      </c>
      <c r="C19" s="3">
        <v>931810472</v>
      </c>
      <c r="D19" s="3">
        <v>8</v>
      </c>
      <c r="E19" s="4" t="s">
        <v>1155</v>
      </c>
      <c r="F19" s="19" t="s">
        <v>588</v>
      </c>
      <c r="G19" s="5" t="s">
        <v>6</v>
      </c>
      <c r="H19" s="6">
        <v>3000</v>
      </c>
    </row>
    <row r="20" spans="1:8" ht="20.100000000000001" customHeight="1" x14ac:dyDescent="0.25">
      <c r="A20" s="78"/>
      <c r="B20" s="88" t="s">
        <v>5</v>
      </c>
      <c r="C20" s="89"/>
      <c r="D20" s="89"/>
      <c r="E20" s="89"/>
      <c r="F20" s="89"/>
      <c r="G20" s="90"/>
      <c r="H20" s="17">
        <f>SUM(H3:H19)</f>
        <v>63796</v>
      </c>
    </row>
    <row r="21" spans="1:8" ht="20.100000000000001" customHeight="1" x14ac:dyDescent="0.25">
      <c r="A21" s="7"/>
      <c r="B21" s="8"/>
      <c r="C21" s="8"/>
      <c r="D21" s="8"/>
      <c r="E21" s="8"/>
      <c r="F21" s="12"/>
      <c r="G21" s="8"/>
      <c r="H21" s="9"/>
    </row>
  </sheetData>
  <mergeCells count="9">
    <mergeCell ref="G1:G2"/>
    <mergeCell ref="H1:H2"/>
    <mergeCell ref="A1:A20"/>
    <mergeCell ref="B1:B2"/>
    <mergeCell ref="C1:C2"/>
    <mergeCell ref="D1:D2"/>
    <mergeCell ref="E1:E2"/>
    <mergeCell ref="F1:F2"/>
    <mergeCell ref="B20:G20"/>
  </mergeCells>
  <pageMargins left="0.7" right="0.7" top="0.75" bottom="0.75" header="0.3" footer="0.3"/>
  <pageSetup paperSize="9" orientation="portrait" horizontalDpi="120" verticalDpi="72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B8D8F-26E4-489B-AE89-5FED9F6497F4}">
  <sheetPr>
    <tabColor rgb="FFFF0000"/>
  </sheetPr>
  <dimension ref="A1:H19"/>
  <sheetViews>
    <sheetView topLeftCell="A13" workbookViewId="0">
      <selection activeCell="E23" sqref="E23"/>
    </sheetView>
  </sheetViews>
  <sheetFormatPr baseColWidth="10" defaultColWidth="9.140625" defaultRowHeight="15" x14ac:dyDescent="0.25"/>
  <cols>
    <col min="1" max="1" width="16.7109375" customWidth="1"/>
    <col min="2" max="2" width="12.7109375" bestFit="1" customWidth="1"/>
    <col min="3" max="3" width="17.42578125" customWidth="1"/>
    <col min="4" max="4" width="11" customWidth="1"/>
    <col min="5" max="5" width="33.5703125" bestFit="1" customWidth="1"/>
    <col min="6" max="6" width="52.42578125" style="1" bestFit="1" customWidth="1"/>
    <col min="7" max="7" width="16.140625" customWidth="1"/>
    <col min="8" max="8" width="14.28515625" bestFit="1" customWidth="1"/>
  </cols>
  <sheetData>
    <row r="1" spans="1:8" ht="15" customHeight="1" x14ac:dyDescent="0.25">
      <c r="A1" s="76" t="s">
        <v>879</v>
      </c>
      <c r="B1" s="72" t="s">
        <v>0</v>
      </c>
      <c r="C1" s="74" t="s">
        <v>1</v>
      </c>
      <c r="D1" s="74" t="s">
        <v>2</v>
      </c>
      <c r="E1" s="74" t="s">
        <v>3</v>
      </c>
      <c r="F1" s="74" t="s">
        <v>8</v>
      </c>
      <c r="G1" s="68" t="s">
        <v>4</v>
      </c>
      <c r="H1" s="70" t="s">
        <v>5</v>
      </c>
    </row>
    <row r="2" spans="1:8" ht="15" customHeight="1" x14ac:dyDescent="0.25">
      <c r="A2" s="77"/>
      <c r="B2" s="73"/>
      <c r="C2" s="75"/>
      <c r="D2" s="75"/>
      <c r="E2" s="75"/>
      <c r="F2" s="75"/>
      <c r="G2" s="69"/>
      <c r="H2" s="71"/>
    </row>
    <row r="3" spans="1:8" ht="29.25" customHeight="1" x14ac:dyDescent="0.25">
      <c r="A3" s="77"/>
      <c r="B3" s="2">
        <v>45491</v>
      </c>
      <c r="C3" s="3">
        <v>738151298</v>
      </c>
      <c r="D3" s="3">
        <v>8</v>
      </c>
      <c r="E3" s="4" t="s">
        <v>676</v>
      </c>
      <c r="F3" s="19" t="s">
        <v>880</v>
      </c>
      <c r="G3" s="10" t="s">
        <v>7</v>
      </c>
      <c r="H3" s="11">
        <v>8000</v>
      </c>
    </row>
    <row r="4" spans="1:8" ht="20.100000000000001" customHeight="1" x14ac:dyDescent="0.25">
      <c r="A4" s="77"/>
      <c r="B4" s="2">
        <v>45492</v>
      </c>
      <c r="C4" s="3">
        <v>8182387171</v>
      </c>
      <c r="D4" s="3">
        <v>6</v>
      </c>
      <c r="E4" s="4" t="s">
        <v>114</v>
      </c>
      <c r="F4" s="19" t="s">
        <v>881</v>
      </c>
      <c r="G4" s="10" t="s">
        <v>19</v>
      </c>
      <c r="H4" s="11">
        <v>6000</v>
      </c>
    </row>
    <row r="5" spans="1:8" ht="20.100000000000001" customHeight="1" x14ac:dyDescent="0.25">
      <c r="A5" s="77"/>
      <c r="B5" s="2">
        <v>45496</v>
      </c>
      <c r="C5" s="3">
        <v>108740925</v>
      </c>
      <c r="D5" s="3">
        <v>3</v>
      </c>
      <c r="E5" s="4" t="s">
        <v>882</v>
      </c>
      <c r="F5" s="19" t="s">
        <v>881</v>
      </c>
      <c r="G5" s="10" t="s">
        <v>7</v>
      </c>
      <c r="H5" s="11">
        <v>15000</v>
      </c>
    </row>
    <row r="6" spans="1:8" ht="20.100000000000001" customHeight="1" x14ac:dyDescent="0.25">
      <c r="A6" s="77"/>
      <c r="B6" s="2">
        <v>45506</v>
      </c>
      <c r="C6" s="3">
        <v>1257064907</v>
      </c>
      <c r="D6" s="3">
        <v>8</v>
      </c>
      <c r="E6" s="4" t="s">
        <v>493</v>
      </c>
      <c r="F6" s="19" t="s">
        <v>960</v>
      </c>
      <c r="G6" s="5" t="s">
        <v>7</v>
      </c>
      <c r="H6" s="6">
        <v>8000</v>
      </c>
    </row>
    <row r="7" spans="1:8" ht="20.100000000000001" customHeight="1" x14ac:dyDescent="0.25">
      <c r="A7" s="77"/>
      <c r="B7" s="2">
        <v>45509</v>
      </c>
      <c r="C7" s="3">
        <v>3464447660</v>
      </c>
      <c r="D7" s="3">
        <v>3</v>
      </c>
      <c r="E7" s="4" t="s">
        <v>937</v>
      </c>
      <c r="F7" s="19" t="s">
        <v>956</v>
      </c>
      <c r="G7" s="5" t="s">
        <v>19</v>
      </c>
      <c r="H7" s="6">
        <v>15000</v>
      </c>
    </row>
    <row r="8" spans="1:8" ht="20.100000000000001" customHeight="1" x14ac:dyDescent="0.25">
      <c r="A8" s="77"/>
      <c r="B8" s="2">
        <v>45511</v>
      </c>
      <c r="C8" s="3">
        <v>2346273771</v>
      </c>
      <c r="D8" s="3">
        <v>8</v>
      </c>
      <c r="E8" s="4" t="s">
        <v>933</v>
      </c>
      <c r="F8" s="19" t="s">
        <v>957</v>
      </c>
      <c r="G8" s="5" t="s">
        <v>7</v>
      </c>
      <c r="H8" s="6">
        <v>8000</v>
      </c>
    </row>
    <row r="9" spans="1:8" ht="20.100000000000001" customHeight="1" x14ac:dyDescent="0.25">
      <c r="A9" s="77"/>
      <c r="B9" s="2">
        <v>45513</v>
      </c>
      <c r="C9" s="3">
        <v>3811593761</v>
      </c>
      <c r="D9" s="3">
        <v>8</v>
      </c>
      <c r="E9" s="4" t="s">
        <v>958</v>
      </c>
      <c r="F9" s="19" t="s">
        <v>959</v>
      </c>
      <c r="G9" s="5" t="s">
        <v>19</v>
      </c>
      <c r="H9" s="6">
        <v>8000</v>
      </c>
    </row>
    <row r="10" spans="1:8" ht="20.100000000000001" customHeight="1" x14ac:dyDescent="0.25">
      <c r="A10" s="77"/>
      <c r="B10" s="2">
        <v>45517</v>
      </c>
      <c r="C10" s="3">
        <v>1248611610</v>
      </c>
      <c r="D10" s="3">
        <v>8</v>
      </c>
      <c r="E10" s="4" t="s">
        <v>910</v>
      </c>
      <c r="F10" s="19" t="s">
        <v>961</v>
      </c>
      <c r="G10" s="5" t="s">
        <v>7</v>
      </c>
      <c r="H10" s="6">
        <v>8000</v>
      </c>
    </row>
    <row r="11" spans="1:8" ht="20.100000000000001" customHeight="1" x14ac:dyDescent="0.25">
      <c r="A11" s="77"/>
      <c r="B11" s="2">
        <v>45518</v>
      </c>
      <c r="C11" s="3">
        <v>2038710464</v>
      </c>
      <c r="D11" s="3">
        <v>1</v>
      </c>
      <c r="E11" s="4" t="s">
        <v>962</v>
      </c>
      <c r="F11" s="19" t="s">
        <v>963</v>
      </c>
      <c r="G11" s="5" t="s">
        <v>11</v>
      </c>
      <c r="H11" s="6">
        <v>1000</v>
      </c>
    </row>
    <row r="12" spans="1:8" ht="20.100000000000001" customHeight="1" x14ac:dyDescent="0.25">
      <c r="A12" s="77"/>
      <c r="B12" s="2">
        <v>45530</v>
      </c>
      <c r="C12" s="3">
        <v>2942322718</v>
      </c>
      <c r="D12" s="3">
        <v>3</v>
      </c>
      <c r="E12" s="4" t="s">
        <v>75</v>
      </c>
      <c r="F12" s="19" t="s">
        <v>956</v>
      </c>
      <c r="G12" s="5" t="s">
        <v>7</v>
      </c>
      <c r="H12" s="6">
        <v>15000</v>
      </c>
    </row>
    <row r="13" spans="1:8" ht="20.100000000000001" customHeight="1" x14ac:dyDescent="0.25">
      <c r="A13" s="77"/>
      <c r="B13" s="2">
        <v>45539</v>
      </c>
      <c r="C13" s="3">
        <v>3709092524</v>
      </c>
      <c r="D13" s="3">
        <v>8</v>
      </c>
      <c r="E13" s="4" t="s">
        <v>467</v>
      </c>
      <c r="F13" s="19" t="s">
        <v>1030</v>
      </c>
      <c r="G13" s="5" t="s">
        <v>19</v>
      </c>
      <c r="H13" s="6">
        <v>8000</v>
      </c>
    </row>
    <row r="14" spans="1:8" ht="20.100000000000001" customHeight="1" x14ac:dyDescent="0.25">
      <c r="A14" s="77"/>
      <c r="B14" s="2">
        <v>45540</v>
      </c>
      <c r="C14" s="3">
        <v>1062880078</v>
      </c>
      <c r="D14" s="3">
        <v>6</v>
      </c>
      <c r="E14" s="4" t="s">
        <v>241</v>
      </c>
      <c r="F14" s="19" t="s">
        <v>1031</v>
      </c>
      <c r="G14" s="5" t="s">
        <v>7</v>
      </c>
      <c r="H14" s="6">
        <v>6000</v>
      </c>
    </row>
    <row r="15" spans="1:8" ht="30" x14ac:dyDescent="0.25">
      <c r="A15" s="77"/>
      <c r="B15" s="2">
        <v>45548</v>
      </c>
      <c r="C15" s="3">
        <v>878003959</v>
      </c>
      <c r="D15" s="3">
        <v>4</v>
      </c>
      <c r="E15" s="4" t="s">
        <v>493</v>
      </c>
      <c r="F15" s="19" t="s">
        <v>1032</v>
      </c>
      <c r="G15" s="5" t="s">
        <v>7</v>
      </c>
      <c r="H15" s="6">
        <v>4000</v>
      </c>
    </row>
    <row r="16" spans="1:8" ht="20.100000000000001" customHeight="1" x14ac:dyDescent="0.25">
      <c r="A16" s="77"/>
      <c r="B16" s="2">
        <v>45572</v>
      </c>
      <c r="C16" s="3">
        <v>654921047</v>
      </c>
      <c r="D16" s="3">
        <v>8</v>
      </c>
      <c r="E16" s="4" t="s">
        <v>1112</v>
      </c>
      <c r="F16" s="19" t="s">
        <v>879</v>
      </c>
      <c r="G16" s="5" t="s">
        <v>7</v>
      </c>
      <c r="H16" s="6">
        <v>8000</v>
      </c>
    </row>
    <row r="17" spans="1:8" ht="20.100000000000001" customHeight="1" x14ac:dyDescent="0.25">
      <c r="A17" s="77"/>
      <c r="B17" s="2">
        <v>45581</v>
      </c>
      <c r="C17" s="3">
        <v>3055767323</v>
      </c>
      <c r="D17" s="3">
        <v>8</v>
      </c>
      <c r="E17" s="4" t="s">
        <v>1055</v>
      </c>
      <c r="F17" s="19" t="s">
        <v>1113</v>
      </c>
      <c r="G17" s="5" t="s">
        <v>19</v>
      </c>
      <c r="H17" s="6">
        <v>8000</v>
      </c>
    </row>
    <row r="18" spans="1:8" ht="20.100000000000001" customHeight="1" x14ac:dyDescent="0.25">
      <c r="A18" s="78"/>
      <c r="B18" s="13"/>
      <c r="C18" s="14"/>
      <c r="D18" s="14"/>
      <c r="E18" s="14" t="s">
        <v>5</v>
      </c>
      <c r="F18" s="15"/>
      <c r="G18" s="16"/>
      <c r="H18" s="17">
        <f>SUM(H3:H17)</f>
        <v>126000</v>
      </c>
    </row>
    <row r="19" spans="1:8" ht="20.100000000000001" customHeight="1" x14ac:dyDescent="0.25">
      <c r="A19" s="7"/>
      <c r="B19" s="8"/>
      <c r="C19" s="8"/>
      <c r="D19" s="8"/>
      <c r="E19" s="8"/>
      <c r="F19" s="12"/>
      <c r="G19" s="8"/>
      <c r="H19" s="9"/>
    </row>
  </sheetData>
  <mergeCells count="8">
    <mergeCell ref="G1:G2"/>
    <mergeCell ref="H1:H2"/>
    <mergeCell ref="A1:A18"/>
    <mergeCell ref="B1:B2"/>
    <mergeCell ref="C1:C2"/>
    <mergeCell ref="D1:D2"/>
    <mergeCell ref="E1:E2"/>
    <mergeCell ref="F1:F2"/>
  </mergeCells>
  <pageMargins left="0.7" right="0.7" top="0.75" bottom="0.75" header="0.3" footer="0.3"/>
  <pageSetup paperSize="9" orientation="portrait" horizontalDpi="120" verticalDpi="72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F1A40-83CF-4208-AE11-540C33B9F4D4}">
  <dimension ref="A1:H26"/>
  <sheetViews>
    <sheetView topLeftCell="A13" workbookViewId="0">
      <selection activeCell="C26" sqref="C26"/>
    </sheetView>
  </sheetViews>
  <sheetFormatPr baseColWidth="10" defaultColWidth="9.140625" defaultRowHeight="15" x14ac:dyDescent="0.25"/>
  <cols>
    <col min="1" max="1" width="16.7109375" customWidth="1"/>
    <col min="2" max="2" width="12.7109375" bestFit="1" customWidth="1"/>
    <col min="3" max="3" width="17.42578125" customWidth="1"/>
    <col min="4" max="4" width="11" customWidth="1"/>
    <col min="5" max="5" width="33.5703125" bestFit="1" customWidth="1"/>
    <col min="6" max="6" width="81.7109375" style="1" customWidth="1"/>
    <col min="7" max="7" width="16.140625" customWidth="1"/>
    <col min="8" max="8" width="14.28515625" bestFit="1" customWidth="1"/>
  </cols>
  <sheetData>
    <row r="1" spans="1:8" ht="15" customHeight="1" x14ac:dyDescent="0.25">
      <c r="A1" s="76" t="s">
        <v>873</v>
      </c>
      <c r="B1" s="72" t="s">
        <v>0</v>
      </c>
      <c r="C1" s="74" t="s">
        <v>1</v>
      </c>
      <c r="D1" s="74" t="s">
        <v>2</v>
      </c>
      <c r="E1" s="74" t="s">
        <v>3</v>
      </c>
      <c r="F1" s="74" t="s">
        <v>8</v>
      </c>
      <c r="G1" s="68" t="s">
        <v>4</v>
      </c>
      <c r="H1" s="70" t="s">
        <v>5</v>
      </c>
    </row>
    <row r="2" spans="1:8" ht="15" customHeight="1" x14ac:dyDescent="0.25">
      <c r="A2" s="77"/>
      <c r="B2" s="73"/>
      <c r="C2" s="75"/>
      <c r="D2" s="75"/>
      <c r="E2" s="75"/>
      <c r="F2" s="75"/>
      <c r="G2" s="69"/>
      <c r="H2" s="71"/>
    </row>
    <row r="3" spans="1:8" ht="29.25" customHeight="1" x14ac:dyDescent="0.25">
      <c r="A3" s="77"/>
      <c r="B3" s="2">
        <v>45491</v>
      </c>
      <c r="C3" s="3">
        <v>738151298</v>
      </c>
      <c r="D3" s="3">
        <v>5</v>
      </c>
      <c r="E3" s="4" t="s">
        <v>676</v>
      </c>
      <c r="F3" s="19" t="s">
        <v>874</v>
      </c>
      <c r="G3" s="10" t="s">
        <v>7</v>
      </c>
      <c r="H3" s="11">
        <v>8330</v>
      </c>
    </row>
    <row r="4" spans="1:8" ht="20.100000000000001" customHeight="1" x14ac:dyDescent="0.25">
      <c r="A4" s="77"/>
      <c r="B4" s="2">
        <v>45491</v>
      </c>
      <c r="C4" s="3">
        <v>738151298</v>
      </c>
      <c r="D4" s="3">
        <v>1</v>
      </c>
      <c r="E4" s="4" t="s">
        <v>676</v>
      </c>
      <c r="F4" s="19" t="s">
        <v>874</v>
      </c>
      <c r="G4" s="10" t="s">
        <v>7</v>
      </c>
      <c r="H4" s="11">
        <v>1670</v>
      </c>
    </row>
    <row r="5" spans="1:8" ht="20.100000000000001" customHeight="1" x14ac:dyDescent="0.25">
      <c r="A5" s="77"/>
      <c r="B5" s="2">
        <v>45491</v>
      </c>
      <c r="C5" s="3">
        <v>738151298</v>
      </c>
      <c r="D5" s="3">
        <v>5</v>
      </c>
      <c r="E5" s="4" t="s">
        <v>676</v>
      </c>
      <c r="F5" s="19" t="s">
        <v>875</v>
      </c>
      <c r="G5" s="10" t="s">
        <v>7</v>
      </c>
      <c r="H5" s="11">
        <v>8330</v>
      </c>
    </row>
    <row r="6" spans="1:8" ht="20.100000000000001" customHeight="1" x14ac:dyDescent="0.25">
      <c r="A6" s="77"/>
      <c r="B6" s="2">
        <v>45491</v>
      </c>
      <c r="C6" s="3">
        <v>738151298</v>
      </c>
      <c r="D6" s="3">
        <v>1</v>
      </c>
      <c r="E6" s="4" t="s">
        <v>676</v>
      </c>
      <c r="F6" s="19" t="s">
        <v>875</v>
      </c>
      <c r="G6" s="10" t="s">
        <v>7</v>
      </c>
      <c r="H6" s="11">
        <v>1670</v>
      </c>
    </row>
    <row r="7" spans="1:8" ht="20.100000000000001" customHeight="1" x14ac:dyDescent="0.25">
      <c r="A7" s="77"/>
      <c r="B7" s="2">
        <v>45518</v>
      </c>
      <c r="C7" s="3">
        <v>739459705</v>
      </c>
      <c r="D7" s="3">
        <v>6</v>
      </c>
      <c r="E7" s="4" t="s">
        <v>164</v>
      </c>
      <c r="F7" s="19" t="s">
        <v>955</v>
      </c>
      <c r="G7" s="5" t="s">
        <v>7</v>
      </c>
      <c r="H7" s="6">
        <v>9999.9995999999992</v>
      </c>
    </row>
    <row r="8" spans="1:8" ht="20.100000000000001" customHeight="1" x14ac:dyDescent="0.25">
      <c r="A8" s="77"/>
      <c r="B8" s="2">
        <v>45555</v>
      </c>
      <c r="C8" s="3">
        <v>4173546639</v>
      </c>
      <c r="D8" s="3">
        <v>5</v>
      </c>
      <c r="E8" s="4" t="s">
        <v>757</v>
      </c>
      <c r="F8" s="19" t="s">
        <v>1028</v>
      </c>
      <c r="G8" s="5" t="s">
        <v>7</v>
      </c>
      <c r="H8" s="6">
        <v>8330</v>
      </c>
    </row>
    <row r="9" spans="1:8" ht="20.100000000000001" customHeight="1" x14ac:dyDescent="0.25">
      <c r="A9" s="77"/>
      <c r="B9" s="2">
        <v>45555</v>
      </c>
      <c r="C9" s="3">
        <v>4173546639</v>
      </c>
      <c r="D9" s="3">
        <v>1</v>
      </c>
      <c r="E9" s="4" t="s">
        <v>757</v>
      </c>
      <c r="F9" s="19" t="s">
        <v>1028</v>
      </c>
      <c r="G9" s="5" t="s">
        <v>7</v>
      </c>
      <c r="H9" s="6">
        <v>1670</v>
      </c>
    </row>
    <row r="10" spans="1:8" ht="20.100000000000001" customHeight="1" x14ac:dyDescent="0.25">
      <c r="A10" s="77"/>
      <c r="B10" s="2">
        <v>45560</v>
      </c>
      <c r="C10" s="3">
        <v>943540615</v>
      </c>
      <c r="D10" s="3">
        <v>3</v>
      </c>
      <c r="E10" s="4" t="s">
        <v>164</v>
      </c>
      <c r="F10" s="19" t="s">
        <v>1029</v>
      </c>
      <c r="G10" s="5" t="s">
        <v>11</v>
      </c>
      <c r="H10" s="6">
        <v>4999.9997999999996</v>
      </c>
    </row>
    <row r="11" spans="1:8" ht="20.100000000000001" customHeight="1" x14ac:dyDescent="0.25">
      <c r="A11" s="77"/>
      <c r="B11" s="2">
        <v>45560</v>
      </c>
      <c r="C11" s="3">
        <v>943540615</v>
      </c>
      <c r="D11" s="3">
        <v>3</v>
      </c>
      <c r="E11" s="4" t="s">
        <v>164</v>
      </c>
      <c r="F11" s="19" t="s">
        <v>1029</v>
      </c>
      <c r="G11" s="5" t="s">
        <v>7</v>
      </c>
      <c r="H11" s="6">
        <v>4999.9997999999996</v>
      </c>
    </row>
    <row r="12" spans="1:8" ht="20.100000000000001" customHeight="1" x14ac:dyDescent="0.25">
      <c r="A12" s="77"/>
      <c r="B12" s="2">
        <v>45572</v>
      </c>
      <c r="C12" s="3">
        <v>2216249375</v>
      </c>
      <c r="D12" s="3">
        <v>5</v>
      </c>
      <c r="E12" s="4" t="s">
        <v>99</v>
      </c>
      <c r="F12" s="19" t="s">
        <v>1107</v>
      </c>
      <c r="G12" s="5" t="s">
        <v>7</v>
      </c>
      <c r="H12" s="6">
        <v>8330</v>
      </c>
    </row>
    <row r="13" spans="1:8" ht="20.100000000000001" customHeight="1" x14ac:dyDescent="0.25">
      <c r="A13" s="77"/>
      <c r="B13" s="2">
        <v>45572</v>
      </c>
      <c r="C13" s="3">
        <v>2216249375</v>
      </c>
      <c r="D13" s="3">
        <v>1</v>
      </c>
      <c r="E13" s="4" t="s">
        <v>99</v>
      </c>
      <c r="F13" s="19" t="s">
        <v>1107</v>
      </c>
      <c r="G13" s="5" t="s">
        <v>7</v>
      </c>
      <c r="H13" s="6">
        <v>1670</v>
      </c>
    </row>
    <row r="14" spans="1:8" ht="20.100000000000001" customHeight="1" x14ac:dyDescent="0.25">
      <c r="A14" s="77"/>
      <c r="B14" s="2">
        <v>45575</v>
      </c>
      <c r="C14" s="3">
        <v>3017821283</v>
      </c>
      <c r="D14" s="3">
        <v>3</v>
      </c>
      <c r="E14" s="4" t="s">
        <v>1108</v>
      </c>
      <c r="F14" s="19" t="s">
        <v>1107</v>
      </c>
      <c r="G14" s="5" t="s">
        <v>10</v>
      </c>
      <c r="H14" s="6">
        <v>4999.9800000000005</v>
      </c>
    </row>
    <row r="15" spans="1:8" ht="20.100000000000001" customHeight="1" x14ac:dyDescent="0.25">
      <c r="A15" s="77"/>
      <c r="B15" s="2">
        <v>45575</v>
      </c>
      <c r="C15" s="3">
        <v>3017821283</v>
      </c>
      <c r="D15" s="3">
        <v>1</v>
      </c>
      <c r="E15" s="4" t="s">
        <v>1108</v>
      </c>
      <c r="F15" s="19" t="s">
        <v>1109</v>
      </c>
      <c r="G15" s="5" t="s">
        <v>10</v>
      </c>
      <c r="H15" s="6">
        <v>0.02</v>
      </c>
    </row>
    <row r="16" spans="1:8" ht="20.100000000000001" customHeight="1" x14ac:dyDescent="0.25">
      <c r="A16" s="77"/>
      <c r="B16" s="2">
        <v>45608</v>
      </c>
      <c r="C16" s="3">
        <v>312950877</v>
      </c>
      <c r="D16" s="3">
        <v>5</v>
      </c>
      <c r="E16" s="4" t="s">
        <v>1242</v>
      </c>
      <c r="F16" s="19" t="s">
        <v>1107</v>
      </c>
      <c r="G16" s="5" t="s">
        <v>19</v>
      </c>
      <c r="H16" s="6">
        <v>8333</v>
      </c>
    </row>
    <row r="17" spans="1:8" ht="20.100000000000001" customHeight="1" x14ac:dyDescent="0.25">
      <c r="A17" s="77"/>
      <c r="B17" s="2">
        <v>45608</v>
      </c>
      <c r="C17" s="3">
        <v>312950877</v>
      </c>
      <c r="D17" s="3">
        <v>1</v>
      </c>
      <c r="E17" s="4" t="s">
        <v>1242</v>
      </c>
      <c r="F17" s="19" t="s">
        <v>1107</v>
      </c>
      <c r="G17" s="5" t="s">
        <v>19</v>
      </c>
      <c r="H17" s="6">
        <v>1667</v>
      </c>
    </row>
    <row r="18" spans="1:8" ht="20.100000000000001" customHeight="1" x14ac:dyDescent="0.25">
      <c r="A18" s="77"/>
      <c r="B18" s="2">
        <v>45610</v>
      </c>
      <c r="C18" s="3">
        <v>1706705254</v>
      </c>
      <c r="D18" s="3">
        <v>5</v>
      </c>
      <c r="E18" s="4" t="s">
        <v>321</v>
      </c>
      <c r="F18" s="19" t="s">
        <v>1243</v>
      </c>
      <c r="G18" s="5" t="s">
        <v>19</v>
      </c>
      <c r="H18" s="6">
        <v>8330</v>
      </c>
    </row>
    <row r="19" spans="1:8" ht="20.100000000000001" customHeight="1" x14ac:dyDescent="0.25">
      <c r="A19" s="77"/>
      <c r="B19" s="2">
        <v>45610</v>
      </c>
      <c r="C19" s="3">
        <v>1706705254</v>
      </c>
      <c r="D19" s="3">
        <v>1</v>
      </c>
      <c r="E19" s="4" t="s">
        <v>321</v>
      </c>
      <c r="F19" s="19" t="s">
        <v>1243</v>
      </c>
      <c r="G19" s="5" t="s">
        <v>19</v>
      </c>
      <c r="H19" s="6">
        <v>1670</v>
      </c>
    </row>
    <row r="20" spans="1:8" ht="20.100000000000001" customHeight="1" x14ac:dyDescent="0.25">
      <c r="A20" s="77"/>
      <c r="B20" s="2">
        <v>45610</v>
      </c>
      <c r="C20" s="3">
        <v>1706705254</v>
      </c>
      <c r="D20" s="3">
        <v>5</v>
      </c>
      <c r="E20" s="4" t="s">
        <v>321</v>
      </c>
      <c r="F20" s="19" t="s">
        <v>955</v>
      </c>
      <c r="G20" s="5" t="s">
        <v>19</v>
      </c>
      <c r="H20" s="6">
        <v>8330</v>
      </c>
    </row>
    <row r="21" spans="1:8" ht="20.100000000000001" customHeight="1" x14ac:dyDescent="0.25">
      <c r="A21" s="77"/>
      <c r="B21" s="2">
        <v>45610</v>
      </c>
      <c r="C21" s="3">
        <v>1706705254</v>
      </c>
      <c r="D21" s="3">
        <v>1</v>
      </c>
      <c r="E21" s="4" t="s">
        <v>321</v>
      </c>
      <c r="F21" s="19" t="s">
        <v>955</v>
      </c>
      <c r="G21" s="5" t="s">
        <v>19</v>
      </c>
      <c r="H21" s="6">
        <v>1670</v>
      </c>
    </row>
    <row r="22" spans="1:8" ht="20.100000000000001" customHeight="1" x14ac:dyDescent="0.25">
      <c r="A22" s="77"/>
      <c r="B22" s="2">
        <v>45610</v>
      </c>
      <c r="C22" s="3">
        <v>2132624289</v>
      </c>
      <c r="D22" s="3">
        <v>6</v>
      </c>
      <c r="E22" s="4" t="s">
        <v>1150</v>
      </c>
      <c r="F22" s="19" t="s">
        <v>955</v>
      </c>
      <c r="G22" s="5" t="s">
        <v>7</v>
      </c>
      <c r="H22" s="6">
        <v>9999.9959999999992</v>
      </c>
    </row>
    <row r="23" spans="1:8" ht="20.100000000000001" customHeight="1" x14ac:dyDescent="0.25">
      <c r="A23" s="77"/>
      <c r="B23" s="2">
        <v>45615</v>
      </c>
      <c r="C23" s="3">
        <v>2211400414</v>
      </c>
      <c r="D23" s="3">
        <v>5</v>
      </c>
      <c r="E23" s="4" t="s">
        <v>164</v>
      </c>
      <c r="F23" s="19" t="s">
        <v>1107</v>
      </c>
      <c r="G23" s="5" t="s">
        <v>19</v>
      </c>
      <c r="H23" s="6">
        <v>8335</v>
      </c>
    </row>
    <row r="24" spans="1:8" ht="20.100000000000001" customHeight="1" x14ac:dyDescent="0.25">
      <c r="A24" s="77"/>
      <c r="B24" s="2">
        <v>45615</v>
      </c>
      <c r="C24" s="3">
        <v>2211400414</v>
      </c>
      <c r="D24" s="3">
        <v>1</v>
      </c>
      <c r="E24" s="4" t="s">
        <v>164</v>
      </c>
      <c r="F24" s="19" t="s">
        <v>1107</v>
      </c>
      <c r="G24" s="5" t="s">
        <v>19</v>
      </c>
      <c r="H24" s="6">
        <v>1665</v>
      </c>
    </row>
    <row r="25" spans="1:8" ht="20.100000000000001" customHeight="1" x14ac:dyDescent="0.25">
      <c r="A25" s="78"/>
      <c r="B25" s="13"/>
      <c r="C25" s="14"/>
      <c r="D25" s="14"/>
      <c r="E25" s="14" t="s">
        <v>5</v>
      </c>
      <c r="F25" s="15"/>
      <c r="G25" s="16"/>
      <c r="H25" s="17">
        <f>SUM(H3:H24)</f>
        <v>114999.99519999999</v>
      </c>
    </row>
    <row r="26" spans="1:8" ht="20.100000000000001" customHeight="1" x14ac:dyDescent="0.25">
      <c r="A26" s="7"/>
      <c r="B26" s="8"/>
      <c r="C26" s="8"/>
      <c r="D26" s="8"/>
      <c r="E26" s="8"/>
      <c r="F26" s="12"/>
      <c r="G26" s="8"/>
      <c r="H26" s="9"/>
    </row>
  </sheetData>
  <mergeCells count="8">
    <mergeCell ref="G1:G2"/>
    <mergeCell ref="H1:H2"/>
    <mergeCell ref="A1:A25"/>
    <mergeCell ref="B1:B2"/>
    <mergeCell ref="C1:C2"/>
    <mergeCell ref="D1:D2"/>
    <mergeCell ref="E1:E2"/>
    <mergeCell ref="F1:F2"/>
  </mergeCells>
  <pageMargins left="0.7" right="0.7" top="0.75" bottom="0.75" header="0.3" footer="0.3"/>
  <pageSetup paperSize="9" orientation="portrait" horizontalDpi="120" verticalDpi="7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51</vt:i4>
      </vt:variant>
    </vt:vector>
  </HeadingPairs>
  <TitlesOfParts>
    <vt:vector size="51" baseType="lpstr">
      <vt:lpstr>Producto</vt:lpstr>
      <vt:lpstr>Acido hialuronico</vt:lpstr>
      <vt:lpstr>Depilación</vt:lpstr>
      <vt:lpstr>PRESENTACIÓN DE RESULTADOS</vt:lpstr>
      <vt:lpstr>Emsculpt</vt:lpstr>
      <vt:lpstr>Emtone</vt:lpstr>
      <vt:lpstr>Exilis</vt:lpstr>
      <vt:lpstr>Exfoliación</vt:lpstr>
      <vt:lpstr>Facial purificante</vt:lpstr>
      <vt:lpstr>Hifu</vt:lpstr>
      <vt:lpstr>Hydrafacial</vt:lpstr>
      <vt:lpstr>Laboratorios</vt:lpstr>
      <vt:lpstr>Masaje linfatico</vt:lpstr>
      <vt:lpstr>Mesoterapia</vt:lpstr>
      <vt:lpstr>Morpheus</vt:lpstr>
      <vt:lpstr>Pico-láser</vt:lpstr>
      <vt:lpstr>Profhilo</vt:lpstr>
      <vt:lpstr>PRP</vt:lpstr>
      <vt:lpstr>Radiofrecuencia</vt:lpstr>
      <vt:lpstr>Ultrasonido</vt:lpstr>
      <vt:lpstr>Velo de acido hialuronico</vt:lpstr>
      <vt:lpstr>Velox</vt:lpstr>
      <vt:lpstr>Vitamina C intravenosa</vt:lpstr>
      <vt:lpstr>Ciclo coolsculpting</vt:lpstr>
      <vt:lpstr>Dermapen</vt:lpstr>
      <vt:lpstr>Láser CO2</vt:lpstr>
      <vt:lpstr>Masaje relajante</vt:lpstr>
      <vt:lpstr>Oligoelementos</vt:lpstr>
      <vt:lpstr>Celulas madre</vt:lpstr>
      <vt:lpstr>Peeling</vt:lpstr>
      <vt:lpstr>Spectra ginecologico</vt:lpstr>
      <vt:lpstr>Eliminación de lunares</vt:lpstr>
      <vt:lpstr>Botox</vt:lpstr>
      <vt:lpstr>Encimas</vt:lpstr>
      <vt:lpstr>Grow</vt:lpstr>
      <vt:lpstr>Abonos a tratamientos</vt:lpstr>
      <vt:lpstr>Cambio de tratamiento</vt:lpstr>
      <vt:lpstr>Microdermoabrasión</vt:lpstr>
      <vt:lpstr>Terapia Luminica</vt:lpstr>
      <vt:lpstr>Oscilación</vt:lpstr>
      <vt:lpstr>Sueros</vt:lpstr>
      <vt:lpstr>Presoterapia</vt:lpstr>
      <vt:lpstr>Nioo</vt:lpstr>
      <vt:lpstr>Sedación</vt:lpstr>
      <vt:lpstr>Masaje reflexologia</vt:lpstr>
      <vt:lpstr>Intrasure post-operatorio</vt:lpstr>
      <vt:lpstr>Mascarilla</vt:lpstr>
      <vt:lpstr>Hifu Ultra-forme</vt:lpstr>
      <vt:lpstr>Powershape</vt:lpstr>
      <vt:lpstr>Exion</vt:lpstr>
      <vt:lpstr>Emsculpt NEO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2025-01-14T22:14:48Z</dcterms:modified>
</cp:coreProperties>
</file>