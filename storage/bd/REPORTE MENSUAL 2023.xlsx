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/>
  <xr:revisionPtr revIDLastSave="0" documentId="13_ncr:1_{A65E18C0-3E10-4BFB-9036-B1FAFA504CCA}" xr6:coauthVersionLast="47" xr6:coauthVersionMax="47" xr10:uidLastSave="{00000000-0000-0000-0000-000000000000}"/>
  <bookViews>
    <workbookView xWindow="-120" yWindow="-120" windowWidth="24240" windowHeight="13140" firstSheet="12" activeTab="18" xr2:uid="{00000000-000D-0000-FFFF-FFFF00000000}"/>
  </bookViews>
  <sheets>
    <sheet name="PRESENTACIÓN DE RESULTADOS" sheetId="31" r:id="rId1"/>
    <sheet name="Producto" sheetId="22" r:id="rId2"/>
    <sheet name="Acido hialuronico" sheetId="15" r:id="rId3"/>
    <sheet name="Depilación" sheetId="14" r:id="rId4"/>
    <sheet name="Emsculpt" sheetId="13" r:id="rId5"/>
    <sheet name="Emtone" sheetId="12" r:id="rId6"/>
    <sheet name="Exilis" sheetId="11" r:id="rId7"/>
    <sheet name="Exfoliación" sheetId="10" r:id="rId8"/>
    <sheet name="Facial purificante" sheetId="9" r:id="rId9"/>
    <sheet name="Hifu" sheetId="8" r:id="rId10"/>
    <sheet name="Hydrafacial" sheetId="7" r:id="rId11"/>
    <sheet name="Laboratorios" sheetId="6" r:id="rId12"/>
    <sheet name="Masaje linfatico" sheetId="5" r:id="rId13"/>
    <sheet name="Mesoterapia" sheetId="4" r:id="rId14"/>
    <sheet name="Morpheus" sheetId="3" r:id="rId15"/>
    <sheet name="Pico-láser" sheetId="2" r:id="rId16"/>
    <sheet name="Powershape" sheetId="18" r:id="rId17"/>
    <sheet name="Profhilo" sheetId="1" r:id="rId18"/>
    <sheet name="PRP" sheetId="17" r:id="rId19"/>
    <sheet name="Radiofrecuencia" sheetId="16" r:id="rId20"/>
    <sheet name="Ultrasonido" sheetId="21" r:id="rId21"/>
    <sheet name="Velo de acido hialuronico" sheetId="20" r:id="rId22"/>
    <sheet name="Velox" sheetId="19" r:id="rId23"/>
    <sheet name="Verju" sheetId="24" r:id="rId24"/>
    <sheet name="Vitamina C intravenosa" sheetId="23" r:id="rId25"/>
    <sheet name="Ciclo coolsculpting" sheetId="25" r:id="rId26"/>
    <sheet name="Cliovana" sheetId="26" r:id="rId27"/>
    <sheet name="Dermapen" sheetId="27" r:id="rId28"/>
    <sheet name="Láser CO2" sheetId="28" r:id="rId29"/>
    <sheet name="Masaje relajante" sheetId="29" r:id="rId30"/>
    <sheet name="Oligoelementos" sheetId="30" r:id="rId31"/>
    <sheet name="Celulas madre" sheetId="32" r:id="rId32"/>
    <sheet name="Lipo-recover" sheetId="35" r:id="rId33"/>
    <sheet name="Peeling" sheetId="36" r:id="rId34"/>
    <sheet name="Spectra ginecologico" sheetId="37" r:id="rId35"/>
    <sheet name="Vanquish" sheetId="38" r:id="rId36"/>
    <sheet name="Xwave" sheetId="41" r:id="rId37"/>
    <sheet name="Eliminación de lunares" sheetId="39" r:id="rId38"/>
    <sheet name="Botox" sheetId="40" r:id="rId39"/>
    <sheet name="Encimas" sheetId="42" r:id="rId40"/>
    <sheet name="Grow" sheetId="34" r:id="rId41"/>
    <sheet name="Abonos a tratamientos" sheetId="33" r:id="rId42"/>
    <sheet name="Cambio de tratamiento" sheetId="43" r:id="rId43"/>
    <sheet name="Microdermoabrasión" sheetId="44" r:id="rId44"/>
    <sheet name="Terapia Luminica" sheetId="45" r:id="rId45"/>
    <sheet name="Oscilación" sheetId="46" r:id="rId46"/>
    <sheet name="Sueros" sheetId="47" r:id="rId47"/>
    <sheet name="Presoterapia" sheetId="48" r:id="rId48"/>
    <sheet name="Nioo" sheetId="49" r:id="rId49"/>
    <sheet name="Sedación" sheetId="50" r:id="rId50"/>
  </sheets>
  <externalReferences>
    <externalReference r:id="rId51"/>
    <externalReference r:id="rId52"/>
  </externalReferences>
  <definedNames>
    <definedName name="_xlnm._FilterDatabase" localSheetId="41" hidden="1">'Abonos a tratamientos'!$A$1:$A$5</definedName>
    <definedName name="_xlnm._FilterDatabase" localSheetId="2" hidden="1">'Acido hialuronico'!$A$1:$A$27</definedName>
    <definedName name="_xlnm._FilterDatabase" localSheetId="38" hidden="1">Botox!$A$1:$H$359</definedName>
    <definedName name="_xlnm._FilterDatabase" localSheetId="42" hidden="1">'Cambio de tratamiento'!$A$1:$H$8</definedName>
    <definedName name="_xlnm._FilterDatabase" localSheetId="31" hidden="1">'Celulas madre'!$A$1:$A$13</definedName>
    <definedName name="_xlnm._FilterDatabase" localSheetId="25" hidden="1">'Ciclo coolsculpting'!$A$1:$A$6</definedName>
    <definedName name="_xlnm._FilterDatabase" localSheetId="26" hidden="1">Cliovana!$A$1:$A$5</definedName>
    <definedName name="_xlnm._FilterDatabase" localSheetId="3" hidden="1">Depilación!$A$1:$H$144</definedName>
    <definedName name="_xlnm._FilterDatabase" localSheetId="27" hidden="1">Dermapen!$A$1:$A$21</definedName>
    <definedName name="_xlnm._FilterDatabase" localSheetId="37" hidden="1">'Eliminación de lunares'!$A$1:$A$5</definedName>
    <definedName name="_xlnm._FilterDatabase" localSheetId="4" hidden="1">Emsculpt!$B$1:$H$28</definedName>
    <definedName name="_xlnm._FilterDatabase" localSheetId="39" hidden="1">Encimas!$A$1:$H$4</definedName>
    <definedName name="_xlnm._FilterDatabase" localSheetId="6" hidden="1">Exilis!$B$1:$H$92</definedName>
    <definedName name="_xlnm._FilterDatabase" localSheetId="8" hidden="1">'Facial purificante'!$A$1:$H$78</definedName>
    <definedName name="_xlnm._FilterDatabase" localSheetId="40" hidden="1">Grow!$A$1:$A$59</definedName>
    <definedName name="_xlnm._FilterDatabase" localSheetId="28" hidden="1">'Láser CO2'!$A$1:$A$10</definedName>
    <definedName name="_xlnm._FilterDatabase" localSheetId="32" hidden="1">'Lipo-recover'!$A$1:$A$5</definedName>
    <definedName name="_xlnm._FilterDatabase" localSheetId="12" hidden="1">'Masaje linfatico'!$A$1:$H$58</definedName>
    <definedName name="_xlnm._FilterDatabase" localSheetId="29" hidden="1">'Masaje relajante'!$A$1:$A$16</definedName>
    <definedName name="_xlnm._FilterDatabase" localSheetId="43" hidden="1">Microdermoabrasión!$A$1:$A$6</definedName>
    <definedName name="_xlnm._FilterDatabase" localSheetId="14" hidden="1">Morpheus!$B$1:$H$121</definedName>
    <definedName name="_xlnm._FilterDatabase" localSheetId="48" hidden="1">Nioo!$A$1:$A$41</definedName>
    <definedName name="_xlnm._FilterDatabase" localSheetId="30" hidden="1">Oligoelementos!$A$1:$A$5</definedName>
    <definedName name="_xlnm._FilterDatabase" localSheetId="45" hidden="1">Oscilación!$A$1:$A$87</definedName>
    <definedName name="_xlnm._FilterDatabase" localSheetId="33" hidden="1">Peeling!$A$1:$A$5</definedName>
    <definedName name="_xlnm._FilterDatabase" localSheetId="47" hidden="1">Presoterapia!$A$1:$A$7</definedName>
    <definedName name="_xlnm._FilterDatabase" localSheetId="1" hidden="1">Producto!$B$1:$H$232</definedName>
    <definedName name="_xlnm._FilterDatabase" localSheetId="18" hidden="1">PRP!$A$1:$H$171</definedName>
    <definedName name="_xlnm._FilterDatabase" localSheetId="19" hidden="1">Radiofrecuencia!$B$1:$H$60</definedName>
    <definedName name="_xlnm._FilterDatabase" localSheetId="49" hidden="1">Sedación!$A$1:$A$5</definedName>
    <definedName name="_xlnm._FilterDatabase" localSheetId="34" hidden="1">'Spectra ginecologico'!$A$1:$A$33</definedName>
    <definedName name="_xlnm._FilterDatabase" localSheetId="46" hidden="1">Sueros!$A$1:$A$71</definedName>
    <definedName name="_xlnm._FilterDatabase" localSheetId="44" hidden="1">'Terapia Luminica'!$A$1:$A$5</definedName>
    <definedName name="_xlnm._FilterDatabase" localSheetId="20" hidden="1">Ultrasonido!$A$1:$H$38</definedName>
    <definedName name="_xlnm._FilterDatabase" localSheetId="35" hidden="1">Vanquish!$A$1:$A$5</definedName>
    <definedName name="_xlnm._FilterDatabase" localSheetId="24" hidden="1">'Vitamina C intravenosa'!$B$1:$H$184</definedName>
    <definedName name="_xlnm._FilterDatabase" localSheetId="36" hidden="1">Xwave!$A$1:$A$5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" i="31" l="1"/>
  <c r="J37" i="31"/>
  <c r="J5" i="31"/>
  <c r="L5" i="31" l="1"/>
  <c r="K5" i="31"/>
  <c r="L20" i="31" l="1"/>
  <c r="M20" i="31"/>
  <c r="L19" i="31"/>
  <c r="K19" i="31"/>
  <c r="J19" i="31"/>
  <c r="I19" i="31"/>
  <c r="H19" i="31"/>
  <c r="G19" i="31"/>
  <c r="M53" i="31" l="1"/>
  <c r="L53" i="31"/>
  <c r="K53" i="31"/>
  <c r="I53" i="31"/>
  <c r="J53" i="31" l="1"/>
  <c r="J49" i="31" l="1"/>
  <c r="K49" i="31"/>
  <c r="L49" i="31"/>
  <c r="M49" i="31"/>
  <c r="M46" i="31"/>
  <c r="L46" i="31"/>
  <c r="I37" i="31"/>
  <c r="K37" i="31"/>
  <c r="L37" i="31"/>
  <c r="L25" i="31"/>
  <c r="J21" i="31"/>
  <c r="K21" i="31"/>
  <c r="M21" i="31"/>
  <c r="K20" i="31"/>
  <c r="J20" i="31"/>
  <c r="I20" i="31"/>
  <c r="M6" i="31"/>
  <c r="L6" i="31"/>
  <c r="M32" i="31"/>
  <c r="L32" i="31"/>
  <c r="J32" i="31" l="1"/>
  <c r="I32" i="31"/>
  <c r="I49" i="31"/>
  <c r="M47" i="31"/>
  <c r="L47" i="31"/>
  <c r="K47" i="31"/>
  <c r="J47" i="31"/>
  <c r="I47" i="31"/>
  <c r="K46" i="31" l="1"/>
  <c r="J46" i="31"/>
  <c r="I46" i="31"/>
  <c r="I43" i="31"/>
  <c r="I5" i="31"/>
  <c r="M40" i="31" l="1"/>
  <c r="L40" i="31"/>
  <c r="K34" i="31"/>
  <c r="I34" i="31"/>
  <c r="M30" i="31"/>
  <c r="I30" i="31"/>
  <c r="L29" i="31"/>
  <c r="M28" i="31"/>
  <c r="L28" i="31"/>
  <c r="K28" i="31"/>
  <c r="I26" i="31"/>
  <c r="M25" i="31"/>
  <c r="K25" i="31"/>
  <c r="J25" i="31"/>
  <c r="I25" i="31"/>
  <c r="M23" i="31"/>
  <c r="L23" i="31"/>
  <c r="K23" i="31"/>
  <c r="I23" i="31"/>
  <c r="L22" i="31"/>
  <c r="J22" i="31"/>
  <c r="L21" i="31"/>
  <c r="I21" i="31"/>
  <c r="M19" i="31"/>
  <c r="M18" i="31"/>
  <c r="L18" i="31"/>
  <c r="L15" i="31"/>
  <c r="M15" i="31"/>
  <c r="K15" i="31"/>
  <c r="I15" i="31"/>
  <c r="J15" i="31"/>
  <c r="M14" i="31"/>
  <c r="L14" i="31"/>
  <c r="J14" i="31"/>
  <c r="I14" i="31"/>
  <c r="M13" i="31"/>
  <c r="L13" i="31"/>
  <c r="K13" i="31"/>
  <c r="J13" i="31"/>
  <c r="I13" i="31"/>
  <c r="K12" i="31"/>
  <c r="I12" i="31"/>
  <c r="M11" i="31"/>
  <c r="L11" i="31"/>
  <c r="K11" i="31"/>
  <c r="J11" i="31"/>
  <c r="I11" i="31"/>
  <c r="M10" i="31"/>
  <c r="L10" i="31"/>
  <c r="I10" i="31"/>
  <c r="M9" i="31"/>
  <c r="L9" i="31"/>
  <c r="K9" i="31"/>
  <c r="J9" i="31"/>
  <c r="I9" i="31"/>
  <c r="M7" i="31"/>
  <c r="L7" i="31"/>
  <c r="K7" i="31"/>
  <c r="J7" i="31"/>
  <c r="I7" i="31"/>
  <c r="J6" i="31"/>
  <c r="I6" i="31"/>
  <c r="M5" i="31"/>
  <c r="M4" i="31"/>
  <c r="L4" i="31"/>
  <c r="K4" i="31"/>
  <c r="J4" i="31"/>
  <c r="I4" i="31"/>
  <c r="M3" i="31" l="1"/>
  <c r="L3" i="31"/>
  <c r="K3" i="31"/>
  <c r="I3" i="31"/>
  <c r="N51" i="31"/>
  <c r="N45" i="31"/>
  <c r="N42" i="31"/>
  <c r="N41" i="31"/>
  <c r="N39" i="31"/>
  <c r="N38" i="31"/>
  <c r="N36" i="31"/>
  <c r="N35" i="31"/>
  <c r="N31" i="31"/>
  <c r="N27" i="31"/>
  <c r="N8" i="31"/>
  <c r="M2" i="31"/>
  <c r="M52" i="31" s="1"/>
  <c r="H232" i="22"/>
  <c r="M54" i="31" l="1"/>
  <c r="L2" i="31"/>
  <c r="L52" i="31" s="1"/>
  <c r="L54" i="31" s="1"/>
  <c r="K2" i="31"/>
  <c r="K52" i="31" s="1"/>
  <c r="K54" i="31" s="1"/>
  <c r="J2" i="31"/>
  <c r="J52" i="31" s="1"/>
  <c r="J54" i="31" s="1"/>
  <c r="I2" i="31"/>
  <c r="I52" i="31" s="1"/>
  <c r="I54" i="31" s="1"/>
  <c r="H58" i="34" l="1"/>
  <c r="O32" i="31" s="1"/>
  <c r="H359" i="40"/>
  <c r="O40" i="31" s="1"/>
  <c r="H28" i="13"/>
  <c r="O5" i="31" s="1"/>
  <c r="H4" i="50"/>
  <c r="O50" i="31" s="1"/>
  <c r="H40" i="49"/>
  <c r="O49" i="31" s="1"/>
  <c r="H6" i="48"/>
  <c r="H70" i="47"/>
  <c r="O47" i="31" s="1"/>
  <c r="H86" i="46"/>
  <c r="O46" i="31" s="1"/>
  <c r="H4" i="45"/>
  <c r="H5" i="44"/>
  <c r="H8" i="43"/>
  <c r="H4" i="33"/>
  <c r="O33" i="31" s="1"/>
  <c r="H4" i="42"/>
  <c r="H4" i="39"/>
  <c r="H4" i="41"/>
  <c r="O41" i="31" s="1"/>
  <c r="P41" i="31" s="1"/>
  <c r="H4" i="38"/>
  <c r="O38" i="31" s="1"/>
  <c r="P38" i="31" s="1"/>
  <c r="H32" i="37"/>
  <c r="H4" i="36"/>
  <c r="O36" i="31" s="1"/>
  <c r="P36" i="31" s="1"/>
  <c r="H4" i="35"/>
  <c r="O35" i="31" s="1"/>
  <c r="P35" i="31" s="1"/>
  <c r="H12" i="32"/>
  <c r="O34" i="31" s="1"/>
  <c r="H4" i="30"/>
  <c r="O31" i="31" s="1"/>
  <c r="P31" i="31" s="1"/>
  <c r="H15" i="29"/>
  <c r="O30" i="31" s="1"/>
  <c r="H9" i="28"/>
  <c r="O29" i="31" s="1"/>
  <c r="H20" i="27"/>
  <c r="O28" i="31" s="1"/>
  <c r="H4" i="26"/>
  <c r="H5" i="25"/>
  <c r="O26" i="31" s="1"/>
  <c r="H184" i="23"/>
  <c r="O25" i="31" s="1"/>
  <c r="H7" i="24"/>
  <c r="O24" i="31" s="1"/>
  <c r="H19" i="19"/>
  <c r="O23" i="31" s="1"/>
  <c r="H13" i="20"/>
  <c r="O22" i="31" s="1"/>
  <c r="H38" i="21"/>
  <c r="O21" i="31" s="1"/>
  <c r="H60" i="16"/>
  <c r="O20" i="31" s="1"/>
  <c r="H171" i="17"/>
  <c r="O19" i="31" s="1"/>
  <c r="H12" i="1"/>
  <c r="O18" i="31" s="1"/>
  <c r="H4" i="18"/>
  <c r="O17" i="31" s="1"/>
  <c r="H6" i="2"/>
  <c r="O16" i="31" s="1"/>
  <c r="H121" i="3"/>
  <c r="O15" i="31" s="1"/>
  <c r="H24" i="4"/>
  <c r="O14" i="31" s="1"/>
  <c r="H58" i="5"/>
  <c r="O13" i="31" s="1"/>
  <c r="H18" i="6"/>
  <c r="H36" i="7"/>
  <c r="O11" i="31" s="1"/>
  <c r="H17" i="8"/>
  <c r="O10" i="31" s="1"/>
  <c r="H78" i="9"/>
  <c r="O9" i="31" s="1"/>
  <c r="H4" i="10"/>
  <c r="O8" i="31" s="1"/>
  <c r="P8" i="31" s="1"/>
  <c r="H92" i="11"/>
  <c r="O7" i="31" s="1"/>
  <c r="H36" i="12"/>
  <c r="O6" i="31" s="1"/>
  <c r="H144" i="14"/>
  <c r="O4" i="31" s="1"/>
  <c r="H26" i="15"/>
  <c r="O2" i="31"/>
  <c r="H53" i="31"/>
  <c r="G53" i="31"/>
  <c r="F53" i="31"/>
  <c r="E53" i="31"/>
  <c r="D53" i="31"/>
  <c r="C53" i="31"/>
  <c r="B53" i="31"/>
  <c r="O51" i="31"/>
  <c r="H50" i="31"/>
  <c r="N50" i="31" s="1"/>
  <c r="H49" i="31"/>
  <c r="G49" i="31"/>
  <c r="F49" i="31"/>
  <c r="E49" i="31"/>
  <c r="D49" i="31"/>
  <c r="C49" i="31"/>
  <c r="O48" i="31"/>
  <c r="D48" i="31"/>
  <c r="B48" i="31"/>
  <c r="H47" i="31"/>
  <c r="G47" i="31"/>
  <c r="F47" i="31"/>
  <c r="E47" i="31"/>
  <c r="D47" i="31"/>
  <c r="C47" i="31"/>
  <c r="B47" i="31"/>
  <c r="H46" i="31"/>
  <c r="G46" i="31"/>
  <c r="F46" i="31"/>
  <c r="E46" i="31"/>
  <c r="D46" i="31"/>
  <c r="C46" i="31"/>
  <c r="B46" i="31"/>
  <c r="O45" i="31"/>
  <c r="P45" i="31" s="1"/>
  <c r="O44" i="31"/>
  <c r="G44" i="31"/>
  <c r="D44" i="31"/>
  <c r="O43" i="31"/>
  <c r="H43" i="31"/>
  <c r="G43" i="31"/>
  <c r="D43" i="31"/>
  <c r="C43" i="31"/>
  <c r="O42" i="31"/>
  <c r="P42" i="31" s="1"/>
  <c r="H40" i="31"/>
  <c r="N40" i="31" s="1"/>
  <c r="D40" i="31"/>
  <c r="O39" i="31"/>
  <c r="P39" i="31" s="1"/>
  <c r="O37" i="31"/>
  <c r="H37" i="31"/>
  <c r="G37" i="31"/>
  <c r="E37" i="31"/>
  <c r="C37" i="31"/>
  <c r="B37" i="31"/>
  <c r="H34" i="31"/>
  <c r="E34" i="31"/>
  <c r="D34" i="31"/>
  <c r="B34" i="31"/>
  <c r="D33" i="31"/>
  <c r="N33" i="31" s="1"/>
  <c r="H32" i="31"/>
  <c r="G32" i="31"/>
  <c r="F32" i="31"/>
  <c r="E32" i="31"/>
  <c r="D32" i="31"/>
  <c r="C32" i="31"/>
  <c r="B32" i="31"/>
  <c r="H30" i="31"/>
  <c r="G30" i="31"/>
  <c r="F30" i="31"/>
  <c r="C30" i="31"/>
  <c r="B30" i="31"/>
  <c r="F29" i="31"/>
  <c r="D29" i="31"/>
  <c r="B29" i="31"/>
  <c r="H28" i="31"/>
  <c r="G28" i="31"/>
  <c r="F28" i="31"/>
  <c r="E28" i="31"/>
  <c r="C28" i="31"/>
  <c r="B28" i="31"/>
  <c r="O27" i="31"/>
  <c r="P27" i="31" s="1"/>
  <c r="E26" i="31"/>
  <c r="N26" i="31" s="1"/>
  <c r="H25" i="31"/>
  <c r="G25" i="31"/>
  <c r="F25" i="31"/>
  <c r="E25" i="31"/>
  <c r="D25" i="31"/>
  <c r="C25" i="31"/>
  <c r="B25" i="31"/>
  <c r="C24" i="31"/>
  <c r="B24" i="31"/>
  <c r="H23" i="31"/>
  <c r="G23" i="31"/>
  <c r="F23" i="31"/>
  <c r="E23" i="31"/>
  <c r="D23" i="31"/>
  <c r="B23" i="31"/>
  <c r="C22" i="31"/>
  <c r="B22" i="31"/>
  <c r="H21" i="31"/>
  <c r="G21" i="31"/>
  <c r="F21" i="31"/>
  <c r="E21" i="31"/>
  <c r="D21" i="31"/>
  <c r="C21" i="31"/>
  <c r="H20" i="31"/>
  <c r="G20" i="31"/>
  <c r="F20" i="31"/>
  <c r="E20" i="31"/>
  <c r="D20" i="31"/>
  <c r="C20" i="31"/>
  <c r="B20" i="31"/>
  <c r="F19" i="31"/>
  <c r="E19" i="31"/>
  <c r="D19" i="31"/>
  <c r="C19" i="31"/>
  <c r="B19" i="31"/>
  <c r="H18" i="31"/>
  <c r="N18" i="31" s="1"/>
  <c r="B17" i="31"/>
  <c r="N17" i="31" s="1"/>
  <c r="C16" i="31"/>
  <c r="H15" i="31"/>
  <c r="G15" i="31"/>
  <c r="F15" i="31"/>
  <c r="E15" i="31"/>
  <c r="D15" i="31"/>
  <c r="C15" i="31"/>
  <c r="B15" i="31"/>
  <c r="H14" i="31"/>
  <c r="F14" i="31"/>
  <c r="E14" i="31"/>
  <c r="D14" i="31"/>
  <c r="C14" i="31"/>
  <c r="B14" i="31"/>
  <c r="H13" i="31"/>
  <c r="G13" i="31"/>
  <c r="F13" i="31"/>
  <c r="E13" i="31"/>
  <c r="D13" i="31"/>
  <c r="C13" i="31"/>
  <c r="B13" i="31"/>
  <c r="O12" i="31"/>
  <c r="H12" i="31"/>
  <c r="E12" i="31"/>
  <c r="D12" i="31"/>
  <c r="C12" i="31"/>
  <c r="B12" i="31"/>
  <c r="H11" i="31"/>
  <c r="G11" i="31"/>
  <c r="F11" i="31"/>
  <c r="D11" i="31"/>
  <c r="C11" i="31"/>
  <c r="B11" i="31"/>
  <c r="H10" i="31"/>
  <c r="F10" i="31"/>
  <c r="C10" i="31"/>
  <c r="H9" i="31"/>
  <c r="G9" i="31"/>
  <c r="F9" i="31"/>
  <c r="E9" i="31"/>
  <c r="D9" i="31"/>
  <c r="C9" i="31"/>
  <c r="B9" i="31"/>
  <c r="H7" i="31"/>
  <c r="G7" i="31"/>
  <c r="F7" i="31"/>
  <c r="E7" i="31"/>
  <c r="D7" i="31"/>
  <c r="C7" i="31"/>
  <c r="B7" i="31"/>
  <c r="H6" i="31"/>
  <c r="G6" i="31"/>
  <c r="F6" i="31"/>
  <c r="E6" i="31"/>
  <c r="D6" i="31"/>
  <c r="C6" i="31"/>
  <c r="B6" i="31"/>
  <c r="F5" i="31"/>
  <c r="E5" i="31"/>
  <c r="D5" i="31"/>
  <c r="C5" i="31"/>
  <c r="B5" i="31"/>
  <c r="H4" i="31"/>
  <c r="G4" i="31"/>
  <c r="F4" i="31"/>
  <c r="E4" i="31"/>
  <c r="D4" i="31"/>
  <c r="C4" i="31"/>
  <c r="B4" i="31"/>
  <c r="O3" i="31"/>
  <c r="F3" i="31"/>
  <c r="N3" i="31" s="1"/>
  <c r="H2" i="31"/>
  <c r="G2" i="31"/>
  <c r="F2" i="31"/>
  <c r="E2" i="31"/>
  <c r="D2" i="31"/>
  <c r="C2" i="31"/>
  <c r="B2" i="31"/>
  <c r="N7" i="31" l="1"/>
  <c r="N14" i="31"/>
  <c r="N34" i="31"/>
  <c r="N11" i="31"/>
  <c r="P11" i="31" s="1"/>
  <c r="N6" i="31"/>
  <c r="N44" i="31"/>
  <c r="N29" i="31"/>
  <c r="N24" i="31"/>
  <c r="P24" i="31" s="1"/>
  <c r="N23" i="31"/>
  <c r="N22" i="31"/>
  <c r="N16" i="31"/>
  <c r="P16" i="31" s="1"/>
  <c r="N12" i="31"/>
  <c r="N9" i="31"/>
  <c r="P9" i="31" s="1"/>
  <c r="N4" i="31"/>
  <c r="N37" i="31"/>
  <c r="P37" i="31" s="1"/>
  <c r="N32" i="31"/>
  <c r="P32" i="31" s="1"/>
  <c r="N46" i="31"/>
  <c r="P46" i="31" s="1"/>
  <c r="N47" i="31"/>
  <c r="N48" i="31"/>
  <c r="P48" i="31" s="1"/>
  <c r="N49" i="31"/>
  <c r="P49" i="31" s="1"/>
  <c r="N2" i="31"/>
  <c r="N43" i="31"/>
  <c r="P43" i="31" s="1"/>
  <c r="N30" i="31"/>
  <c r="P30" i="31" s="1"/>
  <c r="N28" i="31"/>
  <c r="N25" i="31"/>
  <c r="P25" i="31" s="1"/>
  <c r="N21" i="31"/>
  <c r="P21" i="31" s="1"/>
  <c r="N20" i="31"/>
  <c r="P20" i="31" s="1"/>
  <c r="N19" i="31"/>
  <c r="P19" i="31" s="1"/>
  <c r="P18" i="31"/>
  <c r="N15" i="31"/>
  <c r="P15" i="31" s="1"/>
  <c r="N13" i="31"/>
  <c r="P13" i="31" s="1"/>
  <c r="N10" i="31"/>
  <c r="N5" i="31"/>
  <c r="P5" i="31" s="1"/>
  <c r="P4" i="31"/>
  <c r="P22" i="31"/>
  <c r="P26" i="31"/>
  <c r="P28" i="31"/>
  <c r="P10" i="31"/>
  <c r="P40" i="31"/>
  <c r="P44" i="31"/>
  <c r="P2" i="31"/>
  <c r="P23" i="31"/>
  <c r="P34" i="31"/>
  <c r="P51" i="31"/>
  <c r="P17" i="31"/>
  <c r="G52" i="31"/>
  <c r="G54" i="31" s="1"/>
  <c r="H52" i="31"/>
  <c r="H54" i="31" s="1"/>
  <c r="C52" i="31"/>
  <c r="C54" i="31" s="1"/>
  <c r="P12" i="31"/>
  <c r="P7" i="31"/>
  <c r="P3" i="31"/>
  <c r="E52" i="31"/>
  <c r="E54" i="31" s="1"/>
  <c r="P50" i="31"/>
  <c r="B52" i="31"/>
  <c r="B54" i="31" s="1"/>
  <c r="P47" i="31"/>
  <c r="D52" i="31"/>
  <c r="D54" i="31" s="1"/>
  <c r="P33" i="31"/>
  <c r="P6" i="31"/>
  <c r="F52" i="31"/>
  <c r="F54" i="31" s="1"/>
  <c r="P14" i="31"/>
  <c r="N52" i="31" l="1"/>
  <c r="P52" i="31" s="1"/>
  <c r="P29" i="31"/>
</calcChain>
</file>

<file path=xl/sharedStrings.xml><?xml version="1.0" encoding="utf-8"?>
<sst xmlns="http://schemas.openxmlformats.org/spreadsheetml/2006/main" count="6717" uniqueCount="1479">
  <si>
    <t>Fecha</t>
  </si>
  <si>
    <t>No. de Factura</t>
  </si>
  <si>
    <t>Cantidad</t>
  </si>
  <si>
    <t>Nombre del Paciente</t>
  </si>
  <si>
    <t>Forma de 
Pago</t>
  </si>
  <si>
    <t>Total</t>
  </si>
  <si>
    <t>Credomatic</t>
  </si>
  <si>
    <t>Visa</t>
  </si>
  <si>
    <t>Tratamiento</t>
  </si>
  <si>
    <t>Acido hialuronico</t>
  </si>
  <si>
    <t>Depilación bikini</t>
  </si>
  <si>
    <t>Deposito</t>
  </si>
  <si>
    <t>Depilación axila</t>
  </si>
  <si>
    <t>recibo</t>
  </si>
  <si>
    <t>Efectivo</t>
  </si>
  <si>
    <t>Depilación</t>
  </si>
  <si>
    <t>Cheque</t>
  </si>
  <si>
    <t>Depilación rostro completo</t>
  </si>
  <si>
    <t>Emsculpt</t>
  </si>
  <si>
    <t>Emsculpt abdomen</t>
  </si>
  <si>
    <t>Emtone</t>
  </si>
  <si>
    <t>Nicolle Melville</t>
  </si>
  <si>
    <t>Emtone medias piernas completas</t>
  </si>
  <si>
    <t>Exfoliación</t>
  </si>
  <si>
    <t>Nicte Alfaro</t>
  </si>
  <si>
    <t>Exilis</t>
  </si>
  <si>
    <t>Facial purificante</t>
  </si>
  <si>
    <t>Alisson Batres</t>
  </si>
  <si>
    <t>Visa L.</t>
  </si>
  <si>
    <t>Hifu</t>
  </si>
  <si>
    <t>Hydrafacial</t>
  </si>
  <si>
    <t>Gricel Chun</t>
  </si>
  <si>
    <t>Laboratorios</t>
  </si>
  <si>
    <t>Masaje linfatico</t>
  </si>
  <si>
    <t>Mesoterapia</t>
  </si>
  <si>
    <t>Morpheus rostro y cuello</t>
  </si>
  <si>
    <t>Efectivo $</t>
  </si>
  <si>
    <t>Abono a morpheus rostro y cuello</t>
  </si>
  <si>
    <t>Cancelación a morpheus rostro y cuello</t>
  </si>
  <si>
    <t>Morpheus</t>
  </si>
  <si>
    <t>Pico-láser</t>
  </si>
  <si>
    <t>Wanda Serovic</t>
  </si>
  <si>
    <t>Powershape</t>
  </si>
  <si>
    <t>Vanessa Smith de Vargas</t>
  </si>
  <si>
    <t>Porfhilo</t>
  </si>
  <si>
    <t>PRP rostro y cuello</t>
  </si>
  <si>
    <t>PRP rostro</t>
  </si>
  <si>
    <t>PRP</t>
  </si>
  <si>
    <t>Radiofrecuencia rostro y cuello</t>
  </si>
  <si>
    <t>Radiofrecuencia</t>
  </si>
  <si>
    <t>Ultrasonido post-operatorio</t>
  </si>
  <si>
    <t>Patricia Chew</t>
  </si>
  <si>
    <t>Velo de acido hialuronico</t>
  </si>
  <si>
    <t>Velox</t>
  </si>
  <si>
    <t>Verju abdomen y cintura</t>
  </si>
  <si>
    <t>Verju</t>
  </si>
  <si>
    <t>Vitamina C intravenosa</t>
  </si>
  <si>
    <t>Producto</t>
  </si>
  <si>
    <t>Protector solar compacto (HELIOCARE)</t>
  </si>
  <si>
    <t>Norma de Barquin</t>
  </si>
  <si>
    <t>Ciclo coolsculpting</t>
  </si>
  <si>
    <t>Cliovana</t>
  </si>
  <si>
    <t>Dermapen rostro y cuello</t>
  </si>
  <si>
    <t>Dermapen</t>
  </si>
  <si>
    <t>Láser CO2</t>
  </si>
  <si>
    <t>Masaje relajante</t>
  </si>
  <si>
    <t>Oligoelementos</t>
  </si>
  <si>
    <t>Tratamiendo</t>
  </si>
  <si>
    <t xml:space="preserve">Exilis </t>
  </si>
  <si>
    <t xml:space="preserve">Exfoliación </t>
  </si>
  <si>
    <t>Profhilo</t>
  </si>
  <si>
    <t>Ultrasonido</t>
  </si>
  <si>
    <t xml:space="preserve">Masaje relajante </t>
  </si>
  <si>
    <t xml:space="preserve">Dermapen </t>
  </si>
  <si>
    <t>Feliciana Gomez</t>
  </si>
  <si>
    <t>Depilación bigote</t>
  </si>
  <si>
    <t>Lucia Garza</t>
  </si>
  <si>
    <t>Vanessa de Mancilla</t>
  </si>
  <si>
    <t>Frasco de protocol colageno con acido hialuronico</t>
  </si>
  <si>
    <t>Complete collagen (protocol)</t>
  </si>
  <si>
    <t>Proto-col collagen Shot</t>
  </si>
  <si>
    <t>Celulas Madre</t>
  </si>
  <si>
    <t>Procedimiento celulas madres</t>
  </si>
  <si>
    <t>Abono</t>
  </si>
  <si>
    <t>Grow</t>
  </si>
  <si>
    <t>Línea telefonica</t>
  </si>
  <si>
    <t>Abonos</t>
  </si>
  <si>
    <t>Celulas madre</t>
  </si>
  <si>
    <t>Enero</t>
  </si>
  <si>
    <t>Patricia Sandoval</t>
  </si>
  <si>
    <t>Karina Martinez</t>
  </si>
  <si>
    <t>Exilis abdomen, cintura, espalda alta y brazos</t>
  </si>
  <si>
    <t>Claudia Arrecis</t>
  </si>
  <si>
    <t>Mabby Morales</t>
  </si>
  <si>
    <t>Gisela Castillo</t>
  </si>
  <si>
    <t>Evelyn Hernandez</t>
  </si>
  <si>
    <t>Aplicación vitamina C intravenosa</t>
  </si>
  <si>
    <t>Viviano Gomez</t>
  </si>
  <si>
    <t>Lipo-recover</t>
  </si>
  <si>
    <t>Peeling</t>
  </si>
  <si>
    <t>Spectra ginecologico</t>
  </si>
  <si>
    <t>Vanquish</t>
  </si>
  <si>
    <t>Eliminación de lunares</t>
  </si>
  <si>
    <t>Elimación de lunares</t>
  </si>
  <si>
    <t>Botox</t>
  </si>
  <si>
    <t>Lorena de Gomez</t>
  </si>
  <si>
    <t>Xwave</t>
  </si>
  <si>
    <t xml:space="preserve">Servicio prestado facturado </t>
  </si>
  <si>
    <t>Maziel Arango</t>
  </si>
  <si>
    <t>Encimas</t>
  </si>
  <si>
    <t xml:space="preserve">Servicios prestados de enfermeria </t>
  </si>
  <si>
    <t xml:space="preserve">Servicios prestados de recepcionista </t>
  </si>
  <si>
    <t>Servicios prestados de asistente administrativo</t>
  </si>
  <si>
    <t>Protector solar spray (HELIOCARE)</t>
  </si>
  <si>
    <t>Erica Aquino</t>
  </si>
  <si>
    <t>Cambio de tratamiento</t>
  </si>
  <si>
    <t>Marleni Castillo</t>
  </si>
  <si>
    <t>Melany Perez</t>
  </si>
  <si>
    <t>Emtone abdomen, cintura y brazos</t>
  </si>
  <si>
    <t>Norma Pineda</t>
  </si>
  <si>
    <t>Juan Carlos Eguizabal</t>
  </si>
  <si>
    <t xml:space="preserve">Quimica Industrial Guatemalteca, S.A. </t>
  </si>
  <si>
    <t>Microdermoabrasión</t>
  </si>
  <si>
    <t>Annie Dougherty</t>
  </si>
  <si>
    <t xml:space="preserve">Terapia Luminica </t>
  </si>
  <si>
    <t>Terapia Luminica</t>
  </si>
  <si>
    <t>Suero regenerativo (SKINGENUITY)</t>
  </si>
  <si>
    <t>Josselyn Rodriguez</t>
  </si>
  <si>
    <t>Oscilación</t>
  </si>
  <si>
    <t>Oscilacion</t>
  </si>
  <si>
    <t>Karla Pinto Portillo</t>
  </si>
  <si>
    <t>Iveth Bojorquez</t>
  </si>
  <si>
    <t>Zarina Portillo</t>
  </si>
  <si>
    <t>Exilis abdomen, cintura y espalda alta</t>
  </si>
  <si>
    <t>Virginia de Gandara</t>
  </si>
  <si>
    <t>Anabella Campollo</t>
  </si>
  <si>
    <t>Oscilación profunda</t>
  </si>
  <si>
    <t>RHA Serum</t>
  </si>
  <si>
    <t>Protector solar gel (HELIOCARE)</t>
  </si>
  <si>
    <t>Sonia Chiroy de Rodriguez</t>
  </si>
  <si>
    <t>Sueros</t>
  </si>
  <si>
    <t>Suero glutation</t>
  </si>
  <si>
    <t>Mimi de Quan</t>
  </si>
  <si>
    <t>Suero reparado (SKINGENUITY)</t>
  </si>
  <si>
    <t>Sara Mayorga</t>
  </si>
  <si>
    <t>Massiel Hernandez</t>
  </si>
  <si>
    <t>Zuleima Cruz Salguero</t>
  </si>
  <si>
    <t>Cristina Sanchez</t>
  </si>
  <si>
    <t>Serun AOX C&amp;E</t>
  </si>
  <si>
    <t xml:space="preserve">Dra Julia Monroy </t>
  </si>
  <si>
    <t>Silvia Patricia Oxon</t>
  </si>
  <si>
    <t>Keren Noriega</t>
  </si>
  <si>
    <t>Gabriela Alfaro</t>
  </si>
  <si>
    <t>Lissete Sanchez</t>
  </si>
  <si>
    <t>Nicte Cifuentes</t>
  </si>
  <si>
    <t xml:space="preserve">Mishel de Reitzel </t>
  </si>
  <si>
    <t>Perla Karina Alfaro Ortiz</t>
  </si>
  <si>
    <t>Emtone chaparrera, entrepierna, banana roll y parte posterior de la pierna</t>
  </si>
  <si>
    <t>Myriam Mijanos Ramirez</t>
  </si>
  <si>
    <t>Emtone medias piernans completas</t>
  </si>
  <si>
    <t>Rita Miranda Ovalle</t>
  </si>
  <si>
    <t xml:space="preserve">Maggie Villela </t>
  </si>
  <si>
    <t xml:space="preserve">Exilis abdomen, cintura y espalda </t>
  </si>
  <si>
    <t>Abono a exilis piernas completas y abdomen</t>
  </si>
  <si>
    <t>Dora Janeth De La Cruz De Monterroso</t>
  </si>
  <si>
    <t>Dulce Marleny Vielman</t>
  </si>
  <si>
    <t>Patricia Gonzalez Starrs</t>
  </si>
  <si>
    <t>Diego Castillo</t>
  </si>
  <si>
    <t>Isabel Castillo</t>
  </si>
  <si>
    <t>Lia Sanchez</t>
  </si>
  <si>
    <t>Marisol Coronado</t>
  </si>
  <si>
    <t xml:space="preserve">Ninive Vargas </t>
  </si>
  <si>
    <t xml:space="preserve">Victor Sagastume </t>
  </si>
  <si>
    <t>Sandra Fain</t>
  </si>
  <si>
    <t>Sherlee Perez</t>
  </si>
  <si>
    <t xml:space="preserve">Karla Jordan </t>
  </si>
  <si>
    <t xml:space="preserve">Susy Villas </t>
  </si>
  <si>
    <t>Masaje linfatico facial</t>
  </si>
  <si>
    <t>Mesoterapia abdomen, cintura, espalda alta y brazos</t>
  </si>
  <si>
    <t>Irene Martensen De Granados</t>
  </si>
  <si>
    <t>Maria Cristina Martinez</t>
  </si>
  <si>
    <t>Elizabeth Nicte Paz</t>
  </si>
  <si>
    <t>Elizabeth Nicte Paz (mamá)</t>
  </si>
  <si>
    <t>Karla Sarti De Bonatti</t>
  </si>
  <si>
    <t>Abono a tratamiento morpheus rostro y cuello</t>
  </si>
  <si>
    <t>Powershape chaparrera, parte posterior de la pierna y moldeo de glúteos</t>
  </si>
  <si>
    <t>María Saravia</t>
  </si>
  <si>
    <t>Anneliese Wintzer</t>
  </si>
  <si>
    <t>Radiofrecuencia abdomen, cintura, brazos y piernas</t>
  </si>
  <si>
    <t>Maria Josee Solares</t>
  </si>
  <si>
    <t>Radiofecuencia rostro y cuello</t>
  </si>
  <si>
    <t>Elizabeth Molina</t>
  </si>
  <si>
    <t>Velox espalda baja, entrepierna, banana roll y chaparrera</t>
  </si>
  <si>
    <t>Rosario Palma Recinos</t>
  </si>
  <si>
    <t>Carlos Humberto Rodriguez</t>
  </si>
  <si>
    <t>Myra Leana Cortez</t>
  </si>
  <si>
    <t>Katiana Liberona</t>
  </si>
  <si>
    <t>Viviano Gomez (acompañante)</t>
  </si>
  <si>
    <t>Blanca Lara</t>
  </si>
  <si>
    <t>Margarita Lara</t>
  </si>
  <si>
    <t>Paola Monteagudo</t>
  </si>
  <si>
    <t>Luisa Fernanda Monge</t>
  </si>
  <si>
    <t>Miriam Lara</t>
  </si>
  <si>
    <t>Otros</t>
  </si>
  <si>
    <t>Adriana Marroquin</t>
  </si>
  <si>
    <t>Maria Virginia Hernandez</t>
  </si>
  <si>
    <t>Maria Fernanda Del Carmen Mejia</t>
  </si>
  <si>
    <t>Navin Solorzano</t>
  </si>
  <si>
    <t>Alma Tobar</t>
  </si>
  <si>
    <t>Anggie Gelvers</t>
  </si>
  <si>
    <t>Maria Patricia Avila Lopez</t>
  </si>
  <si>
    <t>Wendy Carías</t>
  </si>
  <si>
    <t>Hugo Gonzalez Garcia</t>
  </si>
  <si>
    <t>Claudia Tobar</t>
  </si>
  <si>
    <t>Stephanie Aizenstatd</t>
  </si>
  <si>
    <t>Lida Herrarte</t>
  </si>
  <si>
    <t>Presoterapia</t>
  </si>
  <si>
    <t>Ines Carolina Cruz</t>
  </si>
  <si>
    <t>Maria Regina Palma</t>
  </si>
  <si>
    <t>Lasér CO2</t>
  </si>
  <si>
    <t>Febrero</t>
  </si>
  <si>
    <t>Alma Gricel Tobar</t>
  </si>
  <si>
    <t>Serum AOX C&amp;E</t>
  </si>
  <si>
    <t>Johana Barillas</t>
  </si>
  <si>
    <t xml:space="preserve">complete collagen (protocol) </t>
  </si>
  <si>
    <t>Miguel Angel Martinez Solis</t>
  </si>
  <si>
    <t>Jabon biretix</t>
  </si>
  <si>
    <t>Abono a protector solar gel (HELIOCARE)</t>
  </si>
  <si>
    <t>Cancelación a protector solar gel (HELIOCARE)</t>
  </si>
  <si>
    <t>Tensage Cram (Endocare)</t>
  </si>
  <si>
    <t>Claudia Valenzuela</t>
  </si>
  <si>
    <t>Diana Linares</t>
  </si>
  <si>
    <t>Suero reparador (SKINGENUITY)</t>
  </si>
  <si>
    <t>Xxtralash</t>
  </si>
  <si>
    <t>Alex Weller</t>
  </si>
  <si>
    <t>Anderson Tay</t>
  </si>
  <si>
    <t xml:space="preserve">Jabon facial sinaklein (Venustras) </t>
  </si>
  <si>
    <t>Ileana de Carrera</t>
  </si>
  <si>
    <t>Frasco de capsulas heliocare Ultra-D</t>
  </si>
  <si>
    <t>Mirna Sarceño</t>
  </si>
  <si>
    <t>Protector solar gel (heliocare)</t>
  </si>
  <si>
    <t>Christina Los</t>
  </si>
  <si>
    <t xml:space="preserve">Complete collagen (protocol) </t>
  </si>
  <si>
    <t>Ingrid Rivera</t>
  </si>
  <si>
    <t>Claudia Castillo</t>
  </si>
  <si>
    <t>Claudia Campos</t>
  </si>
  <si>
    <t>Evelyn Cerna</t>
  </si>
  <si>
    <t>Maria Olga De Cohen</t>
  </si>
  <si>
    <t>Giselle Sanzogni</t>
  </si>
  <si>
    <t>Abono a exilis rostro y cuello</t>
  </si>
  <si>
    <t>Exilis abdomen, cintura y espalda baja</t>
  </si>
  <si>
    <t>Cancelación a exilis rostro y cuello</t>
  </si>
  <si>
    <t>Exilis rostro y cuello</t>
  </si>
  <si>
    <t>Maria Jose Ruano</t>
  </si>
  <si>
    <t>Exilis abdomen, cintura y espalda</t>
  </si>
  <si>
    <t>Myriam Mijangos</t>
  </si>
  <si>
    <t>Marjorie Manzo</t>
  </si>
  <si>
    <t>Maria Renée Solares</t>
  </si>
  <si>
    <t>Ana Elizabeth Molina</t>
  </si>
  <si>
    <t>Hifu ovalo facial y papada</t>
  </si>
  <si>
    <t>Lydia Reyes</t>
  </si>
  <si>
    <t>Ana Gislena Banus</t>
  </si>
  <si>
    <t>Wendy Marisol Gonzalez</t>
  </si>
  <si>
    <t>Elisa De Gil</t>
  </si>
  <si>
    <t>Mishel De Reitzel</t>
  </si>
  <si>
    <t>Mesoterapia reductora abdomen y cintura</t>
  </si>
  <si>
    <t>Silvia Villanueva</t>
  </si>
  <si>
    <t>Virgina De Gandara</t>
  </si>
  <si>
    <t>Luisa Fernanda Banus de Zimeri</t>
  </si>
  <si>
    <t>Lisbeth Lopez</t>
  </si>
  <si>
    <t>Silvia Carolina Godoy</t>
  </si>
  <si>
    <t>Lisbeth Estrada</t>
  </si>
  <si>
    <t>Ruth Sazo</t>
  </si>
  <si>
    <t>PRP escote</t>
  </si>
  <si>
    <t>PRP rodillas</t>
  </si>
  <si>
    <t>PRP manos</t>
  </si>
  <si>
    <t>PRP antebrazo</t>
  </si>
  <si>
    <t>Andrea Meany</t>
  </si>
  <si>
    <t xml:space="preserve">PRP Capilar </t>
  </si>
  <si>
    <t>Luisa Maria Palma</t>
  </si>
  <si>
    <t>Evelyn de Barril</t>
  </si>
  <si>
    <t>Abono PRP rostro y cuello</t>
  </si>
  <si>
    <t>Canacelación PRP rostro y cuello</t>
  </si>
  <si>
    <t>Laizza Lyons</t>
  </si>
  <si>
    <t>Ana Gisela Castillo</t>
  </si>
  <si>
    <t>Diana De Ritz</t>
  </si>
  <si>
    <t>Olga Marina Valdez</t>
  </si>
  <si>
    <t>Norma Florian</t>
  </si>
  <si>
    <t>Cancelación a radiofrecuencia abdomen, cintura, espalda alta y gluteos</t>
  </si>
  <si>
    <t>Luis Francisco Garcia Axulen</t>
  </si>
  <si>
    <t>Ana Lucia Cuestas</t>
  </si>
  <si>
    <t xml:space="preserve">Verju abdomen y cintura </t>
  </si>
  <si>
    <t>Aplicación de vitamina C intravenosa</t>
  </si>
  <si>
    <t>Jannet Zablah</t>
  </si>
  <si>
    <t>Joselyn Alburez</t>
  </si>
  <si>
    <t>Beatriz Fernandez</t>
  </si>
  <si>
    <t>Ana Cordero</t>
  </si>
  <si>
    <t>Marlene Meany</t>
  </si>
  <si>
    <t xml:space="preserve">Eduardo Garcia </t>
  </si>
  <si>
    <t>Regina Merida</t>
  </si>
  <si>
    <t xml:space="preserve">Nancy Quan </t>
  </si>
  <si>
    <t>Karla Sarti de Bonatti</t>
  </si>
  <si>
    <t>Lester Alburez</t>
  </si>
  <si>
    <t>Jessica Meza</t>
  </si>
  <si>
    <t>Ana Luisa Montes</t>
  </si>
  <si>
    <t>Julia Sapper</t>
  </si>
  <si>
    <t>Abono a tratamiento dermapen rostro y cuello</t>
  </si>
  <si>
    <t>Alejandro Solano</t>
  </si>
  <si>
    <t>Papeleria y utilies</t>
  </si>
  <si>
    <t>Marlin Johana De León</t>
  </si>
  <si>
    <t>Fabiola De Argueta</t>
  </si>
  <si>
    <t>Diferencia por cambio de tratamiento</t>
  </si>
  <si>
    <t>Anggie Gelvets</t>
  </si>
  <si>
    <t>Lissa Maldonado Arias</t>
  </si>
  <si>
    <r>
      <t xml:space="preserve">Oscilación profunda </t>
    </r>
    <r>
      <rPr>
        <b/>
        <sz val="10"/>
        <color theme="1"/>
        <rFont val="Trebuchet MS"/>
        <family val="2"/>
      </rPr>
      <t>(factura con exención de IVA)</t>
    </r>
  </si>
  <si>
    <t>Silvia Villatoro</t>
  </si>
  <si>
    <t>Silvia De Villatoro</t>
  </si>
  <si>
    <t>Karla Gutierrez</t>
  </si>
  <si>
    <t>Maria Teresa Sosa</t>
  </si>
  <si>
    <t>Rony Caballeros</t>
  </si>
  <si>
    <t>Rafael Molina</t>
  </si>
  <si>
    <t>Samuel Reyes Garcia</t>
  </si>
  <si>
    <t>Faja post-quirurgica IC 3001</t>
  </si>
  <si>
    <t>Abel Escartin</t>
  </si>
  <si>
    <r>
      <t xml:space="preserve">Faja post-quirurgica para hombre codio 10596CAM </t>
    </r>
    <r>
      <rPr>
        <b/>
        <sz val="10"/>
        <color theme="1"/>
        <rFont val="Trebuchet MS"/>
        <family val="2"/>
      </rPr>
      <t>(factura con exención de IVA)</t>
    </r>
  </si>
  <si>
    <r>
      <t>Faja post-quirurgica codigo IC-3000 (</t>
    </r>
    <r>
      <rPr>
        <b/>
        <sz val="10"/>
        <color theme="1"/>
        <rFont val="Trebuchet MS"/>
        <family val="2"/>
      </rPr>
      <t>factura con exención de IVA)</t>
    </r>
  </si>
  <si>
    <t>Nioo</t>
  </si>
  <si>
    <t>Carla de Zelaya</t>
  </si>
  <si>
    <t xml:space="preserve">Nioo abdomen, cintura y medias 
piernas completas </t>
  </si>
  <si>
    <t>Marzo</t>
  </si>
  <si>
    <t>Jabon para acne (VENUSTAS)</t>
  </si>
  <si>
    <t>Crema venustas</t>
  </si>
  <si>
    <t>Tensage cream (Endocare)</t>
  </si>
  <si>
    <t>Ileana De Carrera</t>
  </si>
  <si>
    <t>Hadazah Orozco</t>
  </si>
  <si>
    <t>Crema contorno de ojos (BIOTOPIX)</t>
  </si>
  <si>
    <t xml:space="preserve">Andrea Archila </t>
  </si>
  <si>
    <t>Gloria Constancia</t>
  </si>
  <si>
    <t>Jabon facial belviso</t>
  </si>
  <si>
    <t>Jabon facial sinaklien</t>
  </si>
  <si>
    <t>Dapzon rice</t>
  </si>
  <si>
    <t xml:space="preserve">Eunice Herrera Escobar </t>
  </si>
  <si>
    <t>Telma Maldonado</t>
  </si>
  <si>
    <t>Beatriz Tambasco</t>
  </si>
  <si>
    <t>Jabon para piel seca y sensible (VENUSTAS)</t>
  </si>
  <si>
    <t>Marcela Barquin</t>
  </si>
  <si>
    <t>Abono a complete collagen (protocol)</t>
  </si>
  <si>
    <t>Cancelación a complete collagen (protocol)</t>
  </si>
  <si>
    <t>Proto-col collagen shot</t>
  </si>
  <si>
    <t>Heidi Mariela Garcia</t>
  </si>
  <si>
    <t>Maria Jose Ortiz</t>
  </si>
  <si>
    <t>Claudia de Castillo</t>
  </si>
  <si>
    <t>Contorno de ojos iluminador (ENDOCARE)</t>
  </si>
  <si>
    <t>Protector solar compacto (ISIS PHARMA)</t>
  </si>
  <si>
    <t>Elisa Gil De Dedet</t>
  </si>
  <si>
    <t>Virginia De Gandara</t>
  </si>
  <si>
    <t>Gabriela Toledo</t>
  </si>
  <si>
    <t>Carla De Zelaya</t>
  </si>
  <si>
    <t>Depilación medias piernas</t>
  </si>
  <si>
    <t>Anhara Silvia Chacon De Sandoval</t>
  </si>
  <si>
    <t>Depilación bigote, menton, antebrazo, abdomen y dedos de manos y pies</t>
  </si>
  <si>
    <t>Norma De Barquin</t>
  </si>
  <si>
    <t>Depilación barbilla</t>
  </si>
  <si>
    <t>Danury Samayoa</t>
  </si>
  <si>
    <t>Marilu Pierri</t>
  </si>
  <si>
    <t>Bianca Conte</t>
  </si>
  <si>
    <t>Emsculpt glúteos</t>
  </si>
  <si>
    <t>Marta Maria Perez</t>
  </si>
  <si>
    <t>Emtone chaparrera, entrepiernas y parte posterior de la pierna</t>
  </si>
  <si>
    <t>Nancy Paola Gudiel</t>
  </si>
  <si>
    <t xml:space="preserve">Emtone medias piernas completas </t>
  </si>
  <si>
    <t>Maria Jose Herrera</t>
  </si>
  <si>
    <t>Emtone medias piernas y glúteos</t>
  </si>
  <si>
    <t>Emtone corporal</t>
  </si>
  <si>
    <t>Emtone chaparrera, entrepierna y parte 
posterior de la pierna y glúteos</t>
  </si>
  <si>
    <t>Angie Vitola</t>
  </si>
  <si>
    <t>Exilis abdomen, cintura, chaparrera, entrepierna y parte posterior</t>
  </si>
  <si>
    <t>Betania Goncalves</t>
  </si>
  <si>
    <t>Exilis medias piernas y gluteos</t>
  </si>
  <si>
    <t>Camila Belismelis Parker</t>
  </si>
  <si>
    <t xml:space="preserve">Evelyn Sofia Zelaya </t>
  </si>
  <si>
    <t>Alexys Tattiana Sotovando</t>
  </si>
  <si>
    <t>Exilis brazos, medias piernas, entre pierna, parte posterior, chaparrera</t>
  </si>
  <si>
    <t>Ada Tejeda</t>
  </si>
  <si>
    <t>Ana Herbruger</t>
  </si>
  <si>
    <t>Johana Tamayo</t>
  </si>
  <si>
    <t>Cristina Avila</t>
  </si>
  <si>
    <t>Carla Santizo</t>
  </si>
  <si>
    <t>Mariela Saravia</t>
  </si>
  <si>
    <t>Luis Castellanos</t>
  </si>
  <si>
    <t>Mariana Lesca</t>
  </si>
  <si>
    <t>Jose Manuel Castellanos</t>
  </si>
  <si>
    <t>Mesoterapia vitamina C glúteos</t>
  </si>
  <si>
    <t>Mesoterapia corporal</t>
  </si>
  <si>
    <t>Mesoterapia banana roll solo lado derecho</t>
  </si>
  <si>
    <t>Ana Cristina Rios</t>
  </si>
  <si>
    <t>Tere de Bolaños</t>
  </si>
  <si>
    <t>Morpheus cara interna de brazos</t>
  </si>
  <si>
    <t>Morpheus abdomen</t>
  </si>
  <si>
    <t>Heidi Marisol Rodriguez</t>
  </si>
  <si>
    <t>Dulce Sandoval</t>
  </si>
  <si>
    <t>María José Paz De Perez</t>
  </si>
  <si>
    <t>Gloria Andrade</t>
  </si>
  <si>
    <t>Morpheus espalda</t>
  </si>
  <si>
    <t xml:space="preserve">Linely Ortiz De Arimany </t>
  </si>
  <si>
    <t>Morpheus piernas</t>
  </si>
  <si>
    <t>Emilse Mirella Giron</t>
  </si>
  <si>
    <t>Gloria Ralda</t>
  </si>
  <si>
    <t>Abono a tratamiento PRP rostro y cuello</t>
  </si>
  <si>
    <t>Raquel Calderon</t>
  </si>
  <si>
    <t>Radiofrecuencia abdomen, cintura y espalda</t>
  </si>
  <si>
    <t>Monica Merida De León</t>
  </si>
  <si>
    <t>Dora De La Cruz</t>
  </si>
  <si>
    <t>Radiofrecuencia abdomen, cintura y espalda alta</t>
  </si>
  <si>
    <t>Luis Francisco Garcia</t>
  </si>
  <si>
    <t>Abono a ultrasonido post-operatorio</t>
  </si>
  <si>
    <t>Blanca Lemus</t>
  </si>
  <si>
    <t>Velox chaparreras, entrepierna, y banana roll</t>
  </si>
  <si>
    <t>Arturo Salvatierra</t>
  </si>
  <si>
    <t>Dalia Diaz De Diaz</t>
  </si>
  <si>
    <t>Marcela Escobar</t>
  </si>
  <si>
    <t>Norma de Castellanos</t>
  </si>
  <si>
    <t xml:space="preserve">Feliciana Gomez </t>
  </si>
  <si>
    <t>Hevelia Morales</t>
  </si>
  <si>
    <t>Claudia Bregel</t>
  </si>
  <si>
    <t>Aplicación de botox</t>
  </si>
  <si>
    <t>Mayra Valdez</t>
  </si>
  <si>
    <t>Mary Cordon</t>
  </si>
  <si>
    <t>Evelyn García</t>
  </si>
  <si>
    <t>Susy De Rodriguez</t>
  </si>
  <si>
    <t>Susy De Biguria</t>
  </si>
  <si>
    <t>Carmen Monroy</t>
  </si>
  <si>
    <t>Ana Lorena Meyer</t>
  </si>
  <si>
    <t>Silvia Echeverria</t>
  </si>
  <si>
    <t>Nicte Paz</t>
  </si>
  <si>
    <t>Irma Rivera</t>
  </si>
  <si>
    <t xml:space="preserve">Jenni Nineth Sanchez </t>
  </si>
  <si>
    <t>Ximena Morales</t>
  </si>
  <si>
    <t>Patricia Espigares</t>
  </si>
  <si>
    <t>Abono a aplicación de botox</t>
  </si>
  <si>
    <t>Cancelación a aplicación de botox</t>
  </si>
  <si>
    <t xml:space="preserve">Carolina De Ramirez </t>
  </si>
  <si>
    <t>Lorena Abularach</t>
  </si>
  <si>
    <t>Ana Luisa Martinez</t>
  </si>
  <si>
    <t>Luis Arriola</t>
  </si>
  <si>
    <t>Jacqueline Chour</t>
  </si>
  <si>
    <t>Anelly Arroyave</t>
  </si>
  <si>
    <t>Diana Ayala</t>
  </si>
  <si>
    <t>Rafael Fiallos</t>
  </si>
  <si>
    <t>Natalie Stefania Henkes</t>
  </si>
  <si>
    <t>Silvia Patricia Ramos</t>
  </si>
  <si>
    <t>Juan Jose Rubio</t>
  </si>
  <si>
    <t>Carolina Flores</t>
  </si>
  <si>
    <t>Lucia De Secaira</t>
  </si>
  <si>
    <t>Carolina Vargas</t>
  </si>
  <si>
    <t>Mariandree Bouscayrol</t>
  </si>
  <si>
    <t>Silvia Rivera</t>
  </si>
  <si>
    <t>Karla Jordan</t>
  </si>
  <si>
    <t>Marina Martinez</t>
  </si>
  <si>
    <t>Caro Vasquez</t>
  </si>
  <si>
    <t>Delia Chour</t>
  </si>
  <si>
    <t>Edna De Solares</t>
  </si>
  <si>
    <t>Nancy Diaz</t>
  </si>
  <si>
    <t>Paola Bouscayrol</t>
  </si>
  <si>
    <t>Maria Cueto De Gomez</t>
  </si>
  <si>
    <t>Lorena Arzu</t>
  </si>
  <si>
    <t>Patricia Arzu</t>
  </si>
  <si>
    <t>Maria Elena Gonzalez</t>
  </si>
  <si>
    <t>Veronica De Sagatume</t>
  </si>
  <si>
    <t>Victor Sagatume</t>
  </si>
  <si>
    <t>Nora Seng</t>
  </si>
  <si>
    <t>Freddy Muñoz</t>
  </si>
  <si>
    <t>Claudia Romero</t>
  </si>
  <si>
    <t>Carla Alvarado</t>
  </si>
  <si>
    <t>Carolina Ballestereos</t>
  </si>
  <si>
    <t>Silvia Canella</t>
  </si>
  <si>
    <t>Barbara Mijangos</t>
  </si>
  <si>
    <t>Xiomara Arriola</t>
  </si>
  <si>
    <t>Dharma Maldando</t>
  </si>
  <si>
    <t>Vivian Laguna</t>
  </si>
  <si>
    <t>Ada Azzari</t>
  </si>
  <si>
    <t>Silvia Fernandez de Castellanos</t>
  </si>
  <si>
    <t>Karen Illescas</t>
  </si>
  <si>
    <t>Matha Perez De Chen</t>
  </si>
  <si>
    <t>Maria Alejandra Hernandez</t>
  </si>
  <si>
    <t>Beatriz De Ayescas</t>
  </si>
  <si>
    <t>Juan Manuel Funes</t>
  </si>
  <si>
    <t>Luis Fernanda Ascencio de Funes</t>
  </si>
  <si>
    <t>Dora Aguirre de Argueta</t>
  </si>
  <si>
    <t>Alma Judith Merida</t>
  </si>
  <si>
    <t>Patricia Castillo</t>
  </si>
  <si>
    <t>Mariela Cruz</t>
  </si>
  <si>
    <t>Manola Fernandez</t>
  </si>
  <si>
    <t>Evelyn Orozco</t>
  </si>
  <si>
    <t>Cesibel Gonzalez</t>
  </si>
  <si>
    <t>Maria Teresa Franco</t>
  </si>
  <si>
    <t>Gloria Maria Ralda</t>
  </si>
  <si>
    <t>Margarita de Jerez</t>
  </si>
  <si>
    <t>Rosa Maria Miralles</t>
  </si>
  <si>
    <t>Ivone Trejo</t>
  </si>
  <si>
    <t xml:space="preserve">Bernardet De Valdez </t>
  </si>
  <si>
    <t>Alejandra Guzman Miranda</t>
  </si>
  <si>
    <t>Lidia Coronado</t>
  </si>
  <si>
    <t>Ricardo Castillo</t>
  </si>
  <si>
    <t>Claudia Salvatierra</t>
  </si>
  <si>
    <t>Angela Fueyo</t>
  </si>
  <si>
    <t>Evelyn De Garcia</t>
  </si>
  <si>
    <t>Rosario De Zuñiga</t>
  </si>
  <si>
    <t>Annette Bouscayrol</t>
  </si>
  <si>
    <t>Anabella Toriello De Knebusch</t>
  </si>
  <si>
    <t>Maria Teresa Gomez</t>
  </si>
  <si>
    <t>Maria Renee Solares</t>
  </si>
  <si>
    <t>Patricia Godoy De Alloud</t>
  </si>
  <si>
    <t>Gissell Sanzogni</t>
  </si>
  <si>
    <t>Patricia De Bracamonte</t>
  </si>
  <si>
    <t>Betty De Villagran</t>
  </si>
  <si>
    <t>Karen Villagran</t>
  </si>
  <si>
    <t>Jacqueline Villagran</t>
  </si>
  <si>
    <t>Anika Marldonado</t>
  </si>
  <si>
    <t>Rodrigo Fonseca</t>
  </si>
  <si>
    <t>Vanessa de Fonseca</t>
  </si>
  <si>
    <t>Norma De Melville</t>
  </si>
  <si>
    <t>Sandra De Leon Torres</t>
  </si>
  <si>
    <t>Estefany Villatorio</t>
  </si>
  <si>
    <t>Fabiola Asturias Coosemans</t>
  </si>
  <si>
    <t>Katherine Micelle Calderon</t>
  </si>
  <si>
    <t>Dalila Rojas Monterroso</t>
  </si>
  <si>
    <t>Jannett Zablah De Fischer</t>
  </si>
  <si>
    <t>Marvin Melgar</t>
  </si>
  <si>
    <t xml:space="preserve">Ninoshtka Vargas </t>
  </si>
  <si>
    <t>Nioo piernas</t>
  </si>
  <si>
    <t xml:space="preserve">Nioo abdomen, cintura y espalda </t>
  </si>
  <si>
    <t>Ems electroestimulación glúteos</t>
  </si>
  <si>
    <t>Selena De Ordoñez</t>
  </si>
  <si>
    <t>Rosaura Fabiola Azurdia</t>
  </si>
  <si>
    <t>Nioo abdomen, cintura y medias piernas</t>
  </si>
  <si>
    <t xml:space="preserve">Abono a tratamiento </t>
  </si>
  <si>
    <t>Laser CO2</t>
  </si>
  <si>
    <t>Adriana Caceres</t>
  </si>
  <si>
    <t>Abril</t>
  </si>
  <si>
    <t>Stella Los</t>
  </si>
  <si>
    <t>Isela Cordon</t>
  </si>
  <si>
    <t>Protector solar photoderm nude touch (BIODERMA)</t>
  </si>
  <si>
    <t>Heidi Rodriguez</t>
  </si>
  <si>
    <t>RHA serum</t>
  </si>
  <si>
    <t>Mabel Pericullo De Batres</t>
  </si>
  <si>
    <t>Heidi Garcia</t>
  </si>
  <si>
    <t>Johana Tamyo</t>
  </si>
  <si>
    <t>Depilación dedos de pies</t>
  </si>
  <si>
    <t>Depilación piernas</t>
  </si>
  <si>
    <t>Natalie Recinos Sarceño</t>
  </si>
  <si>
    <t>Abono a emsculpt abdomen</t>
  </si>
  <si>
    <t>Cancelación a emsculpt abdomen</t>
  </si>
  <si>
    <t xml:space="preserve">Emtone abdomen y cintura </t>
  </si>
  <si>
    <t>Jorge Arnau</t>
  </si>
  <si>
    <t>Ingrid Moscoso</t>
  </si>
  <si>
    <t xml:space="preserve">Exilis abdomen, cintura, y gorditos de espalda alta </t>
  </si>
  <si>
    <t>Exilis medias piernas completas</t>
  </si>
  <si>
    <t>Exilis piernas</t>
  </si>
  <si>
    <t>Cancelación a exilis abdomen, cintura y espalda</t>
  </si>
  <si>
    <t xml:space="preserve">Jose Antonio Arzu </t>
  </si>
  <si>
    <t>Exilis abdomen, cintura, pectora y espalda alta y baja</t>
  </si>
  <si>
    <t>Nina De Lucas</t>
  </si>
  <si>
    <t>Exilis espalda</t>
  </si>
  <si>
    <t>Ella Calderon</t>
  </si>
  <si>
    <t>Rodrigo Zachrisson</t>
  </si>
  <si>
    <t>Sara Abularach</t>
  </si>
  <si>
    <t>Mesoterapia abdomen, cintura y gorditos de espalda alta</t>
  </si>
  <si>
    <t>Maria Jose Garcia</t>
  </si>
  <si>
    <t xml:space="preserve">Mesoterapia </t>
  </si>
  <si>
    <t>Ana Carolina Flores</t>
  </si>
  <si>
    <t>Morphues abdomen completo,enfasis en cicatriz de cesarea</t>
  </si>
  <si>
    <t>Ana Mariana Martinez</t>
  </si>
  <si>
    <t>Morpheus rodilla</t>
  </si>
  <si>
    <t>Maria Jose Castillo Boguerin</t>
  </si>
  <si>
    <t>Aura Alejandra Montufar</t>
  </si>
  <si>
    <t xml:space="preserve">Rosa Maria Morales de Vargas </t>
  </si>
  <si>
    <t xml:space="preserve">Abono a plasma </t>
  </si>
  <si>
    <t>Cancelación a PRP  rostro y cuello</t>
  </si>
  <si>
    <t xml:space="preserve">PRP rostro </t>
  </si>
  <si>
    <t>Miriam Lissethe Diaz</t>
  </si>
  <si>
    <t>Yaneth de Velez</t>
  </si>
  <si>
    <t xml:space="preserve">Cancelación a plasma rostro y cuello </t>
  </si>
  <si>
    <t>Ana Luisa Ramos</t>
  </si>
  <si>
    <t xml:space="preserve">Radiofrecuencia abdomen, cintura y espalda baja </t>
  </si>
  <si>
    <t>Katherine Portillo</t>
  </si>
  <si>
    <t>Ana Vriginia Coosemans</t>
  </si>
  <si>
    <t>Rony Caballero</t>
  </si>
  <si>
    <t xml:space="preserve">Velox abdomen, cintura y espalda baja </t>
  </si>
  <si>
    <t>Patricia Del Rosario De Ortega</t>
  </si>
  <si>
    <t>Luis Ortega</t>
  </si>
  <si>
    <t>Fernanda Maria Restrepo</t>
  </si>
  <si>
    <t>Ciclos coolsculpting</t>
  </si>
  <si>
    <t>Ana Rosa Ovalle</t>
  </si>
  <si>
    <t>Estela Terraza</t>
  </si>
  <si>
    <t>Servicios prestado de enfermeria</t>
  </si>
  <si>
    <t>Servicios prestados recepcionista</t>
  </si>
  <si>
    <t>Servicios prestados asistente administrativo</t>
  </si>
  <si>
    <t>Servicio prestado facturado</t>
  </si>
  <si>
    <t xml:space="preserve">Cheque </t>
  </si>
  <si>
    <t xml:space="preserve">Jennifer Lima </t>
  </si>
  <si>
    <t>Yohana Duarte</t>
  </si>
  <si>
    <t>Ana Cecilia Palma</t>
  </si>
  <si>
    <t>Sissel Morales</t>
  </si>
  <si>
    <t>Nioo fitnes</t>
  </si>
  <si>
    <t>Mayo</t>
  </si>
  <si>
    <t>Frasco de capsulas heliocare Ulra-D</t>
  </si>
  <si>
    <t>Foto Ultra 100 (ISDIN)</t>
  </si>
  <si>
    <t>Miriam Lopez</t>
  </si>
  <si>
    <t>Jabon Dapzon (rice glycol)</t>
  </si>
  <si>
    <t>Miguel Angel Martinez</t>
  </si>
  <si>
    <t>Tere De Bolaños</t>
  </si>
  <si>
    <t>Foto protector fusion water (ISDIN)</t>
  </si>
  <si>
    <t>Mayra Gomez</t>
  </si>
  <si>
    <t>Fidel Santos</t>
  </si>
  <si>
    <t>Sulma Elizabeth Hernandez</t>
  </si>
  <si>
    <t>Phyto spot 18-B</t>
  </si>
  <si>
    <t>Mabel Pericullo de Batres</t>
  </si>
  <si>
    <t>Angel Vasquez</t>
  </si>
  <si>
    <t>Mayra Mazariegos de Mendez</t>
  </si>
  <si>
    <t>Aplicación acido hialuronico en labios</t>
  </si>
  <si>
    <t>Claudia Leon De Castillo</t>
  </si>
  <si>
    <t>Depilació bikini</t>
  </si>
  <si>
    <t>Depilación brazos</t>
  </si>
  <si>
    <t>Maria Isabel Castillo</t>
  </si>
  <si>
    <t>Alvaro Francisco Ruata</t>
  </si>
  <si>
    <t>Maria Jose Alvarez</t>
  </si>
  <si>
    <t>Emsculpt gluteos</t>
  </si>
  <si>
    <t>Ricardo Rodriguez</t>
  </si>
  <si>
    <t>Emtone abdomen, cintura y espalda baja</t>
  </si>
  <si>
    <t>Exilis abdomen, cintura, espalda baja y area de pectoral</t>
  </si>
  <si>
    <t>Olga De Sosa</t>
  </si>
  <si>
    <t>Exilis abdomen, cintura, espalda alta y cara interna brazo</t>
  </si>
  <si>
    <t xml:space="preserve">Gabriela Valverde </t>
  </si>
  <si>
    <t>Claudia De Garcia</t>
  </si>
  <si>
    <t>Exilis corporal</t>
  </si>
  <si>
    <t>Exilis abdomen y cintura</t>
  </si>
  <si>
    <t>Xiomara Renee Arriola</t>
  </si>
  <si>
    <t>Exilis piernas completas</t>
  </si>
  <si>
    <t>Luis Araya</t>
  </si>
  <si>
    <t>Exilis abdomen, cintura, espalda, pectoral, brazo</t>
  </si>
  <si>
    <t>Francisco Samayoa</t>
  </si>
  <si>
    <t>Ninoshtka Vargas</t>
  </si>
  <si>
    <t>Exilis abdomen, cintura, espalda, brazos</t>
  </si>
  <si>
    <t>Doris Argueta</t>
  </si>
  <si>
    <t>Bessy Chan</t>
  </si>
  <si>
    <t>Ana Cecilia Quevedo</t>
  </si>
  <si>
    <t>Silvia Fernanda Chacon</t>
  </si>
  <si>
    <t>Erika Cordon / Karla Bustamante</t>
  </si>
  <si>
    <t>Natalia Fuentes / Sofia Fuentes</t>
  </si>
  <si>
    <t>Jessie Tefel</t>
  </si>
  <si>
    <t>Bonna Marroquin</t>
  </si>
  <si>
    <t>Abono a masaje linfatico</t>
  </si>
  <si>
    <t>Fabiola De Sanchez</t>
  </si>
  <si>
    <t>Maria Elvia Navichoc</t>
  </si>
  <si>
    <t>Mesoterpia</t>
  </si>
  <si>
    <t>Andrea Batres</t>
  </si>
  <si>
    <t>Luisa Fernanda Lemus</t>
  </si>
  <si>
    <t>Mirna Coronado</t>
  </si>
  <si>
    <t>Morpheus flancos</t>
  </si>
  <si>
    <t>Morpheus cara interna de pierna</t>
  </si>
  <si>
    <t>Claudia Valenzela</t>
  </si>
  <si>
    <t>Jenny Gomez</t>
  </si>
  <si>
    <t xml:space="preserve">Yaneth Romero </t>
  </si>
  <si>
    <t>Maria Jose Enriquez</t>
  </si>
  <si>
    <t>PRP capilar</t>
  </si>
  <si>
    <t>Ninoshtka Meany</t>
  </si>
  <si>
    <t>Maria Saravia</t>
  </si>
  <si>
    <t>Vivian Porres Cu</t>
  </si>
  <si>
    <t>Debbie Richter</t>
  </si>
  <si>
    <t>Meyling Maribel Leon Quinto</t>
  </si>
  <si>
    <t>Esther Pacheco</t>
  </si>
  <si>
    <t>Yaneth De Velez</t>
  </si>
  <si>
    <t>Ana Maria Herbruger</t>
  </si>
  <si>
    <t>PRP rosro y cuello</t>
  </si>
  <si>
    <t>Carmen Pacheco</t>
  </si>
  <si>
    <t>Maria Del Carmen Tefel</t>
  </si>
  <si>
    <t>Ultrasonidos post-operatorio</t>
  </si>
  <si>
    <t>Cancelación a ultrasonido post-operatorio (nota de debito por complemento de factura no. 1037452307)</t>
  </si>
  <si>
    <t>Velox abdomen, cintura, pectoral, espalda</t>
  </si>
  <si>
    <t>Nancy Louise Bulette de Wilson</t>
  </si>
  <si>
    <t>Karta Sarti de Bonatti</t>
  </si>
  <si>
    <t>Esteban Lopez</t>
  </si>
  <si>
    <t>Jennifer Lima</t>
  </si>
  <si>
    <t>Eunice Herrera</t>
  </si>
  <si>
    <t>Fernanda Restrepo</t>
  </si>
  <si>
    <t xml:space="preserve">Marvin Melgar </t>
  </si>
  <si>
    <t>Antonio Fuentes</t>
  </si>
  <si>
    <t>Pricila Duarte</t>
  </si>
  <si>
    <t>Lidia Olvida</t>
  </si>
  <si>
    <t>Olga Kabanova</t>
  </si>
  <si>
    <t>Papelería y utiles</t>
  </si>
  <si>
    <t>Rosa Angelica Camargo</t>
  </si>
  <si>
    <t>Sandra Caballero</t>
  </si>
  <si>
    <t>Nioo-trinity abdomen, cintura y espalda baja</t>
  </si>
  <si>
    <t xml:space="preserve">Nioo trinity abdomen, cintura, espalda completa </t>
  </si>
  <si>
    <t>Ana Rocio Muñoz</t>
  </si>
  <si>
    <t>Nioo abdomen, cintura y espalda</t>
  </si>
  <si>
    <t>Cancelación a masaje linfatico</t>
  </si>
  <si>
    <t xml:space="preserve">Junio </t>
  </si>
  <si>
    <t>RH serum</t>
  </si>
  <si>
    <t>Avene agua termal</t>
  </si>
  <si>
    <t>Karla Sapper</t>
  </si>
  <si>
    <t>Tensage cream (endocare)</t>
  </si>
  <si>
    <t xml:space="preserve">Heidi Rodriguez </t>
  </si>
  <si>
    <t>Sonia Oviedo</t>
  </si>
  <si>
    <t xml:space="preserve">Miguel Angel Martinez </t>
  </si>
  <si>
    <t>Scar MD</t>
  </si>
  <si>
    <t>Ana Luz Morales</t>
  </si>
  <si>
    <t>Mariana Marquez</t>
  </si>
  <si>
    <t>Nidia Och</t>
  </si>
  <si>
    <t>Fabiola Azurdia</t>
  </si>
  <si>
    <t>Ximena Echeverria</t>
  </si>
  <si>
    <t>Depilación medio rostro</t>
  </si>
  <si>
    <t xml:space="preserve">Daniela Carrera Cruz </t>
  </si>
  <si>
    <t>Emtone abdomen, cintura, brazos, entrepierna, chaparrera, glúteos y parte posterior de la pierna</t>
  </si>
  <si>
    <t>Cristina Palacios</t>
  </si>
  <si>
    <t>Emtone abdomen, cintura, chaparrera, entrepierna y parte posterior de la pierna</t>
  </si>
  <si>
    <t>Marta Eugenia Rozzoto</t>
  </si>
  <si>
    <t>Maria Fernanda Chavez</t>
  </si>
  <si>
    <t>Carlos Rodriguez</t>
  </si>
  <si>
    <t>Exilis abdomen, cintura, pectoral y espalda alta</t>
  </si>
  <si>
    <t>Andrea Batres Pericullo</t>
  </si>
  <si>
    <t>Maria Esperanza Barrutia</t>
  </si>
  <si>
    <t>Exilis abdomen, cintura y medias piernas</t>
  </si>
  <si>
    <t>Daniela Batres</t>
  </si>
  <si>
    <t>Angelica Maria Giron</t>
  </si>
  <si>
    <t>Janeth Zablah</t>
  </si>
  <si>
    <t>Fernanda Rios</t>
  </si>
  <si>
    <t xml:space="preserve">Abono a facial purificante </t>
  </si>
  <si>
    <t xml:space="preserve">Cancelación a facial purificante </t>
  </si>
  <si>
    <t>Siria Villatoro</t>
  </si>
  <si>
    <t>Sofia Cardona</t>
  </si>
  <si>
    <t>Wendy Lopez (Boris Garza)</t>
  </si>
  <si>
    <t>Andrea Rottmann</t>
  </si>
  <si>
    <t>Jose Quinto</t>
  </si>
  <si>
    <t>Morpheus cra interna de brazos</t>
  </si>
  <si>
    <t>Gisi Banus</t>
  </si>
  <si>
    <t>Gabriela Saenz</t>
  </si>
  <si>
    <t>Carmen Rossana Peralta De Hegel</t>
  </si>
  <si>
    <t>Sonia Chiroy De Rodriguez</t>
  </si>
  <si>
    <t>Morpheus corporal</t>
  </si>
  <si>
    <t>Complemento a PRP manos</t>
  </si>
  <si>
    <t>PRP rostro, cuello y escote</t>
  </si>
  <si>
    <t>Abono a PRP rostro, cuello y escote</t>
  </si>
  <si>
    <t xml:space="preserve">Sara Bolaños </t>
  </si>
  <si>
    <t>Paola Sanzogni</t>
  </si>
  <si>
    <t>Radiofrecuencia abdomen y cintura</t>
  </si>
  <si>
    <t>Marie Andre Bouscayrol</t>
  </si>
  <si>
    <t>Radiofrecuencia abdomen, cintura, brazos, entrepiernas y parte frente de la pierna</t>
  </si>
  <si>
    <t>Josselyn Fajardo</t>
  </si>
  <si>
    <t>Radiofrcuencia rostro y cuello</t>
  </si>
  <si>
    <t>Lissette Cifuentes</t>
  </si>
  <si>
    <t>Radiofrecuencia abdomen, cintura, espalda y brazos</t>
  </si>
  <si>
    <t>Radiofrecuencia medias piernas completas y gluteos</t>
  </si>
  <si>
    <t>Pablo Palma</t>
  </si>
  <si>
    <t>Ultrasonido post-operatorio rostro</t>
  </si>
  <si>
    <t>Michelle Cano</t>
  </si>
  <si>
    <t>Ultrsonido post-operatorio</t>
  </si>
  <si>
    <t>Velox abdomen, cintura, chaparrera y banana roll</t>
  </si>
  <si>
    <t>Velox abdomen completo, cintura y espalda baja</t>
  </si>
  <si>
    <t>Aplicación de vitamina C intravesona</t>
  </si>
  <si>
    <t>Abono a vitamina C intravenosa</t>
  </si>
  <si>
    <t>Karen Orellana</t>
  </si>
  <si>
    <t>Mary Contreras</t>
  </si>
  <si>
    <t>Wilson Muñoz</t>
  </si>
  <si>
    <t xml:space="preserve">Dulce Mendoza </t>
  </si>
  <si>
    <t>Silvia Patricia Cabrera De Rivera</t>
  </si>
  <si>
    <t>Cancelación a dermape rostro y cuello</t>
  </si>
  <si>
    <t>Jessie Arroyave</t>
  </si>
  <si>
    <t>Abono a tratamiento spectra ginecologico</t>
  </si>
  <si>
    <t>Claudia Areccis</t>
  </si>
  <si>
    <t>Diferencia por cambio por tratamiento</t>
  </si>
  <si>
    <t>Sandra De León</t>
  </si>
  <si>
    <t>Micreodermoabrasión</t>
  </si>
  <si>
    <t>Alejandro De La Vega</t>
  </si>
  <si>
    <t>Jose Alejandro De La Vega</t>
  </si>
  <si>
    <t>Ruby Asturias</t>
  </si>
  <si>
    <t>Maria Fernanda Godinez</t>
  </si>
  <si>
    <t>Ines Batres</t>
  </si>
  <si>
    <t>Wendy Lopez</t>
  </si>
  <si>
    <t>Gisel Sanzogni</t>
  </si>
  <si>
    <t>Nioo trinity abdomen, cintura y medias piernas completas</t>
  </si>
  <si>
    <t xml:space="preserve">Nioo  abdomen, cintura y medias piernas completas </t>
  </si>
  <si>
    <t>Ems electroestimulación</t>
  </si>
  <si>
    <t>Nioo trinity abdomen, cintura, espalda alta, chaparrera, entrepierna y parte posterior de la pierna</t>
  </si>
  <si>
    <t>Sergio Rodriguez Navichos</t>
  </si>
  <si>
    <t>Nioo trinity abdomen, cintura y espalda completa</t>
  </si>
  <si>
    <t>Nioo trinity medias piernas completas</t>
  </si>
  <si>
    <t>Julio</t>
  </si>
  <si>
    <t>RHA suerum</t>
  </si>
  <si>
    <t>Mayary Soto</t>
  </si>
  <si>
    <t>Nina Soto</t>
  </si>
  <si>
    <t>Maynor Santos</t>
  </si>
  <si>
    <t>Jose Christian Bradna</t>
  </si>
  <si>
    <t>Telma Maldonado (HIJA)</t>
  </si>
  <si>
    <t>Serum (Endocare)</t>
  </si>
  <si>
    <t>Hydramax (cellskinlab)</t>
  </si>
  <si>
    <t>Protector solar dry touch toque seco (heliocare)</t>
  </si>
  <si>
    <t>Crema equilibrante protectora (Germaine)</t>
  </si>
  <si>
    <t>Tania Rojas</t>
  </si>
  <si>
    <t xml:space="preserve">Estefani Maria González Garcia </t>
  </si>
  <si>
    <t>Lilian Sosa De Pineda</t>
  </si>
  <si>
    <t>Maria Jose Solares</t>
  </si>
  <si>
    <t>Allan Diaz</t>
  </si>
  <si>
    <t>Rotceh Garcia</t>
  </si>
  <si>
    <t xml:space="preserve">Depilación medias piernas </t>
  </si>
  <si>
    <t>Valeria Florido</t>
  </si>
  <si>
    <t>Depilación glúteos</t>
  </si>
  <si>
    <t>Karla Bocaletti De Enriquez</t>
  </si>
  <si>
    <t>Depilación intergluteos</t>
  </si>
  <si>
    <t>Ivanna Flores Rivera</t>
  </si>
  <si>
    <t>Evelyn Sofia Zelaya</t>
  </si>
  <si>
    <t>Karleen Giron</t>
  </si>
  <si>
    <t xml:space="preserve">Emtone abdomen, cintura, banana roll y glúteos </t>
  </si>
  <si>
    <t>Mincy Carolina Juarez</t>
  </si>
  <si>
    <t>Abono a exilis medias piernas, parte posterior, entrepiernas y chaparreras</t>
  </si>
  <si>
    <t>Cancelación a exilis medias piernas, parte posterior, entrepiernas y chaparreras</t>
  </si>
  <si>
    <t>Elizabeth Solano De Castañeda</t>
  </si>
  <si>
    <t>Lola Castañeda</t>
  </si>
  <si>
    <t>Lilian Caceres</t>
  </si>
  <si>
    <t>Ana Maria Teran</t>
  </si>
  <si>
    <t>Jessica Chour</t>
  </si>
  <si>
    <t>Gabriela Morales</t>
  </si>
  <si>
    <t xml:space="preserve">Gabriela Samayoa </t>
  </si>
  <si>
    <t>Luis Leonel Morales</t>
  </si>
  <si>
    <t>Mishell De Reitzel</t>
  </si>
  <si>
    <t>Mesoterapia reductora</t>
  </si>
  <si>
    <t xml:space="preserve">Mesoterapia reafirmante </t>
  </si>
  <si>
    <t xml:space="preserve">Gissell Sanzogni </t>
  </si>
  <si>
    <t>Jorge Estuardo Castillo</t>
  </si>
  <si>
    <t>Waleska Herrera De Solares</t>
  </si>
  <si>
    <t>Poala Monteagudo</t>
  </si>
  <si>
    <t>Aplicación de profhilo</t>
  </si>
  <si>
    <t>Alma Portillo</t>
  </si>
  <si>
    <t>Cristina Samayao</t>
  </si>
  <si>
    <t>Carolina Ybarra</t>
  </si>
  <si>
    <t>Cinthia Hernandez</t>
  </si>
  <si>
    <t>Melanie Guerra</t>
  </si>
  <si>
    <t>Sandra Patricia Duarte</t>
  </si>
  <si>
    <t>Silvia Chacon De Sandoval</t>
  </si>
  <si>
    <t>Radiofrecuenciaabdomen, cintura, brazos, entrepierna y parte posterio de la pierna</t>
  </si>
  <si>
    <t>Claudia Contreras De Alfaro</t>
  </si>
  <si>
    <t>Maria Ximena Ventura De Cano</t>
  </si>
  <si>
    <t>Claudia Lorena Miranda</t>
  </si>
  <si>
    <t>Velox abdomen, cintura y brazos</t>
  </si>
  <si>
    <t>Velox chaparrera y entrepierna</t>
  </si>
  <si>
    <t>Miriam Vanessa Castillo</t>
  </si>
  <si>
    <t>Dan Truner</t>
  </si>
  <si>
    <t>Ivon Figueroa</t>
  </si>
  <si>
    <t>Virginia Sanchez</t>
  </si>
  <si>
    <t>Blanca Carolina Orellana De Ramirez</t>
  </si>
  <si>
    <t>Shewni Ramirez</t>
  </si>
  <si>
    <t>Angie Gelves De Siero</t>
  </si>
  <si>
    <t>Lissette De Arana</t>
  </si>
  <si>
    <t>Maria Andrea Morales</t>
  </si>
  <si>
    <t>Teresa Franco</t>
  </si>
  <si>
    <t>Paulina Bixul</t>
  </si>
  <si>
    <t xml:space="preserve">Estibaliz Gutierrez </t>
  </si>
  <si>
    <t xml:space="preserve">Ana Caronila Viau </t>
  </si>
  <si>
    <t>Samara Toledo</t>
  </si>
  <si>
    <t>Alma Jasmin Ovalle</t>
  </si>
  <si>
    <t>Ninett Vargas</t>
  </si>
  <si>
    <t>Abono aplicación de botox</t>
  </si>
  <si>
    <t>Cancelaciòn aplicación de botox</t>
  </si>
  <si>
    <t>Cinthia Portillo</t>
  </si>
  <si>
    <t>Nicol Knebusch</t>
  </si>
  <si>
    <t>Stephanie Knebusch</t>
  </si>
  <si>
    <t>Evelyn Orantes De Garcia</t>
  </si>
  <si>
    <t>Nicole Ybarra</t>
  </si>
  <si>
    <t>Maria Jose Suarez</t>
  </si>
  <si>
    <t xml:space="preserve">Carlos Folgar </t>
  </si>
  <si>
    <t>Cinthia Coronado</t>
  </si>
  <si>
    <t>Rocio Cancinos</t>
  </si>
  <si>
    <t>Angie Luna</t>
  </si>
  <si>
    <t xml:space="preserve">Esther Sierra </t>
  </si>
  <si>
    <t>Erika De Rangel</t>
  </si>
  <si>
    <t>Silvia Liliana Castillo</t>
  </si>
  <si>
    <t>Mireya Campollo</t>
  </si>
  <si>
    <t>Delma Vasquez Morales</t>
  </si>
  <si>
    <t>Ivone Olivares</t>
  </si>
  <si>
    <t>Victor Hugo Morales</t>
  </si>
  <si>
    <t>Cecilia De Castillo</t>
  </si>
  <si>
    <t>Margarita Dominguez</t>
  </si>
  <si>
    <t>Concepcion Palma</t>
  </si>
  <si>
    <t>Luz Marina Menendez</t>
  </si>
  <si>
    <t>Ema De Rebuly</t>
  </si>
  <si>
    <t>Teresa De Jesus Pineda</t>
  </si>
  <si>
    <t>Margarita De Jerez</t>
  </si>
  <si>
    <t>Mara Baldizon</t>
  </si>
  <si>
    <t>Diana Castillo</t>
  </si>
  <si>
    <t>Maria Andre Bouscayrol</t>
  </si>
  <si>
    <t>Brenda Castañeda</t>
  </si>
  <si>
    <t>Maria Jose Padilla Reyes</t>
  </si>
  <si>
    <t xml:space="preserve">Juan Guzman </t>
  </si>
  <si>
    <t>Lorena Meyer</t>
  </si>
  <si>
    <t>Ana Luisa Merida</t>
  </si>
  <si>
    <t>Jackeline De Chavez</t>
  </si>
  <si>
    <t>Gabriela Chavez</t>
  </si>
  <si>
    <t>Ana Cupersmith</t>
  </si>
  <si>
    <t>Sandy Martinez</t>
  </si>
  <si>
    <t>Jhoana De Leon</t>
  </si>
  <si>
    <t>Rossana De Morales</t>
  </si>
  <si>
    <t>Silvia Fernandez</t>
  </si>
  <si>
    <t>Alejandra Gonzalez</t>
  </si>
  <si>
    <t>Maria Andree Lemus</t>
  </si>
  <si>
    <t>Maria Fernanda Ayala</t>
  </si>
  <si>
    <t>Carolina Ballesteros</t>
  </si>
  <si>
    <t>Marco Silva</t>
  </si>
  <si>
    <t>Jackeline Villagran</t>
  </si>
  <si>
    <t>Paola Castañeda</t>
  </si>
  <si>
    <t>Reyna Angelina Valenzuela</t>
  </si>
  <si>
    <t>Katherine Jordan</t>
  </si>
  <si>
    <t>Aplicación de botox (Nota de debito por complemento de factura no. 1845052112)</t>
  </si>
  <si>
    <t>Gema Arriaga</t>
  </si>
  <si>
    <t>Romilo Martinez</t>
  </si>
  <si>
    <t>Margarita Wever</t>
  </si>
  <si>
    <t>Jenny Sanchez</t>
  </si>
  <si>
    <t>Alejandra Luna</t>
  </si>
  <si>
    <t>Silvia Alejandra Mendizabal</t>
  </si>
  <si>
    <t>Wendy Gonzalez</t>
  </si>
  <si>
    <t>Isabel De Garzouzi</t>
  </si>
  <si>
    <t>Ana Maria Saravia</t>
  </si>
  <si>
    <t>Paola Monteagugo</t>
  </si>
  <si>
    <t>Gabriela Quiroa</t>
  </si>
  <si>
    <t>Maria Elizabeth Gonzalez</t>
  </si>
  <si>
    <t>Virginia Morales</t>
  </si>
  <si>
    <t>Elizabeth Morales</t>
  </si>
  <si>
    <t>Krisla Ramirez Orellana</t>
  </si>
  <si>
    <t>Cristina Gudiel</t>
  </si>
  <si>
    <t>Mariana De La Cruz</t>
  </si>
  <si>
    <t>Jessica Solis</t>
  </si>
  <si>
    <t>Michelle Melville</t>
  </si>
  <si>
    <t>Peggy Crowe</t>
  </si>
  <si>
    <t>Ana Cristina Roca</t>
  </si>
  <si>
    <t>Ana Carolina Roca</t>
  </si>
  <si>
    <t>Deidree Stephanie Kneeland</t>
  </si>
  <si>
    <t>Karla Zelaya</t>
  </si>
  <si>
    <t>Jimena Flores</t>
  </si>
  <si>
    <t>Carlos De La Vega</t>
  </si>
  <si>
    <t>Rossi Giron</t>
  </si>
  <si>
    <t>Nioo trinity abdomen, cintura, espalda y brazos</t>
  </si>
  <si>
    <t>Maria Begoña De Zimeri</t>
  </si>
  <si>
    <t>Nioo trinity abdomen, cintura, caderas y medias piernas</t>
  </si>
  <si>
    <t>Sedación</t>
  </si>
  <si>
    <t>Meylin De Leon</t>
  </si>
  <si>
    <t>Por servicio de sedación</t>
  </si>
  <si>
    <t>Maria Palma</t>
  </si>
  <si>
    <t>Crema equilibrante protectra (Germaine)</t>
  </si>
  <si>
    <t>Mariana Orellana</t>
  </si>
  <si>
    <t>Ana Maria Cofiño</t>
  </si>
  <si>
    <t>C furulic edafence serum</t>
  </si>
  <si>
    <t>María Fernanda Del Carmen Mejia</t>
  </si>
  <si>
    <t xml:space="preserve">Estefani Maria Gonzalez </t>
  </si>
  <si>
    <t>Virginia Castillo</t>
  </si>
  <si>
    <t>Aplicación de acido hiluronico</t>
  </si>
  <si>
    <t>Andrea Archila</t>
  </si>
  <si>
    <t>Depilación aureola</t>
  </si>
  <si>
    <t xml:space="preserve">Maria Esperaza Barrutia </t>
  </si>
  <si>
    <t xml:space="preserve">Depilación de bigote </t>
  </si>
  <si>
    <t xml:space="preserve">Ximena Ventura </t>
  </si>
  <si>
    <t xml:space="preserve">Depilación espalda </t>
  </si>
  <si>
    <t xml:space="preserve">Depilación axila </t>
  </si>
  <si>
    <t>Jocob Cifuentes Veliz</t>
  </si>
  <si>
    <t>Emilio Antonio Enriquez</t>
  </si>
  <si>
    <t>Exilis abdomen, cintura, espalda y pectoral</t>
  </si>
  <si>
    <t xml:space="preserve">Isabel Figueroa Buezo </t>
  </si>
  <si>
    <t>Karen Remon</t>
  </si>
  <si>
    <t>Exilis brazos y espalda alta</t>
  </si>
  <si>
    <t xml:space="preserve">Ana Cristina de Rios </t>
  </si>
  <si>
    <t>Alicia Sagastume</t>
  </si>
  <si>
    <t>Ana Lucrecia Caceros</t>
  </si>
  <si>
    <t>Mara ale</t>
  </si>
  <si>
    <t>Maria Fernanda Remon</t>
  </si>
  <si>
    <t xml:space="preserve">Carlos Rodolfo De La Vega </t>
  </si>
  <si>
    <t>Dra Carolina Martinez</t>
  </si>
  <si>
    <t>Erica Mancilla</t>
  </si>
  <si>
    <t>Jacqueline Rottman</t>
  </si>
  <si>
    <t>Laboratorios pellets femenino</t>
  </si>
  <si>
    <t>Cecilia Caceres</t>
  </si>
  <si>
    <t>Mesoterapia reductora axila, espalda baja, cara interna de pierna y area pubica</t>
  </si>
  <si>
    <t>Maria Eugenia Madrid</t>
  </si>
  <si>
    <t>Ana Lucia Montes De Castillo</t>
  </si>
  <si>
    <t>Vanessa Smith De Vargas</t>
  </si>
  <si>
    <t>Silvia Barrios Palacios</t>
  </si>
  <si>
    <t>Jose Ricardo Zimeri Descamps</t>
  </si>
  <si>
    <t>Hilda Maria Zimeri</t>
  </si>
  <si>
    <t>Luis Stuardo Zimeri Descamps</t>
  </si>
  <si>
    <t>Hilda Maria Descamps De Zimeri</t>
  </si>
  <si>
    <t>Morpheus rodilla 20 centimetro hacia arriba</t>
  </si>
  <si>
    <t>Morpheus abdomen completo enfatizando ombligo</t>
  </si>
  <si>
    <t>Morpheus espalda completa enfatizando en zona con mayor flacidez</t>
  </si>
  <si>
    <t>Mayra Papi</t>
  </si>
  <si>
    <t xml:space="preserve">Yaneth De Velez </t>
  </si>
  <si>
    <t xml:space="preserve">Rony Alexis Caballero </t>
  </si>
  <si>
    <t>Radiofrecuencia abdomen, cintura, espalda baja y entrepierna</t>
  </si>
  <si>
    <t xml:space="preserve">Maziel Arango </t>
  </si>
  <si>
    <t xml:space="preserve">Abono a tratamiento radiofrecuencia rostro y cuello </t>
  </si>
  <si>
    <t>Ana Lucia Bonatti</t>
  </si>
  <si>
    <t>Pamela Gutierrez Saban</t>
  </si>
  <si>
    <t>Velox reductor abdomen y cintura</t>
  </si>
  <si>
    <t>Velox abdomen, cintura y gorditos espalda alta</t>
  </si>
  <si>
    <t xml:space="preserve">Velox abdomen, banana roll, entrepierna y chaparreras </t>
  </si>
  <si>
    <t>Estuardo Robles</t>
  </si>
  <si>
    <t xml:space="preserve">Anabella Toriello </t>
  </si>
  <si>
    <t xml:space="preserve">Aplicación de vitamina C intravenosa </t>
  </si>
  <si>
    <t xml:space="preserve">Karla Bonatti </t>
  </si>
  <si>
    <t>Jose Ignacio Bolaños Arriola</t>
  </si>
  <si>
    <t>Cancelación tratamiento spectra ginecologico</t>
  </si>
  <si>
    <t>Jeny Marcela Cardona</t>
  </si>
  <si>
    <t>Rossy Giron</t>
  </si>
  <si>
    <t>Monica Barillas Toledo</t>
  </si>
  <si>
    <t>Yeaneth Rosmery Maria Romero</t>
  </si>
  <si>
    <t>Nioo trinity abdomen, cintura, chaparrera y parte posterior de la pierna</t>
  </si>
  <si>
    <t>Nioo trinity abdomen, cintura y espalda</t>
  </si>
  <si>
    <t xml:space="preserve">Miguel Martinez </t>
  </si>
  <si>
    <t xml:space="preserve">Karla Sapper </t>
  </si>
  <si>
    <t xml:space="preserve">Norma de Barquin </t>
  </si>
  <si>
    <t xml:space="preserve">Marcela Barquin </t>
  </si>
  <si>
    <t xml:space="preserve">Johana de Leon </t>
  </si>
  <si>
    <t xml:space="preserve">Anali de Galindo </t>
  </si>
  <si>
    <t xml:space="preserve">Maria Eugenia Madrid </t>
  </si>
  <si>
    <t xml:space="preserve">Nadia Melendez Garcia </t>
  </si>
  <si>
    <t xml:space="preserve">Luisa de Frech </t>
  </si>
  <si>
    <t xml:space="preserve">Claudia Arrecis </t>
  </si>
  <si>
    <t>Crema Venustras</t>
  </si>
  <si>
    <t>Beauty Collagen advanced (Protocol)</t>
  </si>
  <si>
    <t xml:space="preserve">RHA Serum </t>
  </si>
  <si>
    <t>Fotoprotector FusionWater color (Isdin)</t>
  </si>
  <si>
    <t xml:space="preserve">Contorno de ojos Teoxane </t>
  </si>
  <si>
    <t>3d Lips Teoxane</t>
  </si>
  <si>
    <t xml:space="preserve">RHA Agua Micelar </t>
  </si>
  <si>
    <t>Cheque $</t>
  </si>
  <si>
    <t xml:space="preserve">Carlos Colindres </t>
  </si>
  <si>
    <t xml:space="preserve">Velo de acido hialuronico </t>
  </si>
  <si>
    <t xml:space="preserve">Heidy Colindres </t>
  </si>
  <si>
    <t xml:space="preserve">Maria de Leon </t>
  </si>
  <si>
    <t xml:space="preserve">Lessette Sanchez </t>
  </si>
  <si>
    <t xml:space="preserve">Michelle de Reitzel </t>
  </si>
  <si>
    <t>Depilacion axila</t>
  </si>
  <si>
    <t xml:space="preserve">Ana Mercedes Flores </t>
  </si>
  <si>
    <t xml:space="preserve">Depilación piernas </t>
  </si>
  <si>
    <t xml:space="preserve">Luisa Fernanda Lemus </t>
  </si>
  <si>
    <t xml:space="preserve">Marilu Pierri </t>
  </si>
  <si>
    <t xml:space="preserve">Depilación bikini completo </t>
  </si>
  <si>
    <t xml:space="preserve">Jose Manuel Castellanos </t>
  </si>
  <si>
    <t xml:space="preserve">Silvia Chacon de Sandoval </t>
  </si>
  <si>
    <t xml:space="preserve">Emtone corporal </t>
  </si>
  <si>
    <t xml:space="preserve">Magui Villela </t>
  </si>
  <si>
    <t xml:space="preserve">Sissel Morales </t>
  </si>
  <si>
    <t xml:space="preserve">Maria Esperanza Barrutia </t>
  </si>
  <si>
    <t xml:space="preserve">Exilis rostro y cuello </t>
  </si>
  <si>
    <t xml:space="preserve">Monica Martinez </t>
  </si>
  <si>
    <t xml:space="preserve">Exilis abdomen completo, cintura y espalda completa </t>
  </si>
  <si>
    <t xml:space="preserve">Sergio Rodrguez </t>
  </si>
  <si>
    <t xml:space="preserve">Natty Rios </t>
  </si>
  <si>
    <t xml:space="preserve">Exilis abdomen bajo, cintura, espaldamedia y baja </t>
  </si>
  <si>
    <t xml:space="preserve">Exilis Corporal </t>
  </si>
  <si>
    <t xml:space="preserve">Kevin Revolorio </t>
  </si>
  <si>
    <t xml:space="preserve">Exilis corporal </t>
  </si>
  <si>
    <t xml:space="preserve">Gustavo Cancinos </t>
  </si>
  <si>
    <t xml:space="preserve">Andres Paiz </t>
  </si>
  <si>
    <t xml:space="preserve">David Solorzano </t>
  </si>
  <si>
    <t xml:space="preserve">Marjorie Manzo </t>
  </si>
  <si>
    <t xml:space="preserve">Ana Lucia Martinez </t>
  </si>
  <si>
    <t xml:space="preserve">Sara Alvarez </t>
  </si>
  <si>
    <t xml:space="preserve">Karen Albon </t>
  </si>
  <si>
    <t xml:space="preserve">Elizabeth Molina </t>
  </si>
  <si>
    <t xml:space="preserve">Elena Flores </t>
  </si>
  <si>
    <t xml:space="preserve">Vivian Castillo </t>
  </si>
  <si>
    <t xml:space="preserve">Mesoterapia reductora abdomen bajo, cintura, espaldamedia y baja </t>
  </si>
  <si>
    <t xml:space="preserve">Yaneth Zabla </t>
  </si>
  <si>
    <t xml:space="preserve">Mesoterapia Corporal </t>
  </si>
  <si>
    <t xml:space="preserve">Ruth Galindo </t>
  </si>
  <si>
    <t xml:space="preserve">Maria Jose Alvarez </t>
  </si>
  <si>
    <t xml:space="preserve">Evelyn Cerna </t>
  </si>
  <si>
    <t xml:space="preserve">Maria Regina Palma </t>
  </si>
  <si>
    <t xml:space="preserve">PRP rostro y cuello </t>
  </si>
  <si>
    <t>Claudia Soch</t>
  </si>
  <si>
    <t xml:space="preserve">Andrea Osorio </t>
  </si>
  <si>
    <t xml:space="preserve">Edna Solares </t>
  </si>
  <si>
    <t xml:space="preserve">Rocio Martinez de Orellana </t>
  </si>
  <si>
    <t xml:space="preserve">Mabby Morales </t>
  </si>
  <si>
    <t xml:space="preserve">PRP capilar </t>
  </si>
  <si>
    <t xml:space="preserve">Yanira Chacon </t>
  </si>
  <si>
    <t xml:space="preserve">Veronica de Sagastume </t>
  </si>
  <si>
    <t xml:space="preserve">Mary Contreras </t>
  </si>
  <si>
    <t xml:space="preserve">Maria Rozotto </t>
  </si>
  <si>
    <t xml:space="preserve">Yanett de Velez </t>
  </si>
  <si>
    <t xml:space="preserve">Gloria Ralda </t>
  </si>
  <si>
    <t xml:space="preserve">Bervely Cordon </t>
  </si>
  <si>
    <t xml:space="preserve">PRP rostro, cuello y escote </t>
  </si>
  <si>
    <t xml:space="preserve">Marisol Coronado </t>
  </si>
  <si>
    <t xml:space="preserve">Radiofrecuencia rostro y cuello </t>
  </si>
  <si>
    <t xml:space="preserve">Heidy Ortega </t>
  </si>
  <si>
    <t xml:space="preserve">Yovani Orellana </t>
  </si>
  <si>
    <t xml:space="preserve">Diana Ramirez </t>
  </si>
  <si>
    <t xml:space="preserve">Sonia Chiroy </t>
  </si>
  <si>
    <t xml:space="preserve">Xilone Galo </t>
  </si>
  <si>
    <t xml:space="preserve">Ana Maria </t>
  </si>
  <si>
    <t xml:space="preserve">Yecenia Alfaro </t>
  </si>
  <si>
    <t xml:space="preserve">Luis Araya </t>
  </si>
  <si>
    <t xml:space="preserve">Amelia Smith </t>
  </si>
  <si>
    <t xml:space="preserve">Obdulio Gomez </t>
  </si>
  <si>
    <t xml:space="preserve">Gabriela Toledo </t>
  </si>
  <si>
    <t>Abono a tratamiento Emsculpt abdomen</t>
  </si>
  <si>
    <t xml:space="preserve">Jaqueline Rottman </t>
  </si>
  <si>
    <t xml:space="preserve">Ana Isabel Buezo </t>
  </si>
  <si>
    <t xml:space="preserve">Ana Gabriela Palma </t>
  </si>
  <si>
    <t xml:space="preserve">Vanessa Colombi </t>
  </si>
  <si>
    <t xml:space="preserve">Zorina Chaya </t>
  </si>
  <si>
    <t xml:space="preserve">Abono a suero glutation </t>
  </si>
  <si>
    <t>Suero Glutation</t>
  </si>
  <si>
    <t xml:space="preserve">Vanesa Smith de Vargas </t>
  </si>
  <si>
    <t xml:space="preserve">Fabiola de Sanchez </t>
  </si>
  <si>
    <t xml:space="preserve">Jose Miguel Rosa </t>
  </si>
  <si>
    <t xml:space="preserve">Claudia Alfaro </t>
  </si>
  <si>
    <t xml:space="preserve">Nioo trinity chapparrera y parte posterior de la pierna </t>
  </si>
  <si>
    <t xml:space="preserve">Nioo trinity </t>
  </si>
  <si>
    <t>Nioo trinity</t>
  </si>
  <si>
    <t xml:space="preserve">Claudia de Castillo </t>
  </si>
  <si>
    <t>Paola Zelada</t>
  </si>
  <si>
    <t xml:space="preserve">Rosa Virginia Cappa </t>
  </si>
  <si>
    <t xml:space="preserve">Kristel Cappa </t>
  </si>
  <si>
    <t>Tensage cream (ENDOCARE)</t>
  </si>
  <si>
    <t xml:space="preserve">Fotoprotctor FusionWater color (ISDIN) </t>
  </si>
  <si>
    <t xml:space="preserve">Kit Age Cure (Germaine de Capuccini) </t>
  </si>
  <si>
    <t>Beauty collagen advanced (Protocol)</t>
  </si>
  <si>
    <t xml:space="preserve">Mariana Orellana </t>
  </si>
  <si>
    <t xml:space="preserve">Aplicación acido hialuronico </t>
  </si>
  <si>
    <t xml:space="preserve">Claudia Contreras de Alfaro </t>
  </si>
  <si>
    <t xml:space="preserve">Ivanna Flores </t>
  </si>
  <si>
    <t xml:space="preserve">Michele de Reitzel </t>
  </si>
  <si>
    <t xml:space="preserve">Wendy Villa </t>
  </si>
  <si>
    <t>Amanda Lemuz</t>
  </si>
  <si>
    <t xml:space="preserve">Depilacion piernas completas </t>
  </si>
  <si>
    <t xml:space="preserve">Depilacion abdomen </t>
  </si>
  <si>
    <t xml:space="preserve">Depilacion axila </t>
  </si>
  <si>
    <t xml:space="preserve">Depilacion bikini </t>
  </si>
  <si>
    <t xml:space="preserve">Depilación bikini </t>
  </si>
  <si>
    <t xml:space="preserve">Depilación interglutea </t>
  </si>
  <si>
    <t xml:space="preserve">Diana Linarez Mazariegos </t>
  </si>
  <si>
    <t xml:space="preserve">Emsculpt glúteos </t>
  </si>
  <si>
    <t xml:space="preserve">Julia Sapper </t>
  </si>
  <si>
    <t xml:space="preserve">Exilis rostro </t>
  </si>
  <si>
    <t xml:space="preserve">Olga Lucia Tercero </t>
  </si>
  <si>
    <t xml:space="preserve">Claudia Morales </t>
  </si>
  <si>
    <t xml:space="preserve">Facial Purificante </t>
  </si>
  <si>
    <t xml:space="preserve">Andrea Lopez </t>
  </si>
  <si>
    <t xml:space="preserve">Josselyn Fajardo </t>
  </si>
  <si>
    <t xml:space="preserve">Ayleen Alvarado </t>
  </si>
  <si>
    <t xml:space="preserve">Kirin Primalani </t>
  </si>
  <si>
    <t xml:space="preserve">Hydrafacial </t>
  </si>
  <si>
    <t xml:space="preserve">Evelyn Soc </t>
  </si>
  <si>
    <t>Ana Lucia Montes</t>
  </si>
  <si>
    <t xml:space="preserve">Huerta Reina </t>
  </si>
  <si>
    <t xml:space="preserve">Laboratorios </t>
  </si>
  <si>
    <t xml:space="preserve">Silvia Rivera </t>
  </si>
  <si>
    <t xml:space="preserve">Masaje linfatico </t>
  </si>
  <si>
    <t xml:space="preserve">Scarlet Guevara </t>
  </si>
  <si>
    <t xml:space="preserve">Vilma Brown </t>
  </si>
  <si>
    <t xml:space="preserve">Morpheus rostro y ciello </t>
  </si>
  <si>
    <t xml:space="preserve">Rolando Archila </t>
  </si>
  <si>
    <t xml:space="preserve">Ana Gisela Castillo </t>
  </si>
  <si>
    <t xml:space="preserve">Morpheus piernas </t>
  </si>
  <si>
    <t xml:space="preserve">Gabrila Lopez </t>
  </si>
  <si>
    <t xml:space="preserve">Morpheus rostro y cuello </t>
  </si>
  <si>
    <t xml:space="preserve">Juliana Bueno </t>
  </si>
  <si>
    <t>Paola Sandoval</t>
  </si>
  <si>
    <t xml:space="preserve">Ana Lucrecia Botran </t>
  </si>
  <si>
    <t>PRP Rostro</t>
  </si>
  <si>
    <t>Anna Siekavizza</t>
  </si>
  <si>
    <t xml:space="preserve">Miriam Diaz </t>
  </si>
  <si>
    <t xml:space="preserve">Ana Luisa Montes </t>
  </si>
  <si>
    <t xml:space="preserve">Maria Mercedes Zelaya </t>
  </si>
  <si>
    <t xml:space="preserve">Aracely Boguerin </t>
  </si>
  <si>
    <t xml:space="preserve">Radiofrecuencia abdomen, cintura y medias  piernas completas
</t>
  </si>
  <si>
    <t xml:space="preserve">Valeska de Mendoza </t>
  </si>
  <si>
    <t xml:space="preserve">Ultrasonido post-operatorio </t>
  </si>
  <si>
    <t xml:space="preserve">Velox abdomen, cintura, chaparrera y banana roll  
</t>
  </si>
  <si>
    <t xml:space="preserve">Patricia Godoy </t>
  </si>
  <si>
    <t xml:space="preserve">Maria Meany </t>
  </si>
  <si>
    <t xml:space="preserve">Ronald Garcia </t>
  </si>
  <si>
    <t xml:space="preserve">Abono aplicación de vitamina C intravenosa </t>
  </si>
  <si>
    <t xml:space="preserve">Cancelacion aplicación de vitamina C intravenosa </t>
  </si>
  <si>
    <t xml:space="preserve">Delmi Garcia </t>
  </si>
  <si>
    <t xml:space="preserve">Karen Illescas </t>
  </si>
  <si>
    <t xml:space="preserve">Karla Sapper de Bonati </t>
  </si>
  <si>
    <t xml:space="preserve">Ana Maria Teran </t>
  </si>
  <si>
    <t xml:space="preserve">Dermapen rostro y cuello </t>
  </si>
  <si>
    <t xml:space="preserve">Wendy Lopez </t>
  </si>
  <si>
    <t xml:space="preserve">Procedimiento de celulas madre </t>
  </si>
  <si>
    <t xml:space="preserve">Irma Marroquin </t>
  </si>
  <si>
    <t xml:space="preserve">Spectra ginecologico </t>
  </si>
  <si>
    <t xml:space="preserve">Ronald Hernandez </t>
  </si>
  <si>
    <t xml:space="preserve">Oscilacion profunda </t>
  </si>
  <si>
    <t xml:space="preserve">Sofia del Rosario </t>
  </si>
  <si>
    <t xml:space="preserve">Rosalina Donis </t>
  </si>
  <si>
    <t xml:space="preserve">Norma Pineda </t>
  </si>
  <si>
    <t xml:space="preserve">Patricia Sandoval </t>
  </si>
  <si>
    <t xml:space="preserve">Nioo trinity abdomen, cintura, chaparrea y parte posterior de piernas
</t>
  </si>
  <si>
    <t xml:space="preserve">Jose Palacios </t>
  </si>
  <si>
    <t xml:space="preserve">Frasco de protocol colageno con acido hialuronico </t>
  </si>
  <si>
    <t>Marilyn Barascout</t>
  </si>
  <si>
    <t>Jabon Biretix</t>
  </si>
  <si>
    <t xml:space="preserve">C ferulic Edafence Serum </t>
  </si>
  <si>
    <t xml:space="preserve">Carolina del Rosario Flores </t>
  </si>
  <si>
    <t xml:space="preserve">Luis Magaña </t>
  </si>
  <si>
    <t>Protector solar gel oil-free 360 (HELIOCARE)</t>
  </si>
  <si>
    <t xml:space="preserve">Clara Conde </t>
  </si>
  <si>
    <t xml:space="preserve">Depilación abdomen </t>
  </si>
  <si>
    <t xml:space="preserve">Exils rostro y cuello </t>
  </si>
  <si>
    <t xml:space="preserve">Bessy Chan </t>
  </si>
  <si>
    <t>Paola Maria Monteagudo</t>
  </si>
  <si>
    <t xml:space="preserve">Andrea Lopez Mendez </t>
  </si>
  <si>
    <t xml:space="preserve">Maria Teresa Arriola </t>
  </si>
  <si>
    <t xml:space="preserve">Hifu ovalo facial y papada </t>
  </si>
  <si>
    <t xml:space="preserve">Ronal Hernandez </t>
  </si>
  <si>
    <t xml:space="preserve">Morpheus busto </t>
  </si>
  <si>
    <t xml:space="preserve">Morpheus rostro y cuello  </t>
  </si>
  <si>
    <t xml:space="preserve">Maria Elena Cruz </t>
  </si>
  <si>
    <t xml:space="preserve">Ana Luisa Montenegro </t>
  </si>
  <si>
    <t xml:space="preserve">Iris Carmina Gonzalez </t>
  </si>
  <si>
    <t xml:space="preserve">Vanessa Smith de Vargas </t>
  </si>
  <si>
    <t xml:space="preserve">Karen Wantland </t>
  </si>
  <si>
    <t>Glendy Monzon</t>
  </si>
  <si>
    <t xml:space="preserve">Marleny Meany </t>
  </si>
  <si>
    <t xml:space="preserve">Elisa Gil de Dedet </t>
  </si>
  <si>
    <t xml:space="preserve">Lilian Cobox </t>
  </si>
  <si>
    <t xml:space="preserve">Javier Estuardo del Valle </t>
  </si>
  <si>
    <t xml:space="preserve">Oscilación profunda ovalo, papada y cuello </t>
  </si>
  <si>
    <t xml:space="preserve">Oscilación profunda </t>
  </si>
  <si>
    <t xml:space="preserve">Pablo Palma </t>
  </si>
  <si>
    <t xml:space="preserve">Suero Glutation </t>
  </si>
  <si>
    <t xml:space="preserve">Avene agua termal </t>
  </si>
  <si>
    <t xml:space="preserve">Olga Lucia de Tercero </t>
  </si>
  <si>
    <t xml:space="preserve">Gloria Maria Padilla </t>
  </si>
  <si>
    <t xml:space="preserve">Jose Morales </t>
  </si>
  <si>
    <t xml:space="preserve">Beatriz Fernandez </t>
  </si>
  <si>
    <t xml:space="preserve">Xxtralash </t>
  </si>
  <si>
    <t>3D Lip (Teoxane)</t>
  </si>
  <si>
    <t>Ampollas Flash (MARTIDERM)</t>
  </si>
  <si>
    <t xml:space="preserve">Ana Marina Martinez </t>
  </si>
  <si>
    <t xml:space="preserve">Ingrid Murga Gonzalez </t>
  </si>
  <si>
    <t>Contorno de ojos (PROTOCOL)</t>
  </si>
  <si>
    <t xml:space="preserve">Astrid Alvarado </t>
  </si>
  <si>
    <t>RHA serum (TEOXANE)</t>
  </si>
  <si>
    <t xml:space="preserve">Margarita Wever </t>
  </si>
  <si>
    <t xml:space="preserve">Heidi Garcia </t>
  </si>
  <si>
    <t xml:space="preserve">Sofia de Muñoz </t>
  </si>
  <si>
    <t xml:space="preserve">Sonia Oviedo </t>
  </si>
  <si>
    <t>Kit limtox (PHARMALAT)</t>
  </si>
  <si>
    <t xml:space="preserve">Ana Elizabeth Molina </t>
  </si>
  <si>
    <t xml:space="preserve">Aplicación acido hialuronico labios </t>
  </si>
  <si>
    <t xml:space="preserve">Aplicación acido hialuronico nariz </t>
  </si>
  <si>
    <t>Aplicación acido hialuronico labios</t>
  </si>
  <si>
    <t xml:space="preserve">Gabriela Toledo Torres </t>
  </si>
  <si>
    <t xml:space="preserve">Betzalia Arreaga </t>
  </si>
  <si>
    <t>Aplicación acido hialuronico surcos</t>
  </si>
  <si>
    <t xml:space="preserve">Tania Rojas </t>
  </si>
  <si>
    <t xml:space="preserve">Aplicación de acido hialuronico nariz </t>
  </si>
  <si>
    <t xml:space="preserve">Gladys del Cid </t>
  </si>
  <si>
    <t xml:space="preserve">Aplicación de hialuronico ojeras </t>
  </si>
  <si>
    <t xml:space="preserve">Paola Castañeda </t>
  </si>
  <si>
    <t xml:space="preserve">Aplicación de hialuronico surcos </t>
  </si>
  <si>
    <t xml:space="preserve">Ingrid Mocoso </t>
  </si>
  <si>
    <t xml:space="preserve">Abono Depilación axila </t>
  </si>
  <si>
    <t xml:space="preserve">Cancelación depilación axila </t>
  </si>
  <si>
    <t xml:space="preserve">Erick Villagran </t>
  </si>
  <si>
    <t xml:space="preserve">Depilación cuello </t>
  </si>
  <si>
    <t>Michelle de Reitzel</t>
  </si>
  <si>
    <t xml:space="preserve">Sandra Recinos </t>
  </si>
  <si>
    <t xml:space="preserve">Depilación rostro completo </t>
  </si>
  <si>
    <t xml:space="preserve">Jose Luis Alfaro </t>
  </si>
  <si>
    <t xml:space="preserve">Depilación bigote </t>
  </si>
  <si>
    <t xml:space="preserve">Renata de Sandoval </t>
  </si>
  <si>
    <t xml:space="preserve">Maria Jose Herrera </t>
  </si>
  <si>
    <t xml:space="preserve">Monica de Garcia </t>
  </si>
  <si>
    <t xml:space="preserve">Exillis corporal </t>
  </si>
  <si>
    <t xml:space="preserve">Maria Rene Vasquez </t>
  </si>
  <si>
    <t xml:space="preserve">Astrid Galvez </t>
  </si>
  <si>
    <t>Patricia Cabane</t>
  </si>
  <si>
    <t xml:space="preserve">Anna Siekavizza </t>
  </si>
  <si>
    <t xml:space="preserve">Joseline Rodriguez </t>
  </si>
  <si>
    <t xml:space="preserve">Masaje Linfatico </t>
  </si>
  <si>
    <t xml:space="preserve">Mesoterapia Coporal </t>
  </si>
  <si>
    <t xml:space="preserve">Jose Gustavo Morales </t>
  </si>
  <si>
    <t xml:space="preserve">Morpheus rostro, cuello y escote </t>
  </si>
  <si>
    <t xml:space="preserve">Ada Salguero </t>
  </si>
  <si>
    <t xml:space="preserve">Silvia Cabrera </t>
  </si>
  <si>
    <t xml:space="preserve">Aplicación de profhilo </t>
  </si>
  <si>
    <t xml:space="preserve">Sandra Beatriz Alvarado </t>
  </si>
  <si>
    <t>Radiofrecuencia corporal</t>
  </si>
  <si>
    <t>Velox corporal</t>
  </si>
  <si>
    <t xml:space="preserve">Silvia Villanueva </t>
  </si>
  <si>
    <t>Gerardo Bonatti</t>
  </si>
  <si>
    <t xml:space="preserve">Saudi Bernardo </t>
  </si>
  <si>
    <t xml:space="preserve">Rocio Martinez </t>
  </si>
  <si>
    <t xml:space="preserve">Jose Rosas </t>
  </si>
  <si>
    <t xml:space="preserve">Sonia Merida </t>
  </si>
  <si>
    <t xml:space="preserve">Evelyn Hernandez </t>
  </si>
  <si>
    <t xml:space="preserve">Delia Chour </t>
  </si>
  <si>
    <t xml:space="preserve">Lorena Abularach </t>
  </si>
  <si>
    <t xml:space="preserve">Evelyn de Garcia </t>
  </si>
  <si>
    <t xml:space="preserve">Alba de Gonzalez </t>
  </si>
  <si>
    <t xml:space="preserve">Clarissa de Gonzalez </t>
  </si>
  <si>
    <t xml:space="preserve">Ana Luisa Martinez </t>
  </si>
  <si>
    <t xml:space="preserve">Heide Reinoso </t>
  </si>
  <si>
    <t xml:space="preserve">Andrea Meany </t>
  </si>
  <si>
    <t xml:space="preserve">Virginia Hernandez </t>
  </si>
  <si>
    <t xml:space="preserve">Samara Toledo </t>
  </si>
  <si>
    <t xml:space="preserve">Raquel Calderon </t>
  </si>
  <si>
    <t xml:space="preserve">Karla Arias </t>
  </si>
  <si>
    <t xml:space="preserve">Lorena Arias </t>
  </si>
  <si>
    <t xml:space="preserve">Ilse Eckstein </t>
  </si>
  <si>
    <t xml:space="preserve">Lucrecia Paiz </t>
  </si>
  <si>
    <t xml:space="preserve">Maria Rene Solares </t>
  </si>
  <si>
    <t xml:space="preserve">Ximena Pinto </t>
  </si>
  <si>
    <t xml:space="preserve">Marlin Caceres </t>
  </si>
  <si>
    <t xml:space="preserve">Regina Merida </t>
  </si>
  <si>
    <t xml:space="preserve">Isabel Garzaro </t>
  </si>
  <si>
    <t xml:space="preserve">Katia de Palacios </t>
  </si>
  <si>
    <t xml:space="preserve">Astrid de Quan </t>
  </si>
  <si>
    <t xml:space="preserve">Julio Quan </t>
  </si>
  <si>
    <t xml:space="preserve">Dafne Romero </t>
  </si>
  <si>
    <t xml:space="preserve">Jameth Castellanos </t>
  </si>
  <si>
    <t xml:space="preserve">Ana Cecilia Cardenas </t>
  </si>
  <si>
    <t xml:space="preserve">Paulina Andrade </t>
  </si>
  <si>
    <t xml:space="preserve">Aracely Gonzalez </t>
  </si>
  <si>
    <t xml:space="preserve">Eunice Lara </t>
  </si>
  <si>
    <t xml:space="preserve">Carla Saravia </t>
  </si>
  <si>
    <t xml:space="preserve">Teresa Pineda </t>
  </si>
  <si>
    <t xml:space="preserve">Gabriela Quiroa </t>
  </si>
  <si>
    <t xml:space="preserve">Margarita Dominguez </t>
  </si>
  <si>
    <t xml:space="preserve">Carolina Ballesteros </t>
  </si>
  <si>
    <t xml:space="preserve">Beatriz Cerezo </t>
  </si>
  <si>
    <t xml:space="preserve">Marlenne Meany </t>
  </si>
  <si>
    <t xml:space="preserve">Irma Rivera </t>
  </si>
  <si>
    <t xml:space="preserve">Mery Valdez </t>
  </si>
  <si>
    <t xml:space="preserve">Anelly Arroyave </t>
  </si>
  <si>
    <t xml:space="preserve">Ana Lorena Meyer </t>
  </si>
  <si>
    <t xml:space="preserve">Lidia Coronado </t>
  </si>
  <si>
    <t xml:space="preserve">Delma Vasquez </t>
  </si>
  <si>
    <t xml:space="preserve">Camila Orantes </t>
  </si>
  <si>
    <t xml:space="preserve">Margarita Cordon </t>
  </si>
  <si>
    <t xml:space="preserve">Marina de Morales </t>
  </si>
  <si>
    <t xml:space="preserve">Maria Jose Morales </t>
  </si>
  <si>
    <t xml:space="preserve">Maria Amalia Rodriguez </t>
  </si>
  <si>
    <t xml:space="preserve">Karina Martinez </t>
  </si>
  <si>
    <t xml:space="preserve">Samara Estrada </t>
  </si>
  <si>
    <t xml:space="preserve">Marcela Escobar </t>
  </si>
  <si>
    <t xml:space="preserve">Nora Seng </t>
  </si>
  <si>
    <t xml:space="preserve">Maria Alejandra Juarez </t>
  </si>
  <si>
    <t xml:space="preserve">Maria jose Juarez </t>
  </si>
  <si>
    <t xml:space="preserve">Diana Reyes </t>
  </si>
  <si>
    <t xml:space="preserve">Marco Silva </t>
  </si>
  <si>
    <t xml:space="preserve">Isabel Medina </t>
  </si>
  <si>
    <t xml:space="preserve">Moira Kachler </t>
  </si>
  <si>
    <t xml:space="preserve">Maria Fernandez </t>
  </si>
  <si>
    <t>Adda Azzari</t>
  </si>
  <si>
    <t xml:space="preserve">Ana Morales </t>
  </si>
  <si>
    <t xml:space="preserve">Ericka Aguilar </t>
  </si>
  <si>
    <t xml:space="preserve">Karin Rios </t>
  </si>
  <si>
    <t xml:space="preserve">Abono a emsculpt </t>
  </si>
  <si>
    <t>Nioo Trinity</t>
  </si>
  <si>
    <t xml:space="preserve">Marlin Caceres De Lopez </t>
  </si>
  <si>
    <t>Aplicación de acido hialuronico surcos</t>
  </si>
  <si>
    <t xml:space="preserve">Alicia Morales de Muñoz </t>
  </si>
  <si>
    <t xml:space="preserve">Gabriela Lopez </t>
  </si>
  <si>
    <t xml:space="preserve">Linea telefonica </t>
  </si>
  <si>
    <t xml:space="preserve">Margarita Jerez de Monzon </t>
  </si>
  <si>
    <t xml:space="preserve">Margarita Gonzalez de Jerez </t>
  </si>
  <si>
    <t xml:space="preserve">Olga Melita de Paz </t>
  </si>
  <si>
    <t xml:space="preserve">Monica Teresa Sosa </t>
  </si>
  <si>
    <t xml:space="preserve">Mayte Telles de Jerez </t>
  </si>
  <si>
    <t xml:space="preserve">Veronica de Davila </t>
  </si>
  <si>
    <t xml:space="preserve">Merlyn Melgar </t>
  </si>
  <si>
    <t xml:space="preserve">Claudia Paredes </t>
  </si>
  <si>
    <t>Brenda Sanchinelli</t>
  </si>
  <si>
    <t xml:space="preserve">Wendy Gonzalez </t>
  </si>
  <si>
    <t xml:space="preserve">Caro Vasquez </t>
  </si>
  <si>
    <t xml:space="preserve">Mirna Sarceño </t>
  </si>
  <si>
    <t xml:space="preserve">Luisa de Asturias </t>
  </si>
  <si>
    <t xml:space="preserve">Luisa Cuellar </t>
  </si>
  <si>
    <t xml:space="preserve">Carmen Pacheco </t>
  </si>
  <si>
    <t xml:space="preserve">Karen Lau </t>
  </si>
  <si>
    <t xml:space="preserve">Silvia Echeverria </t>
  </si>
  <si>
    <t xml:space="preserve">Alejandra Gonzalez </t>
  </si>
  <si>
    <t xml:space="preserve">Katia Lorenzo </t>
  </si>
  <si>
    <t xml:space="preserve">Stephanie Montenegro </t>
  </si>
  <si>
    <t xml:space="preserve">Waleska Melara </t>
  </si>
  <si>
    <t xml:space="preserve">Martha Perez </t>
  </si>
  <si>
    <t xml:space="preserve">Betty de Villagran </t>
  </si>
  <si>
    <t xml:space="preserve">Karen Villagran </t>
  </si>
  <si>
    <t xml:space="preserve">Jacky Villagran </t>
  </si>
  <si>
    <t xml:space="preserve">Rainero Parrales </t>
  </si>
  <si>
    <t>Agosto</t>
  </si>
  <si>
    <t>Septiembre</t>
  </si>
  <si>
    <t>Octubre</t>
  </si>
  <si>
    <t xml:space="preserve">Noviembre </t>
  </si>
  <si>
    <t>Diciembre</t>
  </si>
  <si>
    <t>Aracely Boguerin</t>
  </si>
  <si>
    <t>Luisa De Frech</t>
  </si>
  <si>
    <t>Frasco de protocol colageno con acido hiluronico</t>
  </si>
  <si>
    <t>RHA Serum (Teoxane)</t>
  </si>
  <si>
    <t>Melatonina</t>
  </si>
  <si>
    <t>Olga Lucia De Tercero</t>
  </si>
  <si>
    <t>Astrid Quan</t>
  </si>
  <si>
    <t>Contorno de ojos RHA (Teoxane)</t>
  </si>
  <si>
    <t>Solucion micelar RHA (Teoxane)</t>
  </si>
  <si>
    <t>Analy Galindo</t>
  </si>
  <si>
    <t>Jessica Arevalo Estrada</t>
  </si>
  <si>
    <t>Saudi Bernanrdo</t>
  </si>
  <si>
    <t>Maria Elena Alvarodo</t>
  </si>
  <si>
    <t>C Ferulic Edafence Serum</t>
  </si>
  <si>
    <t>Josseline Rodriguez</t>
  </si>
  <si>
    <t>Protector solar gel oil-free (Heliocare)</t>
  </si>
  <si>
    <t>Joaquin Cerna</t>
  </si>
  <si>
    <t>Aplicación acido hialuronico ojeras</t>
  </si>
  <si>
    <t>Carla Sena</t>
  </si>
  <si>
    <t>Aplicación acido hialuronico nariz</t>
  </si>
  <si>
    <t>Elena Sandoval (hija de Patricia Sandoval)</t>
  </si>
  <si>
    <t>Monica De Garcia</t>
  </si>
  <si>
    <t>Depilación mentón</t>
  </si>
  <si>
    <t>Marielu Pierri</t>
  </si>
  <si>
    <t>Julio Matheu</t>
  </si>
  <si>
    <t>Depilación barbilla y bigote</t>
  </si>
  <si>
    <t>Abono a emsculpt glúteos</t>
  </si>
  <si>
    <t>Cancelación a emsculpt glúteos</t>
  </si>
  <si>
    <t>Edna Beatriz Suchite</t>
  </si>
  <si>
    <t xml:space="preserve">Kirin Gangaramani </t>
  </si>
  <si>
    <t>Abono a emtone medias piernas completas y brazos</t>
  </si>
  <si>
    <t>Cancelación a emtone medias piernas completas y brazos</t>
  </si>
  <si>
    <t xml:space="preserve">Exilis abdomen, cintura, chaparrera, entrepierna y parte posterior de piernas </t>
  </si>
  <si>
    <t>Andrea Lopez Mendez</t>
  </si>
  <si>
    <t>Exilis abdomen, cintura, espalda alta, brazos, chaparrera y parte de la posterior de la pierna</t>
  </si>
  <si>
    <t>Abono a exilis abdomen y cintura</t>
  </si>
  <si>
    <t>Cancelción a exilis abdomen y cintura</t>
  </si>
  <si>
    <t>---</t>
  </si>
  <si>
    <t>Abono a facial purificante</t>
  </si>
  <si>
    <t>Cancelación a facial purificante</t>
  </si>
  <si>
    <t>Monica Lorena Martinez</t>
  </si>
  <si>
    <t>Melvin Quijivix</t>
  </si>
  <si>
    <t>Astrid Chew Chavez</t>
  </si>
  <si>
    <t>Agnes Castillo</t>
  </si>
  <si>
    <t>Gabriela Pinto De Pontaza</t>
  </si>
  <si>
    <t>Jacqueline Vargas</t>
  </si>
  <si>
    <t>Yeimi Lopez Torres</t>
  </si>
  <si>
    <t>Jorge Mauricio Pontaza</t>
  </si>
  <si>
    <t>Karen Tenenbaum</t>
  </si>
  <si>
    <t>Morpheus rostro, cuello y escote en V</t>
  </si>
  <si>
    <t>Abono a tratamiento profhilo</t>
  </si>
  <si>
    <t>Cancelación a tratamiento profhilo</t>
  </si>
  <si>
    <t>Claudia Maria Jose Morales Donis</t>
  </si>
  <si>
    <t>Yesenia Larrazabal</t>
  </si>
  <si>
    <t xml:space="preserve">Lilian Caceres </t>
  </si>
  <si>
    <t>Monserrat De Linares</t>
  </si>
  <si>
    <t>Ultradonido post-operatorio</t>
  </si>
  <si>
    <t>Velox abdomen, cintura y chaparrera</t>
  </si>
  <si>
    <t>Apliación de vitamina C intravenosa</t>
  </si>
  <si>
    <t xml:space="preserve">Luisa Barillas </t>
  </si>
  <si>
    <t>Julieta Balsells</t>
  </si>
  <si>
    <t>Maria Fernanda Morales</t>
  </si>
  <si>
    <t>Cariño Arenas</t>
  </si>
  <si>
    <t>Nioo trinity abdomen, cintura, espalda alta y parte posterior de la pierna</t>
  </si>
  <si>
    <t>Gladys Del Cid De Escobar</t>
  </si>
  <si>
    <t>Radiofrecuencia brazos</t>
  </si>
  <si>
    <t>Mario Rafael Gonzalez</t>
  </si>
  <si>
    <t>Radiofrecuencia abdomen, cintura, pectoral, espalda alta y cara interna de brazos</t>
  </si>
  <si>
    <t>Betzalia Maribel Arriaga</t>
  </si>
  <si>
    <t xml:space="preserve">Cancelación de tratamiento emsculpt glúteos </t>
  </si>
  <si>
    <t xml:space="preserve">Dora de la cruz </t>
  </si>
  <si>
    <t>Cancelación a tratamiento Emsculpt abdomen</t>
  </si>
  <si>
    <t xml:space="preserve">Cancelación tratamiento spectra ginecologico </t>
  </si>
  <si>
    <t>Radiofrecuencia rostro y cuello (brazos y espalda)</t>
  </si>
  <si>
    <t xml:space="preserve">Cancelación tratamiento RF rostro y cuello </t>
  </si>
  <si>
    <t xml:space="preserve">Beatriz Fernandez De Wer </t>
  </si>
  <si>
    <t>Mesoterapia reductora y reafirmante espalda alta y espalda media</t>
  </si>
  <si>
    <t>Dannia Mccolaugh de Archila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</si>
</sst>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Q&quot;* #,##0.00_-;\-&quot;Q&quot;* #,##0.00_-;_-&quot;Q&quot;* &quot;-&quot;??_-;_-@_-"/>
    <numFmt numFmtId="164" formatCode="dd\-mm\-yy;@"/>
    <numFmt numFmtId="165" formatCode="[$Q-100A]#,##0.00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1"/>
      <name val="Calibri"/>
      <family val="2"/>
      <scheme val="minor"/>
    </font>
    <font>
      <b/>
      <sz val="16"/>
      <color rgb="FFFF0000"/>
      <name val="Arial"/>
      <family val="2"/>
    </font>
    <font>
      <b/>
      <sz val="16"/>
      <color theme="4"/>
      <name val="Arial"/>
      <family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name val="Trebuchet MS"/>
      <family val="2"/>
    </font>
    <font>
      <sz val="10"/>
      <color rgb="FFFF000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 applyProtection="1">
      <alignment horizontal="center"/>
      <protection locked="0"/>
    </xf>
    <xf numFmtId="165" fontId="3" fillId="0" borderId="1" xfId="0" applyNumberFormat="1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165" fontId="2" fillId="2" borderId="0" xfId="0" applyNumberFormat="1" applyFont="1" applyFill="1" applyAlignment="1">
      <alignment horizontal="center"/>
    </xf>
    <xf numFmtId="0" fontId="3" fillId="0" borderId="1" xfId="0" applyFont="1" applyBorder="1" applyAlignment="1" applyProtection="1">
      <alignment horizontal="center" wrapText="1"/>
      <protection locked="0"/>
    </xf>
    <xf numFmtId="165" fontId="3" fillId="0" borderId="1" xfId="0" applyNumberFormat="1" applyFont="1" applyBorder="1" applyAlignment="1">
      <alignment vertical="center" wrapText="1"/>
    </xf>
    <xf numFmtId="0" fontId="2" fillId="2" borderId="0" xfId="0" applyFont="1" applyFill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/>
    <xf numFmtId="165" fontId="2" fillId="3" borderId="7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0" fillId="2" borderId="0" xfId="0" applyFill="1"/>
    <xf numFmtId="0" fontId="6" fillId="2" borderId="5" xfId="0" applyFont="1" applyFill="1" applyBorder="1" applyAlignment="1">
      <alignment horizontal="center"/>
    </xf>
    <xf numFmtId="165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1" xfId="0" applyFont="1" applyBorder="1"/>
    <xf numFmtId="0" fontId="7" fillId="2" borderId="0" xfId="0" applyFont="1" applyFill="1"/>
    <xf numFmtId="0" fontId="1" fillId="4" borderId="0" xfId="0" applyFont="1" applyFill="1" applyAlignment="1">
      <alignment horizontal="center" vertical="center"/>
    </xf>
    <xf numFmtId="44" fontId="5" fillId="0" borderId="0" xfId="1" applyFont="1" applyBorder="1" applyAlignment="1"/>
    <xf numFmtId="165" fontId="2" fillId="3" borderId="7" xfId="0" applyNumberFormat="1" applyFont="1" applyFill="1" applyBorder="1" applyAlignment="1">
      <alignment horizontal="right"/>
    </xf>
    <xf numFmtId="44" fontId="3" fillId="0" borderId="1" xfId="1" applyFont="1" applyBorder="1" applyAlignment="1">
      <alignment vertical="center"/>
    </xf>
    <xf numFmtId="44" fontId="5" fillId="0" borderId="1" xfId="1" applyFont="1" applyBorder="1" applyAlignment="1">
      <alignment vertical="center"/>
    </xf>
    <xf numFmtId="44" fontId="8" fillId="2" borderId="1" xfId="0" applyNumberFormat="1" applyFont="1" applyFill="1" applyBorder="1" applyAlignment="1">
      <alignment horizontal="center" vertical="center"/>
    </xf>
    <xf numFmtId="44" fontId="6" fillId="2" borderId="1" xfId="0" applyNumberFormat="1" applyFont="1" applyFill="1" applyBorder="1" applyAlignment="1">
      <alignment vertical="center"/>
    </xf>
    <xf numFmtId="44" fontId="9" fillId="2" borderId="0" xfId="0" applyNumberFormat="1" applyFont="1" applyFill="1" applyAlignment="1">
      <alignment horizontal="center" vertical="center"/>
    </xf>
    <xf numFmtId="44" fontId="9" fillId="2" borderId="0" xfId="0" applyNumberFormat="1" applyFont="1" applyFill="1" applyAlignment="1">
      <alignment vertical="center"/>
    </xf>
    <xf numFmtId="44" fontId="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165" fontId="12" fillId="0" borderId="1" xfId="0" applyNumberFormat="1" applyFont="1" applyBorder="1" applyAlignment="1">
      <alignment vertical="center"/>
    </xf>
    <xf numFmtId="44" fontId="3" fillId="0" borderId="1" xfId="1" applyFont="1" applyFill="1" applyBorder="1" applyAlignment="1">
      <alignment vertical="center"/>
    </xf>
    <xf numFmtId="44" fontId="8" fillId="0" borderId="1" xfId="0" applyNumberFormat="1" applyFont="1" applyBorder="1" applyAlignment="1">
      <alignment horizontal="center" vertical="center"/>
    </xf>
    <xf numFmtId="44" fontId="9" fillId="0" borderId="0" xfId="0" applyNumberFormat="1" applyFont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5" fontId="13" fillId="0" borderId="0" xfId="0" applyNumberFormat="1" applyFont="1" applyAlignment="1">
      <alignment vertical="center"/>
    </xf>
    <xf numFmtId="14" fontId="11" fillId="0" borderId="2" xfId="0" quotePrefix="1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3" borderId="9" xfId="0" applyNumberFormat="1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33CCFF"/>
      <color rgb="FF00CC66"/>
      <color rgb="FFFF9933"/>
      <color rgb="FF9999FF"/>
      <color rgb="FF0099CC"/>
      <color rgb="FFFF5050"/>
      <color rgb="FFFF66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Resultado de ventas</a:t>
            </a:r>
            <a:r>
              <a:rPr lang="es-GT" sz="20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GT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>
        <c:manualLayout>
          <c:layoutTarget val="inner"/>
          <c:xMode val="edge"/>
          <c:yMode val="edge"/>
          <c:x val="6.9027537520521612E-2"/>
          <c:y val="9.7151074057419545E-2"/>
          <c:w val="0.92906881774105909"/>
          <c:h val="0.719690871809780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'PRESENTACIÓN DE RESULTADOS'!$N$1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dLbl>
              <c:idx val="3"/>
              <c:layout>
                <c:manualLayout>
                  <c:x val="-2.8293545534924846E-3"/>
                  <c:y val="-6.054282019182361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EC-4FF4-8DD0-192EA494DB0F}"/>
                </c:ext>
              </c:extLst>
            </c:dLbl>
            <c:dLbl>
              <c:idx val="4"/>
              <c:layout>
                <c:manualLayout>
                  <c:x val="0"/>
                  <c:y val="-6.604747591379807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EC-4FF4-8DD0-192EA494DB0F}"/>
                </c:ext>
              </c:extLst>
            </c:dLbl>
            <c:dLbl>
              <c:idx val="9"/>
              <c:layout>
                <c:manualLayout>
                  <c:x val="-2.579605063480421E-3"/>
                  <c:y val="-1.479426592891149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21-461A-AB94-002B85E3F185}"/>
                </c:ext>
              </c:extLst>
            </c:dLbl>
            <c:dLbl>
              <c:idx val="18"/>
              <c:layout>
                <c:manualLayout>
                  <c:x val="-4.951370468611951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EC-4FF4-8DD0-192EA494DB0F}"/>
                </c:ext>
              </c:extLst>
            </c:dLbl>
            <c:dLbl>
              <c:idx val="19"/>
              <c:layout>
                <c:manualLayout>
                  <c:x val="7.07338638373121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EC-4FF4-8DD0-192EA494DB0F}"/>
                </c:ext>
              </c:extLst>
            </c:dLbl>
            <c:dLbl>
              <c:idx val="20"/>
              <c:layout>
                <c:manualLayout>
                  <c:x val="-3.8694075952205604E-3"/>
                  <c:y val="-1.0849003019258971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21-461A-AB94-002B85E3F185}"/>
                </c:ext>
              </c:extLst>
            </c:dLbl>
            <c:dLbl>
              <c:idx val="21"/>
              <c:layout>
                <c:manualLayout>
                  <c:x val="3.2245063293504673E-3"/>
                  <c:y val="-2.958853185782081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21-461A-AB94-002B85E3F185}"/>
                </c:ext>
              </c:extLst>
            </c:dLbl>
            <c:dLbl>
              <c:idx val="23"/>
              <c:layout>
                <c:manualLayout>
                  <c:x val="-6.4490126587009344E-4"/>
                  <c:y val="-7.397132964455312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21-461A-AB94-002B85E3F185}"/>
                </c:ext>
              </c:extLst>
            </c:dLbl>
            <c:dLbl>
              <c:idx val="24"/>
              <c:layout>
                <c:manualLayout>
                  <c:x val="-6.4490126587009344E-4"/>
                  <c:y val="-2.958853185782081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21-461A-AB94-002B85E3F185}"/>
                </c:ext>
              </c:extLst>
            </c:dLbl>
            <c:dLbl>
              <c:idx val="25"/>
              <c:layout>
                <c:manualLayout>
                  <c:x val="-7.073386383731211E-3"/>
                  <c:y val="-1.2108564038364722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4EC-4FF4-8DD0-192EA494DB0F}"/>
                </c:ext>
              </c:extLst>
            </c:dLbl>
            <c:dLbl>
              <c:idx val="26"/>
              <c:layout>
                <c:manualLayout>
                  <c:x val="-5.1592101269607475E-3"/>
                  <c:y val="-7.397132964455203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21-461A-AB94-002B85E3F185}"/>
                </c:ext>
              </c:extLst>
            </c:dLbl>
            <c:dLbl>
              <c:idx val="27"/>
              <c:layout>
                <c:manualLayout>
                  <c:x val="0"/>
                  <c:y val="-4.953560693534901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EC-4FF4-8DD0-192EA494DB0F}"/>
                </c:ext>
              </c:extLst>
            </c:dLbl>
            <c:dLbl>
              <c:idx val="29"/>
              <c:layout>
                <c:manualLayout>
                  <c:x val="3.224506329350372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021-461A-AB94-002B85E3F185}"/>
                </c:ext>
              </c:extLst>
            </c:dLbl>
            <c:dLbl>
              <c:idx val="33"/>
              <c:layout>
                <c:manualLayout>
                  <c:x val="-3.2245063293505618E-3"/>
                  <c:y val="-1.18354127431284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21-461A-AB94-002B85E3F1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'PRESENTACIÓN DE RESULTADOS'!$A$2:$A$51</c:f>
              <c:strCache>
                <c:ptCount val="49"/>
                <c:pt idx="0">
                  <c:v>Producto</c:v>
                </c:pt>
                <c:pt idx="1">
                  <c:v>Acido hialuronico</c:v>
                </c:pt>
                <c:pt idx="2">
                  <c:v>Depilación</c:v>
                </c:pt>
                <c:pt idx="3">
                  <c:v>Emsculpt</c:v>
                </c:pt>
                <c:pt idx="4">
                  <c:v>Emtone</c:v>
                </c:pt>
                <c:pt idx="5">
                  <c:v>Exilis </c:v>
                </c:pt>
                <c:pt idx="6">
                  <c:v>Exfoliación </c:v>
                </c:pt>
                <c:pt idx="7">
                  <c:v>Facial purificante</c:v>
                </c:pt>
                <c:pt idx="8">
                  <c:v>Hifu</c:v>
                </c:pt>
                <c:pt idx="9">
                  <c:v>Hydrafacial</c:v>
                </c:pt>
                <c:pt idx="10">
                  <c:v>Laboratorios</c:v>
                </c:pt>
                <c:pt idx="11">
                  <c:v>Masaje linfatico</c:v>
                </c:pt>
                <c:pt idx="12">
                  <c:v>Mesoterapia</c:v>
                </c:pt>
                <c:pt idx="13">
                  <c:v>Morpheus</c:v>
                </c:pt>
                <c:pt idx="14">
                  <c:v>Pico-láser</c:v>
                </c:pt>
                <c:pt idx="15">
                  <c:v>Powershape</c:v>
                </c:pt>
                <c:pt idx="16">
                  <c:v>Profhilo</c:v>
                </c:pt>
                <c:pt idx="17">
                  <c:v>PRP</c:v>
                </c:pt>
                <c:pt idx="18">
                  <c:v>Radiofrecuencia</c:v>
                </c:pt>
                <c:pt idx="19">
                  <c:v>Ultrasonido</c:v>
                </c:pt>
                <c:pt idx="20">
                  <c:v>Velo de acido hialuronico</c:v>
                </c:pt>
                <c:pt idx="21">
                  <c:v>Velox</c:v>
                </c:pt>
                <c:pt idx="22">
                  <c:v>Verju</c:v>
                </c:pt>
                <c:pt idx="23">
                  <c:v>Vitamina C intravenosa</c:v>
                </c:pt>
                <c:pt idx="24">
                  <c:v>Ciclo coolsculpting</c:v>
                </c:pt>
                <c:pt idx="25">
                  <c:v>Cliovana</c:v>
                </c:pt>
                <c:pt idx="26">
                  <c:v>Dermapen </c:v>
                </c:pt>
                <c:pt idx="27">
                  <c:v>Láser CO2</c:v>
                </c:pt>
                <c:pt idx="28">
                  <c:v>Masaje relajante </c:v>
                </c:pt>
                <c:pt idx="29">
                  <c:v>Oligoelementos</c:v>
                </c:pt>
                <c:pt idx="30">
                  <c:v>Grow</c:v>
                </c:pt>
                <c:pt idx="31">
                  <c:v>Abonos</c:v>
                </c:pt>
                <c:pt idx="32">
                  <c:v>Celulas madre</c:v>
                </c:pt>
                <c:pt idx="33">
                  <c:v>Lipo-recover</c:v>
                </c:pt>
                <c:pt idx="34">
                  <c:v>Peeling</c:v>
                </c:pt>
                <c:pt idx="35">
                  <c:v>Spectra ginecologico</c:v>
                </c:pt>
                <c:pt idx="36">
                  <c:v>Vanquish</c:v>
                </c:pt>
                <c:pt idx="37">
                  <c:v>Elimación de lunares</c:v>
                </c:pt>
                <c:pt idx="38">
                  <c:v>Botox</c:v>
                </c:pt>
                <c:pt idx="39">
                  <c:v>Xwave</c:v>
                </c:pt>
                <c:pt idx="40">
                  <c:v>Encimas</c:v>
                </c:pt>
                <c:pt idx="41">
                  <c:v>Cambio de tratamiento</c:v>
                </c:pt>
                <c:pt idx="42">
                  <c:v>Microdermoabrasión</c:v>
                </c:pt>
                <c:pt idx="43">
                  <c:v>Terapia Luminica</c:v>
                </c:pt>
                <c:pt idx="44">
                  <c:v>Oscilacion</c:v>
                </c:pt>
                <c:pt idx="45">
                  <c:v>Sueros</c:v>
                </c:pt>
                <c:pt idx="46">
                  <c:v>Presoterapia</c:v>
                </c:pt>
                <c:pt idx="47">
                  <c:v>Nioo</c:v>
                </c:pt>
                <c:pt idx="48">
                  <c:v>Sedación</c:v>
                </c:pt>
              </c:strCache>
            </c:strRef>
          </c:cat>
          <c:val>
            <c:numRef>
              <c:f>'PRESENTACIÓN DE RESULTADOS'!$N$2:$N$51</c:f>
              <c:numCache>
                <c:formatCode>_("Q"* #,##0.00_);_("Q"* \(#,##0.00\);_("Q"* "-"??_);_(@_)</c:formatCode>
                <c:ptCount val="50"/>
                <c:pt idx="0">
                  <c:v>152315.01</c:v>
                </c:pt>
                <c:pt idx="1">
                  <c:v>59600</c:v>
                </c:pt>
                <c:pt idx="2">
                  <c:v>74583.5</c:v>
                </c:pt>
                <c:pt idx="3">
                  <c:v>119250</c:v>
                </c:pt>
                <c:pt idx="4">
                  <c:v>146390.39999999999</c:v>
                </c:pt>
                <c:pt idx="5">
                  <c:v>418531.99959999998</c:v>
                </c:pt>
                <c:pt idx="6">
                  <c:v>0</c:v>
                </c:pt>
                <c:pt idx="7">
                  <c:v>53654.499900000003</c:v>
                </c:pt>
                <c:pt idx="8">
                  <c:v>52181</c:v>
                </c:pt>
                <c:pt idx="9">
                  <c:v>38688.239999999998</c:v>
                </c:pt>
                <c:pt idx="10">
                  <c:v>13090.41</c:v>
                </c:pt>
                <c:pt idx="11">
                  <c:v>60750</c:v>
                </c:pt>
                <c:pt idx="12">
                  <c:v>65407.6</c:v>
                </c:pt>
                <c:pt idx="13">
                  <c:v>1182700</c:v>
                </c:pt>
                <c:pt idx="14">
                  <c:v>5300</c:v>
                </c:pt>
                <c:pt idx="15">
                  <c:v>1596</c:v>
                </c:pt>
                <c:pt idx="16">
                  <c:v>26750</c:v>
                </c:pt>
                <c:pt idx="17">
                  <c:v>339930.4</c:v>
                </c:pt>
                <c:pt idx="18">
                  <c:v>154012.99979999999</c:v>
                </c:pt>
                <c:pt idx="19">
                  <c:v>36010</c:v>
                </c:pt>
                <c:pt idx="20">
                  <c:v>9810</c:v>
                </c:pt>
                <c:pt idx="21">
                  <c:v>39808</c:v>
                </c:pt>
                <c:pt idx="22">
                  <c:v>10808.33</c:v>
                </c:pt>
                <c:pt idx="23">
                  <c:v>196022.1</c:v>
                </c:pt>
                <c:pt idx="24">
                  <c:v>27000</c:v>
                </c:pt>
                <c:pt idx="25">
                  <c:v>0</c:v>
                </c:pt>
                <c:pt idx="26">
                  <c:v>32480</c:v>
                </c:pt>
                <c:pt idx="27">
                  <c:v>29080</c:v>
                </c:pt>
                <c:pt idx="28">
                  <c:v>10030</c:v>
                </c:pt>
                <c:pt idx="29">
                  <c:v>0</c:v>
                </c:pt>
                <c:pt idx="30">
                  <c:v>174065.58</c:v>
                </c:pt>
                <c:pt idx="31">
                  <c:v>95</c:v>
                </c:pt>
                <c:pt idx="32">
                  <c:v>214500</c:v>
                </c:pt>
                <c:pt idx="33">
                  <c:v>0</c:v>
                </c:pt>
                <c:pt idx="34">
                  <c:v>0</c:v>
                </c:pt>
                <c:pt idx="35">
                  <c:v>95729.997799999997</c:v>
                </c:pt>
                <c:pt idx="36">
                  <c:v>0</c:v>
                </c:pt>
                <c:pt idx="37">
                  <c:v>0</c:v>
                </c:pt>
                <c:pt idx="38">
                  <c:v>773872.17955600005</c:v>
                </c:pt>
                <c:pt idx="39">
                  <c:v>0</c:v>
                </c:pt>
                <c:pt idx="40">
                  <c:v>0</c:v>
                </c:pt>
                <c:pt idx="41">
                  <c:v>4328.18</c:v>
                </c:pt>
                <c:pt idx="42">
                  <c:v>1200</c:v>
                </c:pt>
                <c:pt idx="43">
                  <c:v>0</c:v>
                </c:pt>
                <c:pt idx="44">
                  <c:v>262860</c:v>
                </c:pt>
                <c:pt idx="45">
                  <c:v>57138.6</c:v>
                </c:pt>
                <c:pt idx="46">
                  <c:v>6300</c:v>
                </c:pt>
                <c:pt idx="47">
                  <c:v>116520</c:v>
                </c:pt>
                <c:pt idx="48">
                  <c:v>350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6D-470B-9323-B9EA74FFF8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959599360"/>
        <c:axId val="959591456"/>
      </c:barChart>
      <c:catAx>
        <c:axId val="95959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 w="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59591456"/>
        <c:crosses val="autoZero"/>
        <c:auto val="0"/>
        <c:lblAlgn val="ctr"/>
        <c:lblOffset val="100"/>
        <c:noMultiLvlLbl val="0"/>
      </c:catAx>
      <c:valAx>
        <c:axId val="959591456"/>
        <c:scaling>
          <c:orientation val="minMax"/>
        </c:scaling>
        <c:delete val="0"/>
        <c:axPos val="l"/>
        <c:numFmt formatCode="_(&quot;Q&quot;* #,##0.00_);_(&quot;Q&quot;* \(#,##0.00\);_(&quot;Q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59599360"/>
        <c:crossesAt val="1"/>
        <c:crossBetween val="between"/>
      </c:valAx>
      <c:spPr>
        <a:noFill/>
        <a:ln>
          <a:noFill/>
        </a:ln>
        <a:effectLst>
          <a:outerShdw blurRad="50800" dist="38100" dir="13500000" algn="br" rotWithShape="0">
            <a:prstClr val="black">
              <a:alpha val="40000"/>
            </a:prstClr>
          </a:out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523873</xdr:colOff>
      <xdr:row>0</xdr:row>
      <xdr:rowOff>13607</xdr:rowOff>
    </xdr:from>
    <xdr:to>
      <xdr:col>55</xdr:col>
      <xdr:colOff>272143</xdr:colOff>
      <xdr:row>29</xdr:row>
      <xdr:rowOff>122464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VERSIONES%202023/Acumulado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ERNANDA%20LOPEZ/INVERSIONES%202023/LIQUIDACIONES%202023/Acumulado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o 23"/>
      <sheetName val="febrero 23"/>
      <sheetName val="marzo 23"/>
      <sheetName val="abril 23"/>
    </sheetNames>
    <sheetDataSet>
      <sheetData sheetId="0">
        <row r="170">
          <cell r="B170">
            <v>393402.18999999994</v>
          </cell>
        </row>
      </sheetData>
      <sheetData sheetId="1">
        <row r="156">
          <cell r="B156">
            <v>272855.02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o 23"/>
      <sheetName val="febrero 23"/>
      <sheetName val="marzo 23"/>
      <sheetName val="abril 23"/>
      <sheetName val="mayo 23"/>
      <sheetName val="junio 23"/>
      <sheetName val="julio 23"/>
      <sheetName val="agosto 23"/>
      <sheetName val="septiembre 23"/>
      <sheetName val="octubre 23"/>
      <sheetName val="noviembre 23"/>
      <sheetName val="diciembre 23"/>
    </sheetNames>
    <sheetDataSet>
      <sheetData sheetId="0"/>
      <sheetData sheetId="1"/>
      <sheetData sheetId="2">
        <row r="270">
          <cell r="B270">
            <v>714309.39</v>
          </cell>
        </row>
      </sheetData>
      <sheetData sheetId="3">
        <row r="115">
          <cell r="B115">
            <v>332704.58999999997</v>
          </cell>
        </row>
      </sheetData>
      <sheetData sheetId="4">
        <row r="162">
          <cell r="B162">
            <v>418683.33999999997</v>
          </cell>
        </row>
      </sheetData>
      <sheetData sheetId="5">
        <row r="168">
          <cell r="B168">
            <v>380539.42999999993</v>
          </cell>
        </row>
      </sheetData>
      <sheetData sheetId="6">
        <row r="262">
          <cell r="B262">
            <v>658997.77</v>
          </cell>
        </row>
      </sheetData>
      <sheetData sheetId="7">
        <row r="142">
          <cell r="B142">
            <v>348884.39999999997</v>
          </cell>
        </row>
      </sheetData>
      <sheetData sheetId="8">
        <row r="161">
          <cell r="B161">
            <v>355826.05</v>
          </cell>
        </row>
      </sheetData>
      <sheetData sheetId="9">
        <row r="117">
          <cell r="B117">
            <v>280818.25</v>
          </cell>
        </row>
      </sheetData>
      <sheetData sheetId="10">
        <row r="250">
          <cell r="B250">
            <v>619795.52999999991</v>
          </cell>
        </row>
      </sheetData>
      <sheetData sheetId="11">
        <row r="129">
          <cell r="B129">
            <v>285924.09000000003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CCFF"/>
  </sheetPr>
  <dimension ref="A1:AO54"/>
  <sheetViews>
    <sheetView zoomScale="90" zoomScaleNormal="90" zoomScaleSheetLayoutView="50" workbookViewId="0">
      <pane ySplit="1" topLeftCell="A2" activePane="bottomLeft" state="frozen"/>
      <selection activeCell="D32" sqref="D32"/>
      <selection pane="bottomLeft" activeCell="D6" sqref="C6:D6"/>
    </sheetView>
  </sheetViews>
  <sheetFormatPr baseColWidth="10" defaultRowHeight="15" x14ac:dyDescent="0.25"/>
  <cols>
    <col min="1" max="1" width="26.85546875" customWidth="1"/>
    <col min="2" max="12" width="21.140625" style="49" bestFit="1" customWidth="1"/>
    <col min="13" max="13" width="21.140625" style="49" customWidth="1"/>
    <col min="14" max="14" width="23.85546875" style="48" bestFit="1" customWidth="1"/>
    <col min="15" max="16" width="23.85546875" customWidth="1"/>
  </cols>
  <sheetData>
    <row r="1" spans="1:41" ht="15.75" x14ac:dyDescent="0.25">
      <c r="A1" s="30" t="s">
        <v>67</v>
      </c>
      <c r="B1" s="34" t="s">
        <v>88</v>
      </c>
      <c r="C1" s="34" t="s">
        <v>220</v>
      </c>
      <c r="D1" s="34" t="s">
        <v>329</v>
      </c>
      <c r="E1" s="34" t="s">
        <v>539</v>
      </c>
      <c r="F1" s="30" t="s">
        <v>605</v>
      </c>
      <c r="G1" s="34" t="s">
        <v>699</v>
      </c>
      <c r="H1" s="34" t="s">
        <v>789</v>
      </c>
      <c r="I1" s="34" t="s">
        <v>1396</v>
      </c>
      <c r="J1" s="34" t="s">
        <v>1397</v>
      </c>
      <c r="K1" s="34" t="s">
        <v>1398</v>
      </c>
      <c r="L1" s="34" t="s">
        <v>1399</v>
      </c>
      <c r="M1" s="34" t="s">
        <v>1400</v>
      </c>
      <c r="N1" s="30" t="s">
        <v>5</v>
      </c>
      <c r="O1" s="38"/>
      <c r="P1" s="38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</row>
    <row r="2" spans="1:41" ht="31.5" customHeight="1" x14ac:dyDescent="0.25">
      <c r="A2" s="29" t="s">
        <v>57</v>
      </c>
      <c r="B2" s="41">
        <f>SUM(Producto!H3:H19)</f>
        <v>11814</v>
      </c>
      <c r="C2" s="41">
        <f>SUM(Producto!H20:H44)</f>
        <v>15270</v>
      </c>
      <c r="D2" s="41">
        <f>SUM(Producto!H45:H74)</f>
        <v>15426.55</v>
      </c>
      <c r="E2" s="41">
        <f>SUM(Producto!H75:H83)</f>
        <v>7210</v>
      </c>
      <c r="F2" s="51">
        <f>SUM(Producto!H84:H107)</f>
        <v>15220</v>
      </c>
      <c r="G2" s="51">
        <f>SUM(Producto!H108:H119)</f>
        <v>7370</v>
      </c>
      <c r="H2" s="51">
        <f>SUM(Producto!H120:H138)</f>
        <v>12210</v>
      </c>
      <c r="I2" s="51">
        <f>SUM(Producto!H139:H149)</f>
        <v>8800</v>
      </c>
      <c r="J2" s="51">
        <f>SUM(Producto!H150:H169)</f>
        <v>14040.46</v>
      </c>
      <c r="K2" s="51">
        <f>SUM(Producto!H170:H177)</f>
        <v>6460</v>
      </c>
      <c r="L2" s="51">
        <f>SUM(Producto!H178:H212)</f>
        <v>25000</v>
      </c>
      <c r="M2" s="51">
        <f>SUM(Producto!H213:H231)</f>
        <v>13494</v>
      </c>
      <c r="N2" s="42">
        <f>SUM(B2:M2)</f>
        <v>152315.01</v>
      </c>
      <c r="O2" s="39">
        <f>+Producto!H232</f>
        <v>152315.01</v>
      </c>
      <c r="P2" s="39">
        <f>+O2-N2</f>
        <v>0</v>
      </c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</row>
    <row r="3" spans="1:41" ht="24.95" customHeight="1" x14ac:dyDescent="0.25">
      <c r="A3" s="29" t="s">
        <v>9</v>
      </c>
      <c r="B3" s="41">
        <v>0</v>
      </c>
      <c r="C3" s="41">
        <v>0</v>
      </c>
      <c r="D3" s="41">
        <v>0</v>
      </c>
      <c r="E3" s="41">
        <v>0</v>
      </c>
      <c r="F3" s="51">
        <f>SUM('Acido hialuronico'!H3)</f>
        <v>2700</v>
      </c>
      <c r="G3" s="51">
        <v>0</v>
      </c>
      <c r="H3" s="51">
        <v>0</v>
      </c>
      <c r="I3" s="51">
        <f>SUM('Acido hialuronico'!H4:H5)</f>
        <v>6300</v>
      </c>
      <c r="J3" s="51">
        <v>0</v>
      </c>
      <c r="K3" s="51">
        <f>SUM('Acido hialuronico'!H6)</f>
        <v>2800</v>
      </c>
      <c r="L3" s="51">
        <f>SUM('Acido hialuronico'!H7:H23)</f>
        <v>42000</v>
      </c>
      <c r="M3" s="51">
        <f>SUM('Acido hialuronico'!H24:H25)</f>
        <v>5800</v>
      </c>
      <c r="N3" s="42">
        <f>SUM(B3:M3)</f>
        <v>59600</v>
      </c>
      <c r="O3" s="39">
        <f>+'Acido hialuronico'!H26</f>
        <v>59600</v>
      </c>
      <c r="P3" s="39">
        <f t="shared" ref="P3:P52" si="0">+O3-N3</f>
        <v>0</v>
      </c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</row>
    <row r="4" spans="1:41" s="35" customFormat="1" ht="24.95" customHeight="1" x14ac:dyDescent="0.25">
      <c r="A4" s="36" t="s">
        <v>15</v>
      </c>
      <c r="B4" s="41">
        <f>SUM(Depilación!H3:H16)</f>
        <v>6212.5</v>
      </c>
      <c r="C4" s="41">
        <f>SUM(Depilación!H17:H24)</f>
        <v>3950</v>
      </c>
      <c r="D4" s="41">
        <f>SUM(Depilación!H25:H36)</f>
        <v>5605.25</v>
      </c>
      <c r="E4" s="41">
        <f>SUM(Depilación!H37:H39)</f>
        <v>2412.5</v>
      </c>
      <c r="F4" s="51">
        <f>SUM(Depilación!H40:H48)</f>
        <v>2311.25</v>
      </c>
      <c r="G4" s="51">
        <f>SUM(Depilación!H49:H65)</f>
        <v>8116.5</v>
      </c>
      <c r="H4" s="51">
        <f>SUM(Depilación!H66:H83)</f>
        <v>12928.75</v>
      </c>
      <c r="I4" s="51">
        <f>SUM(Depilación!H84:H93)</f>
        <v>4006.25</v>
      </c>
      <c r="J4" s="51">
        <f>SUM(Depilación!H98:H109)</f>
        <v>5604</v>
      </c>
      <c r="K4" s="51">
        <f>SUM(Depilación!H110:H125)</f>
        <v>13721.25</v>
      </c>
      <c r="L4" s="51">
        <f>SUM(Depilación!H126:H134)</f>
        <v>5861.25</v>
      </c>
      <c r="M4" s="51">
        <f>SUM(Depilación!H135:H143)</f>
        <v>3854</v>
      </c>
      <c r="N4" s="42">
        <f>SUM(B4:M4)</f>
        <v>74583.5</v>
      </c>
      <c r="O4" s="39">
        <f>+Depilación!H144</f>
        <v>74583.5</v>
      </c>
      <c r="P4" s="39">
        <f t="shared" si="0"/>
        <v>0</v>
      </c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</row>
    <row r="5" spans="1:41" ht="24.95" customHeight="1" x14ac:dyDescent="0.25">
      <c r="A5" s="29" t="s">
        <v>18</v>
      </c>
      <c r="B5" s="41">
        <f>SUM(Emsculpt!H3)</f>
        <v>9000</v>
      </c>
      <c r="C5" s="41">
        <f>SUM(Emsculpt!H4)</f>
        <v>6750</v>
      </c>
      <c r="D5" s="41">
        <f>SUM(Emsculpt!H5)</f>
        <v>6750</v>
      </c>
      <c r="E5" s="41">
        <f>SUM(Emsculpt!H6:H7)</f>
        <v>6750</v>
      </c>
      <c r="F5" s="51">
        <f>SUM(Emsculpt!H8:H9)</f>
        <v>13500</v>
      </c>
      <c r="G5" s="51">
        <v>0</v>
      </c>
      <c r="H5" s="51">
        <v>0</v>
      </c>
      <c r="I5" s="51">
        <f>SUM(Emsculpt!H10)</f>
        <v>6750</v>
      </c>
      <c r="J5" s="51">
        <f>SUM(Emsculpt!H11:H14)</f>
        <v>20250</v>
      </c>
      <c r="K5" s="51">
        <f>SUM(Emsculpt!H15)</f>
        <v>6750</v>
      </c>
      <c r="L5" s="51">
        <f>SUM(Emsculpt!H16:H20)</f>
        <v>17750</v>
      </c>
      <c r="M5" s="51">
        <f>SUM(Emsculpt!H21:H27)</f>
        <v>25000</v>
      </c>
      <c r="N5" s="42">
        <f t="shared" ref="N5:N51" si="1">SUM(B5:M5)</f>
        <v>119250</v>
      </c>
      <c r="O5" s="39">
        <f>+Emsculpt!H28</f>
        <v>119250</v>
      </c>
      <c r="P5" s="39">
        <f t="shared" si="0"/>
        <v>0</v>
      </c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</row>
    <row r="6" spans="1:41" ht="24.95" customHeight="1" x14ac:dyDescent="0.25">
      <c r="A6" s="29" t="s">
        <v>20</v>
      </c>
      <c r="B6" s="41">
        <f>SUM(Emtone!H3:H7)</f>
        <v>18200</v>
      </c>
      <c r="C6" s="41">
        <f>SUM(Emtone!H8)</f>
        <v>5000</v>
      </c>
      <c r="D6" s="41">
        <f>SUM(Emtone!H9:H13)</f>
        <v>25100</v>
      </c>
      <c r="E6" s="41">
        <f>SUM(Emtone!H14)</f>
        <v>5000</v>
      </c>
      <c r="F6" s="51">
        <f>SUM(Emtone!H15)</f>
        <v>6500</v>
      </c>
      <c r="G6" s="51">
        <f>SUM(Emtone!H16:H20)</f>
        <v>20000</v>
      </c>
      <c r="H6" s="51">
        <f>SUM(Emtone!H21:H22)</f>
        <v>10000</v>
      </c>
      <c r="I6" s="51">
        <f>SUM(Emtone!H23)</f>
        <v>5000</v>
      </c>
      <c r="J6" s="51">
        <f>SUM(Emtone!H24:H26)</f>
        <v>16000</v>
      </c>
      <c r="K6" s="51">
        <v>0</v>
      </c>
      <c r="L6" s="51">
        <f>SUM(Emtone!H27:H32)</f>
        <v>25590.400000000001</v>
      </c>
      <c r="M6" s="51">
        <f>SUM(Emtone!H33:H35)</f>
        <v>10000</v>
      </c>
      <c r="N6" s="42">
        <f t="shared" si="1"/>
        <v>146390.39999999999</v>
      </c>
      <c r="O6" s="39">
        <f>+Emtone!H36</f>
        <v>146390.39999999999</v>
      </c>
      <c r="P6" s="39">
        <f t="shared" si="0"/>
        <v>0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</row>
    <row r="7" spans="1:41" ht="24.95" customHeight="1" x14ac:dyDescent="0.25">
      <c r="A7" s="29" t="s">
        <v>68</v>
      </c>
      <c r="B7" s="41">
        <f>SUM(Exilis!H3:H8)</f>
        <v>30749.999599999999</v>
      </c>
      <c r="C7" s="41">
        <f>SUM(Exilis!H9:H17)</f>
        <v>32875</v>
      </c>
      <c r="D7" s="41">
        <f>SUM(Exilis!H18:H25)</f>
        <v>42250</v>
      </c>
      <c r="E7" s="41">
        <f>SUM(Exilis!H26:H33)</f>
        <v>42375</v>
      </c>
      <c r="F7" s="51">
        <f>SUM(Exilis!H34:H42)</f>
        <v>58500</v>
      </c>
      <c r="G7" s="51">
        <f>SUM(Exilis!H43:H53)</f>
        <v>45175</v>
      </c>
      <c r="H7" s="51">
        <f>SUM(Exilis!H54:H61)</f>
        <v>24721</v>
      </c>
      <c r="I7" s="51">
        <f>SUM(Exilis!H62:H66)</f>
        <v>18900</v>
      </c>
      <c r="J7" s="51">
        <f>SUM(Exilis!H67:H74)</f>
        <v>48500</v>
      </c>
      <c r="K7" s="51">
        <f>SUM(Exilis!H75:H76)</f>
        <v>7500</v>
      </c>
      <c r="L7" s="51">
        <f>SUM(Exilis!H77:H85)</f>
        <v>44240</v>
      </c>
      <c r="M7" s="51">
        <f>SUM(Exilis!H86:H91)</f>
        <v>22746</v>
      </c>
      <c r="N7" s="42">
        <f t="shared" si="1"/>
        <v>418531.99959999998</v>
      </c>
      <c r="O7" s="39">
        <f>+Exilis!H92</f>
        <v>418531.99959999998</v>
      </c>
      <c r="P7" s="39">
        <f t="shared" si="0"/>
        <v>0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</row>
    <row r="8" spans="1:41" ht="24.95" customHeight="1" x14ac:dyDescent="0.25">
      <c r="A8" s="29" t="s">
        <v>69</v>
      </c>
      <c r="B8" s="41">
        <v>0</v>
      </c>
      <c r="C8" s="41">
        <v>0</v>
      </c>
      <c r="D8" s="41">
        <v>0</v>
      </c>
      <c r="E8" s="41">
        <v>0</v>
      </c>
      <c r="F8" s="51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42">
        <f t="shared" si="1"/>
        <v>0</v>
      </c>
      <c r="O8" s="39">
        <f>+Exfoliación!H4</f>
        <v>0</v>
      </c>
      <c r="P8" s="39">
        <f t="shared" si="0"/>
        <v>0</v>
      </c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</row>
    <row r="9" spans="1:41" ht="24.95" customHeight="1" x14ac:dyDescent="0.25">
      <c r="A9" s="29" t="s">
        <v>26</v>
      </c>
      <c r="B9" s="41">
        <f>SUM('Facial purificante'!H3:H9)</f>
        <v>6057.5</v>
      </c>
      <c r="C9" s="41">
        <f>SUM('Facial purificante'!H10:H12)</f>
        <v>1600</v>
      </c>
      <c r="D9" s="41">
        <f>SUM('Facial purificante'!H13:H18)</f>
        <v>3200</v>
      </c>
      <c r="E9" s="41">
        <f>SUM('Facial purificante'!H19:H21)</f>
        <v>2625</v>
      </c>
      <c r="F9" s="51">
        <f>SUM('Facial purificante'!H22:H35)</f>
        <v>9850</v>
      </c>
      <c r="G9" s="51">
        <f>SUM('Facial purificante'!H36:H42)</f>
        <v>3850</v>
      </c>
      <c r="H9" s="51">
        <f>SUM('Facial purificante'!H43:H44)</f>
        <v>1782.5</v>
      </c>
      <c r="I9" s="51">
        <f>SUM('Facial purificante'!H45:H47)</f>
        <v>2750</v>
      </c>
      <c r="J9" s="51">
        <f>SUM('Facial purificante'!H48:H56)</f>
        <v>6900</v>
      </c>
      <c r="K9" s="51">
        <f>SUM('Facial purificante'!H57:H62)</f>
        <v>3450</v>
      </c>
      <c r="L9" s="51">
        <f>SUM('Facial purificante'!H63:H72)</f>
        <v>5922.5</v>
      </c>
      <c r="M9" s="51">
        <f>SUM('Facial purificante'!H73:H77)</f>
        <v>5666.9998999999998</v>
      </c>
      <c r="N9" s="42">
        <f t="shared" si="1"/>
        <v>53654.499900000003</v>
      </c>
      <c r="O9" s="39">
        <f>+'Facial purificante'!H78</f>
        <v>53654.499900000003</v>
      </c>
      <c r="P9" s="39">
        <f t="shared" si="0"/>
        <v>0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</row>
    <row r="10" spans="1:41" ht="24.95" customHeight="1" x14ac:dyDescent="0.25">
      <c r="A10" s="29" t="s">
        <v>29</v>
      </c>
      <c r="B10" s="41">
        <v>0</v>
      </c>
      <c r="C10" s="41">
        <f>SUM(Hifu!H3:H5)</f>
        <v>10930</v>
      </c>
      <c r="D10" s="41">
        <v>0</v>
      </c>
      <c r="E10" s="41">
        <v>0</v>
      </c>
      <c r="F10" s="51">
        <f>SUM(Hifu!H6)</f>
        <v>3500</v>
      </c>
      <c r="G10" s="51">
        <v>0</v>
      </c>
      <c r="H10" s="51">
        <f>SUM(Hifu!H7:H10)</f>
        <v>15200</v>
      </c>
      <c r="I10" s="51">
        <f>SUM(Hifu!H11:H12)</f>
        <v>6583</v>
      </c>
      <c r="J10" s="51">
        <v>0</v>
      </c>
      <c r="K10" s="51">
        <v>0</v>
      </c>
      <c r="L10" s="51">
        <f>SUM(Hifu!H13)</f>
        <v>2800</v>
      </c>
      <c r="M10" s="51">
        <f>SUM(Hifu!H14:H16)</f>
        <v>13168</v>
      </c>
      <c r="N10" s="42">
        <f t="shared" si="1"/>
        <v>52181</v>
      </c>
      <c r="O10" s="39">
        <f>+Hifu!H17</f>
        <v>52181</v>
      </c>
      <c r="P10" s="39">
        <f t="shared" si="0"/>
        <v>0</v>
      </c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</row>
    <row r="11" spans="1:41" ht="24.95" customHeight="1" x14ac:dyDescent="0.25">
      <c r="A11" s="29" t="s">
        <v>30</v>
      </c>
      <c r="B11" s="41">
        <f>SUM(Hydrafacial!H3:H4)</f>
        <v>1167.5999999999999</v>
      </c>
      <c r="C11" s="41">
        <f>SUM(Hydrafacial!H5:H6)</f>
        <v>3169</v>
      </c>
      <c r="D11" s="41">
        <f>SUM(Hydrafacial!H7:H8)</f>
        <v>1668</v>
      </c>
      <c r="E11" s="41">
        <v>0</v>
      </c>
      <c r="F11" s="51">
        <f>SUM(Hydrafacial!H9:H10)</f>
        <v>1595</v>
      </c>
      <c r="G11" s="51">
        <f>SUM(Hydrafacial!H11:H12)</f>
        <v>3636.2400000000002</v>
      </c>
      <c r="H11" s="51">
        <f>SUM(Hydrafacial!H13:H17)</f>
        <v>5985.4</v>
      </c>
      <c r="I11" s="51">
        <f>SUM(Hydrafacial!H18:H19)</f>
        <v>2501.3999999999996</v>
      </c>
      <c r="J11" s="51">
        <f>SUM(Hydrafacial!H20:H21)</f>
        <v>2502</v>
      </c>
      <c r="K11" s="51">
        <f>SUM(Hydrafacial!H22:H26)</f>
        <v>6122</v>
      </c>
      <c r="L11" s="51">
        <f>SUM(Hydrafacial!H27:H29)</f>
        <v>3669.6</v>
      </c>
      <c r="M11" s="51">
        <f>SUM(Hydrafacial!H30:H35)</f>
        <v>6672</v>
      </c>
      <c r="N11" s="42">
        <f t="shared" si="1"/>
        <v>38688.239999999998</v>
      </c>
      <c r="O11" s="39">
        <f>+Hydrafacial!H36</f>
        <v>38688.240000000005</v>
      </c>
      <c r="P11" s="39">
        <f t="shared" si="0"/>
        <v>0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</row>
    <row r="12" spans="1:41" ht="24.95" customHeight="1" x14ac:dyDescent="0.25">
      <c r="A12" s="29" t="s">
        <v>32</v>
      </c>
      <c r="B12" s="41">
        <f>SUM(Laboratorios!H3:H5)</f>
        <v>2810</v>
      </c>
      <c r="C12" s="41">
        <f>SUM(Laboratorios!H6)</f>
        <v>47</v>
      </c>
      <c r="D12" s="41">
        <f>SUM(Laboratorios!H7)</f>
        <v>750</v>
      </c>
      <c r="E12" s="41">
        <f>SUM(Laboratorios!H8)</f>
        <v>750</v>
      </c>
      <c r="F12" s="51">
        <v>0</v>
      </c>
      <c r="G12" s="51">
        <v>0</v>
      </c>
      <c r="H12" s="51">
        <f>SUM(Laboratorios!H9:H11)</f>
        <v>2796.95</v>
      </c>
      <c r="I12" s="51">
        <f>SUM(Laboratorios!H12:H16)</f>
        <v>5186.46</v>
      </c>
      <c r="J12" s="51">
        <v>0</v>
      </c>
      <c r="K12" s="51">
        <f>SUM(Laboratorios!H17)</f>
        <v>750</v>
      </c>
      <c r="L12" s="51">
        <v>0</v>
      </c>
      <c r="M12" s="51">
        <v>0</v>
      </c>
      <c r="N12" s="42">
        <f t="shared" si="1"/>
        <v>13090.41</v>
      </c>
      <c r="O12" s="39">
        <f>+Laboratorios!H18</f>
        <v>13090.41</v>
      </c>
      <c r="P12" s="39">
        <f t="shared" si="0"/>
        <v>0</v>
      </c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</row>
    <row r="13" spans="1:41" ht="24.95" customHeight="1" x14ac:dyDescent="0.25">
      <c r="A13" s="29" t="s">
        <v>33</v>
      </c>
      <c r="B13" s="41">
        <f>SUM('Masaje linfatico'!H3:H9)</f>
        <v>6097</v>
      </c>
      <c r="C13" s="41">
        <f>SUM('Masaje linfatico'!H10:H12)</f>
        <v>777</v>
      </c>
      <c r="D13" s="41">
        <f>SUM('Masaje linfatico'!H13:H19)</f>
        <v>6636</v>
      </c>
      <c r="E13" s="41">
        <f>SUM('Masaje linfatico'!H20:H21)</f>
        <v>2950</v>
      </c>
      <c r="F13" s="51">
        <f>SUM('Masaje linfatico'!H22:H28)</f>
        <v>6518</v>
      </c>
      <c r="G13" s="51">
        <f>SUM('Masaje linfatico'!H29:H32)</f>
        <v>5859</v>
      </c>
      <c r="H13" s="51">
        <f>SUM('Masaje linfatico'!H33:H36)</f>
        <v>5659</v>
      </c>
      <c r="I13" s="51">
        <f>SUM('Masaje linfatico'!H37:H42)</f>
        <v>6577</v>
      </c>
      <c r="J13" s="51">
        <f>SUM('Masaje linfatico'!H43:H47)</f>
        <v>5459</v>
      </c>
      <c r="K13" s="51">
        <f>SUM('Masaje linfatico'!H48:H50)</f>
        <v>3459</v>
      </c>
      <c r="L13" s="51">
        <f>SUM('Masaje linfatico'!H51:H54)</f>
        <v>6059</v>
      </c>
      <c r="M13" s="51">
        <f>SUM('Masaje linfatico'!H55:H57)</f>
        <v>4700</v>
      </c>
      <c r="N13" s="42">
        <f t="shared" si="1"/>
        <v>60750</v>
      </c>
      <c r="O13" s="39">
        <f>+'Masaje linfatico'!H58</f>
        <v>60750</v>
      </c>
      <c r="P13" s="39">
        <f t="shared" si="0"/>
        <v>0</v>
      </c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</row>
    <row r="14" spans="1:41" ht="24.95" customHeight="1" x14ac:dyDescent="0.25">
      <c r="A14" s="29" t="s">
        <v>34</v>
      </c>
      <c r="B14" s="41">
        <f>SUM(Mesoterapia!H3)</f>
        <v>4800</v>
      </c>
      <c r="C14" s="41">
        <f>SUM(Mesoterapia!H4)</f>
        <v>2400</v>
      </c>
      <c r="D14" s="41">
        <f>SUM(Mesoterapia!H5:H9)</f>
        <v>9490</v>
      </c>
      <c r="E14" s="41">
        <f>SUM(Mesoterapia!H10:H12)</f>
        <v>9900</v>
      </c>
      <c r="F14" s="51">
        <f>SUM(Mesoterapia!H13)</f>
        <v>3400</v>
      </c>
      <c r="G14" s="51">
        <v>0</v>
      </c>
      <c r="H14" s="51">
        <f>SUM(Mesoterapia!H14:H15)</f>
        <v>4420</v>
      </c>
      <c r="I14" s="51">
        <f>SUM(Mesoterapia!H16)</f>
        <v>5000</v>
      </c>
      <c r="J14" s="51">
        <f>SUM(Mesoterapia!H17:H20)</f>
        <v>16100</v>
      </c>
      <c r="K14" s="51">
        <v>0</v>
      </c>
      <c r="L14" s="51">
        <f>SUM(Mesoterapia!H21:H22)</f>
        <v>7397.6</v>
      </c>
      <c r="M14" s="51">
        <f>SUM(Mesoterapia!H23)</f>
        <v>2500</v>
      </c>
      <c r="N14" s="42">
        <f t="shared" si="1"/>
        <v>65407.6</v>
      </c>
      <c r="O14" s="39">
        <f>+Mesoterapia!H24</f>
        <v>65407.6</v>
      </c>
      <c r="P14" s="39">
        <f t="shared" si="0"/>
        <v>0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</row>
    <row r="15" spans="1:41" ht="24.95" customHeight="1" x14ac:dyDescent="0.25">
      <c r="A15" s="29" t="s">
        <v>39</v>
      </c>
      <c r="B15" s="41">
        <f>SUM(Morpheus!H3:H18)</f>
        <v>101200</v>
      </c>
      <c r="C15" s="41">
        <f>SUM(Morpheus!H19:H23)</f>
        <v>50000</v>
      </c>
      <c r="D15" s="41">
        <f>SUM(Morpheus!H24:H41)</f>
        <v>210000</v>
      </c>
      <c r="E15" s="41">
        <f>SUM(Morpheus!H42:H52)</f>
        <v>125000</v>
      </c>
      <c r="F15" s="51">
        <f>SUM(Morpheus!H53:H66)</f>
        <v>156500</v>
      </c>
      <c r="G15" s="51">
        <f>SUM(Morpheus!H67:H76)</f>
        <v>85000</v>
      </c>
      <c r="H15" s="51">
        <f>SUM(Morpheus!H77:H82)</f>
        <v>70000</v>
      </c>
      <c r="I15" s="51">
        <f>SUM(Morpheus!H83:H97)</f>
        <v>145000</v>
      </c>
      <c r="J15" s="51">
        <f>SUM(Morpheus!H98:H101)</f>
        <v>40000</v>
      </c>
      <c r="K15" s="51">
        <f>SUM(Morpheus!H102:H108)</f>
        <v>80000</v>
      </c>
      <c r="L15" s="51">
        <f>SUM(Morpheus!H109:H115)</f>
        <v>70000</v>
      </c>
      <c r="M15" s="51">
        <f>SUM(Morpheus!H116:H120)</f>
        <v>50000</v>
      </c>
      <c r="N15" s="42">
        <f t="shared" si="1"/>
        <v>1182700</v>
      </c>
      <c r="O15" s="39">
        <f>+Morpheus!H121</f>
        <v>1182700</v>
      </c>
      <c r="P15" s="39">
        <f t="shared" si="0"/>
        <v>0</v>
      </c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</row>
    <row r="16" spans="1:41" ht="24.95" customHeight="1" x14ac:dyDescent="0.25">
      <c r="A16" s="29" t="s">
        <v>40</v>
      </c>
      <c r="B16" s="41">
        <v>0</v>
      </c>
      <c r="C16" s="41">
        <f>SUM('Pico-láser'!H3:H5)</f>
        <v>5300</v>
      </c>
      <c r="D16" s="41">
        <v>0</v>
      </c>
      <c r="E16" s="4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42">
        <f t="shared" si="1"/>
        <v>5300</v>
      </c>
      <c r="O16" s="39">
        <f>+'Pico-láser'!H6</f>
        <v>5300</v>
      </c>
      <c r="P16" s="39">
        <f t="shared" si="0"/>
        <v>0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</row>
    <row r="17" spans="1:41" ht="24.95" customHeight="1" x14ac:dyDescent="0.25">
      <c r="A17" s="29" t="s">
        <v>42</v>
      </c>
      <c r="B17" s="41">
        <f>SUM(Powershape!H3)</f>
        <v>1596</v>
      </c>
      <c r="C17" s="41">
        <v>0</v>
      </c>
      <c r="D17" s="41">
        <v>0</v>
      </c>
      <c r="E17" s="4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42">
        <f t="shared" si="1"/>
        <v>1596</v>
      </c>
      <c r="O17" s="39">
        <f>+Powershape!H4</f>
        <v>1596</v>
      </c>
      <c r="P17" s="39">
        <f t="shared" si="0"/>
        <v>0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</row>
    <row r="18" spans="1:41" ht="24.95" customHeight="1" x14ac:dyDescent="0.25">
      <c r="A18" s="29" t="s">
        <v>70</v>
      </c>
      <c r="B18" s="41">
        <v>0</v>
      </c>
      <c r="C18" s="41">
        <v>0</v>
      </c>
      <c r="D18" s="41">
        <v>0</v>
      </c>
      <c r="E18" s="41">
        <v>0</v>
      </c>
      <c r="F18" s="51">
        <v>0</v>
      </c>
      <c r="G18" s="51">
        <v>0</v>
      </c>
      <c r="H18" s="51">
        <f>SUM(Profhilo!H3)</f>
        <v>3000</v>
      </c>
      <c r="I18" s="51">
        <v>0</v>
      </c>
      <c r="J18" s="51">
        <v>0</v>
      </c>
      <c r="K18" s="51"/>
      <c r="L18" s="51">
        <f>SUM(Profhilo!H4:H5)</f>
        <v>10000</v>
      </c>
      <c r="M18" s="51">
        <f>SUM(Profhilo!H6:H11)</f>
        <v>13750</v>
      </c>
      <c r="N18" s="42">
        <f t="shared" si="1"/>
        <v>26750</v>
      </c>
      <c r="O18" s="39">
        <f>+Profhilo!H12</f>
        <v>26750</v>
      </c>
      <c r="P18" s="39">
        <f t="shared" si="0"/>
        <v>0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</row>
    <row r="19" spans="1:41" ht="24.95" customHeight="1" x14ac:dyDescent="0.25">
      <c r="A19" s="29" t="s">
        <v>47</v>
      </c>
      <c r="B19" s="41">
        <f>SUM(PRP!H3:H5)</f>
        <v>7040</v>
      </c>
      <c r="C19" s="41">
        <f>SUM(PRP!H6:H22)</f>
        <v>34970</v>
      </c>
      <c r="D19" s="41">
        <f>SUM(PRP!H23:H27)</f>
        <v>11200</v>
      </c>
      <c r="E19" s="41">
        <f>SUM(PRP!H28:H36)</f>
        <v>8020</v>
      </c>
      <c r="F19" s="51">
        <f>SUM(PRP!H37:H59)</f>
        <v>44442</v>
      </c>
      <c r="G19" s="51">
        <f>SUM(PRP!H60:H74)</f>
        <v>30978.400000000001</v>
      </c>
      <c r="H19" s="51">
        <f>SUM(PRP!H75:H92)</f>
        <v>52400</v>
      </c>
      <c r="I19" s="51">
        <f>SUM(PRP!H93:H103)</f>
        <v>30900</v>
      </c>
      <c r="J19" s="51">
        <f>SUM(PRP!H104:H144)</f>
        <v>60200</v>
      </c>
      <c r="K19" s="51">
        <f>SUM(PRP!H145:H154)</f>
        <v>21020</v>
      </c>
      <c r="L19" s="51">
        <f>SUM(PRP!H155:H161)</f>
        <v>15400</v>
      </c>
      <c r="M19" s="51">
        <f>SUM(PRP!H162:H170)</f>
        <v>23360</v>
      </c>
      <c r="N19" s="42">
        <f t="shared" si="1"/>
        <v>339930.4</v>
      </c>
      <c r="O19" s="39">
        <f>+PRP!H171</f>
        <v>339930.4</v>
      </c>
      <c r="P19" s="39">
        <f t="shared" si="0"/>
        <v>0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</row>
    <row r="20" spans="1:41" ht="24.95" customHeight="1" x14ac:dyDescent="0.25">
      <c r="A20" s="29" t="s">
        <v>49</v>
      </c>
      <c r="B20" s="41">
        <f>SUM(Radiofrecuencia!H3:H8)</f>
        <v>16680</v>
      </c>
      <c r="C20" s="41">
        <f>SUM(Radiofrecuencia!H9)</f>
        <v>1670</v>
      </c>
      <c r="D20" s="41">
        <f>SUM(Radiofrecuencia!H10:H13)</f>
        <v>10560</v>
      </c>
      <c r="E20" s="41">
        <f>SUM(Radiofrecuencia!H14)</f>
        <v>1780</v>
      </c>
      <c r="F20" s="51">
        <f>SUM(Radiofrecuencia!H15)</f>
        <v>3560</v>
      </c>
      <c r="G20" s="51">
        <f>SUM(Radiofrecuencia!H16:H24)</f>
        <v>24639.999799999998</v>
      </c>
      <c r="H20" s="51">
        <f>SUM(Radiofrecuencia!H25:H33)</f>
        <v>24676</v>
      </c>
      <c r="I20" s="51">
        <f>SUM(Radiofrecuencia!H34:H38)</f>
        <v>7200</v>
      </c>
      <c r="J20" s="51">
        <f>SUM(Radiofrecuencia!H39:H46)</f>
        <v>21002</v>
      </c>
      <c r="K20" s="51">
        <f>SUM(Radiofrecuencia!H47:H48)</f>
        <v>8880</v>
      </c>
      <c r="L20" s="51">
        <f>SUM(Radiofrecuencia!H49:H51)</f>
        <v>12015</v>
      </c>
      <c r="M20" s="51">
        <f>SUM(Radiofrecuencia!H52:H59)</f>
        <v>21350</v>
      </c>
      <c r="N20" s="42">
        <f t="shared" si="1"/>
        <v>154012.99979999999</v>
      </c>
      <c r="O20" s="39">
        <f>+Radiofrecuencia!H60</f>
        <v>154012.99979999999</v>
      </c>
      <c r="P20" s="39">
        <f t="shared" si="0"/>
        <v>0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</row>
    <row r="21" spans="1:41" ht="24.95" customHeight="1" x14ac:dyDescent="0.25">
      <c r="A21" s="29" t="s">
        <v>71</v>
      </c>
      <c r="B21" s="41">
        <v>0</v>
      </c>
      <c r="C21" s="41">
        <f>SUM(Ultrasonido!H3)</f>
        <v>220</v>
      </c>
      <c r="D21" s="41">
        <f>SUM(Ultrasonido!H4:H5)</f>
        <v>1230</v>
      </c>
      <c r="E21" s="41">
        <f>SUM(Ultrasonido!H6:H11)</f>
        <v>4020</v>
      </c>
      <c r="F21" s="51">
        <f>SUM(Ultrasonido!H12:H17)</f>
        <v>5680</v>
      </c>
      <c r="G21" s="51">
        <f>SUM(Ultrasonido!H18:H23)</f>
        <v>9450</v>
      </c>
      <c r="H21" s="51">
        <f>SUM(Ultrasonido!H24:H26)</f>
        <v>3780</v>
      </c>
      <c r="I21" s="51">
        <f>SUM(Ultrasonido!H27:H28)</f>
        <v>2880</v>
      </c>
      <c r="J21" s="51">
        <f>SUM(Ultrasonido!H29:H34)</f>
        <v>6590</v>
      </c>
      <c r="K21" s="51">
        <f>SUM(Ultrasonido!H35)</f>
        <v>180</v>
      </c>
      <c r="L21" s="51">
        <f>SUM(Ultrasonido!H36)</f>
        <v>360</v>
      </c>
      <c r="M21" s="51">
        <f>SUM(Ultrasonido!H37)</f>
        <v>1620</v>
      </c>
      <c r="N21" s="42">
        <f t="shared" si="1"/>
        <v>36010</v>
      </c>
      <c r="O21" s="39">
        <f>+Ultrasonido!H38</f>
        <v>36010</v>
      </c>
      <c r="P21" s="39">
        <f t="shared" si="0"/>
        <v>0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</row>
    <row r="22" spans="1:41" ht="24.95" customHeight="1" x14ac:dyDescent="0.25">
      <c r="A22" s="29" t="s">
        <v>52</v>
      </c>
      <c r="B22" s="41">
        <f>SUM('Velo de acido hialuronico'!H3:H6)</f>
        <v>2550</v>
      </c>
      <c r="C22" s="41">
        <f>SUM('Velo de acido hialuronico'!H7)</f>
        <v>650</v>
      </c>
      <c r="D22" s="41">
        <v>0</v>
      </c>
      <c r="E22" s="41">
        <v>0</v>
      </c>
      <c r="F22" s="51">
        <v>0</v>
      </c>
      <c r="G22" s="51">
        <v>0</v>
      </c>
      <c r="H22" s="51">
        <v>0</v>
      </c>
      <c r="I22" s="51">
        <v>0</v>
      </c>
      <c r="J22" s="51">
        <f>SUM('Velo de acido hialuronico'!H8:H11)</f>
        <v>5960</v>
      </c>
      <c r="K22" s="51">
        <v>0</v>
      </c>
      <c r="L22" s="51">
        <f>SUM('Velo de acido hialuronico'!H12)</f>
        <v>650</v>
      </c>
      <c r="M22" s="51">
        <v>0</v>
      </c>
      <c r="N22" s="42">
        <f t="shared" si="1"/>
        <v>9810</v>
      </c>
      <c r="O22" s="39">
        <f>+'Velo de acido hialuronico'!H13</f>
        <v>9810</v>
      </c>
      <c r="P22" s="39">
        <f t="shared" si="0"/>
        <v>0</v>
      </c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</row>
    <row r="23" spans="1:41" ht="24.95" customHeight="1" x14ac:dyDescent="0.25">
      <c r="A23" s="29" t="s">
        <v>53</v>
      </c>
      <c r="B23" s="41">
        <f>SUM(Velox!H3)</f>
        <v>2856</v>
      </c>
      <c r="C23" s="41">
        <v>0</v>
      </c>
      <c r="D23" s="41">
        <f>SUM(Velox!H4)</f>
        <v>2128</v>
      </c>
      <c r="E23" s="41">
        <f>SUM(Velox!H5)</f>
        <v>2500</v>
      </c>
      <c r="F23" s="51">
        <f>SUM(Velox!H6)</f>
        <v>2240</v>
      </c>
      <c r="G23" s="51">
        <f>SUM(Velox!H7:H8)</f>
        <v>6256</v>
      </c>
      <c r="H23" s="51">
        <f>SUM(Velox!H9:H10)</f>
        <v>6528</v>
      </c>
      <c r="I23" s="51">
        <f>SUM(Velox!H11:H13)</f>
        <v>6280</v>
      </c>
      <c r="J23" s="51">
        <v>0</v>
      </c>
      <c r="K23" s="51">
        <f>SUM(Velox!H14:H15)</f>
        <v>5320</v>
      </c>
      <c r="L23" s="51">
        <f>SUM(Velox!H16:H17)</f>
        <v>1700</v>
      </c>
      <c r="M23" s="51">
        <f>SUM(Velox!H18)</f>
        <v>4000</v>
      </c>
      <c r="N23" s="42">
        <f t="shared" si="1"/>
        <v>39808</v>
      </c>
      <c r="O23" s="39">
        <f>+Velox!H19</f>
        <v>39808</v>
      </c>
      <c r="P23" s="39">
        <f t="shared" si="0"/>
        <v>0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</row>
    <row r="24" spans="1:41" ht="24.95" customHeight="1" x14ac:dyDescent="0.25">
      <c r="A24" s="29" t="s">
        <v>55</v>
      </c>
      <c r="B24" s="41">
        <f>SUM(Verju!H3:H5)</f>
        <v>10100</v>
      </c>
      <c r="C24" s="41">
        <f>SUM(Verju!H6)</f>
        <v>708.33</v>
      </c>
      <c r="D24" s="41">
        <v>0</v>
      </c>
      <c r="E24" s="4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42">
        <f t="shared" si="1"/>
        <v>10808.33</v>
      </c>
      <c r="O24" s="39">
        <f>+Verju!H7</f>
        <v>10808.33</v>
      </c>
      <c r="P24" s="39">
        <f t="shared" si="0"/>
        <v>0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</row>
    <row r="25" spans="1:41" ht="24.95" customHeight="1" x14ac:dyDescent="0.25">
      <c r="A25" s="29" t="s">
        <v>56</v>
      </c>
      <c r="B25" s="41">
        <f>SUM('Vitamina C intravenosa'!H3:H26)</f>
        <v>16969.5</v>
      </c>
      <c r="C25" s="41">
        <f>SUM('Vitamina C intravenosa'!H27:H47)</f>
        <v>18503</v>
      </c>
      <c r="D25" s="41">
        <f>SUM('Vitamina C intravenosa'!H48:H60)</f>
        <v>15940</v>
      </c>
      <c r="E25" s="41">
        <f>SUM('Vitamina C intravenosa'!H61:H71)</f>
        <v>8560</v>
      </c>
      <c r="F25" s="51">
        <f>SUM('Vitamina C intravenosa'!H72:H87)</f>
        <v>19795</v>
      </c>
      <c r="G25" s="51">
        <f>SUM('Vitamina C intravenosa'!H88:H101)</f>
        <v>17412.599999999999</v>
      </c>
      <c r="H25" s="51">
        <f>SUM('Vitamina C intravenosa'!H102:H109)</f>
        <v>10700</v>
      </c>
      <c r="I25" s="51">
        <f>SUM('Vitamina C intravenosa'!H110:H120)</f>
        <v>7998</v>
      </c>
      <c r="J25" s="51">
        <f>SUM('Vitamina C intravenosa'!H121:H141)</f>
        <v>24451</v>
      </c>
      <c r="K25" s="51">
        <f>SUM('Vitamina C intravenosa'!H142:H156)</f>
        <v>18026</v>
      </c>
      <c r="L25" s="51">
        <f>SUM('Vitamina C intravenosa'!H157:H174)</f>
        <v>23916</v>
      </c>
      <c r="M25" s="51">
        <f>SUM('Vitamina C intravenosa'!H175:H183)</f>
        <v>13751</v>
      </c>
      <c r="N25" s="42">
        <f t="shared" si="1"/>
        <v>196022.1</v>
      </c>
      <c r="O25" s="39">
        <f>+'Vitamina C intravenosa'!H184</f>
        <v>196022.1</v>
      </c>
      <c r="P25" s="39">
        <f t="shared" si="0"/>
        <v>0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</row>
    <row r="26" spans="1:41" ht="24.95" customHeight="1" x14ac:dyDescent="0.25">
      <c r="A26" s="29" t="s">
        <v>60</v>
      </c>
      <c r="B26" s="41">
        <v>0</v>
      </c>
      <c r="C26" s="41">
        <v>0</v>
      </c>
      <c r="D26" s="41">
        <v>0</v>
      </c>
      <c r="E26" s="41">
        <f>SUM('Ciclo coolsculpting'!H3)</f>
        <v>18000</v>
      </c>
      <c r="F26" s="51">
        <v>0</v>
      </c>
      <c r="G26" s="51">
        <v>0</v>
      </c>
      <c r="H26" s="51">
        <v>0</v>
      </c>
      <c r="I26" s="51">
        <f>SUM('Ciclo coolsculpting'!H4)</f>
        <v>9000</v>
      </c>
      <c r="J26" s="51">
        <v>0</v>
      </c>
      <c r="K26" s="51">
        <v>0</v>
      </c>
      <c r="L26" s="51">
        <v>0</v>
      </c>
      <c r="M26" s="51">
        <v>0</v>
      </c>
      <c r="N26" s="42">
        <f t="shared" si="1"/>
        <v>27000</v>
      </c>
      <c r="O26" s="39">
        <f>+'Ciclo coolsculpting'!H5</f>
        <v>27000</v>
      </c>
      <c r="P26" s="39">
        <f t="shared" si="0"/>
        <v>0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</row>
    <row r="27" spans="1:41" ht="24.95" customHeight="1" x14ac:dyDescent="0.25">
      <c r="A27" s="29" t="s">
        <v>61</v>
      </c>
      <c r="B27" s="41">
        <v>0</v>
      </c>
      <c r="C27" s="41">
        <v>0</v>
      </c>
      <c r="D27" s="41">
        <v>0</v>
      </c>
      <c r="E27" s="4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42">
        <f t="shared" si="1"/>
        <v>0</v>
      </c>
      <c r="O27" s="39">
        <f>+Cliovana!H4</f>
        <v>0</v>
      </c>
      <c r="P27" s="39">
        <f t="shared" si="0"/>
        <v>0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</row>
    <row r="28" spans="1:41" ht="24.95" customHeight="1" x14ac:dyDescent="0.25">
      <c r="A28" s="29" t="s">
        <v>73</v>
      </c>
      <c r="B28" s="41">
        <f>SUM(Dermapen!H3)</f>
        <v>3000</v>
      </c>
      <c r="C28" s="41">
        <f>SUM(Dermapen!H4:H8)</f>
        <v>8160</v>
      </c>
      <c r="D28" s="41">
        <v>0</v>
      </c>
      <c r="E28" s="41">
        <f>SUM(Dermapen!H9)</f>
        <v>3300</v>
      </c>
      <c r="F28" s="51">
        <f>SUM(Dermapen!H10:H11)</f>
        <v>4300</v>
      </c>
      <c r="G28" s="51">
        <f>SUM(Dermapen!H12:H15)</f>
        <v>4900</v>
      </c>
      <c r="H28" s="51">
        <f>SUM(Dermapen!H16)</f>
        <v>1000</v>
      </c>
      <c r="I28" s="51">
        <v>0</v>
      </c>
      <c r="J28" s="51">
        <v>0</v>
      </c>
      <c r="K28" s="51">
        <f>SUM(Dermapen!H17)</f>
        <v>1280</v>
      </c>
      <c r="L28" s="51">
        <f>SUM(Dermapen!H18)</f>
        <v>3300</v>
      </c>
      <c r="M28" s="51">
        <f>SUM(Dermapen!H19)</f>
        <v>3240</v>
      </c>
      <c r="N28" s="42">
        <f t="shared" si="1"/>
        <v>32480</v>
      </c>
      <c r="O28" s="39">
        <f>+Dermapen!H20</f>
        <v>32480</v>
      </c>
      <c r="P28" s="39">
        <f t="shared" si="0"/>
        <v>0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</row>
    <row r="29" spans="1:41" ht="24.95" customHeight="1" x14ac:dyDescent="0.25">
      <c r="A29" s="29" t="s">
        <v>64</v>
      </c>
      <c r="B29" s="41">
        <f>SUM('Láser CO2'!H3)</f>
        <v>3900</v>
      </c>
      <c r="C29" s="41">
        <v>0</v>
      </c>
      <c r="D29" s="41">
        <f>SUM('Láser CO2'!H4)</f>
        <v>5000</v>
      </c>
      <c r="E29" s="41">
        <v>0</v>
      </c>
      <c r="F29" s="51">
        <f>SUM('Láser CO2'!H5:H6)</f>
        <v>10680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f>SUM('Láser CO2'!H7:H8)</f>
        <v>9500</v>
      </c>
      <c r="M29" s="51">
        <v>0</v>
      </c>
      <c r="N29" s="42">
        <f t="shared" si="1"/>
        <v>29080</v>
      </c>
      <c r="O29" s="39">
        <f>+'Láser CO2'!H9</f>
        <v>29080</v>
      </c>
      <c r="P29" s="39">
        <f t="shared" si="0"/>
        <v>0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</row>
    <row r="30" spans="1:41" ht="24.95" customHeight="1" x14ac:dyDescent="0.25">
      <c r="A30" s="29" t="s">
        <v>72</v>
      </c>
      <c r="B30" s="41">
        <f>SUM('Masaje relajante'!H3:H4)</f>
        <v>550</v>
      </c>
      <c r="C30" s="41">
        <f>SUM('Masaje relajante'!H5)</f>
        <v>280</v>
      </c>
      <c r="D30" s="41">
        <v>0</v>
      </c>
      <c r="E30" s="41">
        <v>0</v>
      </c>
      <c r="F30" s="51">
        <f>SUM('Masaje relajante'!H6)</f>
        <v>2000</v>
      </c>
      <c r="G30" s="51">
        <f>SUM('Masaje relajante'!H7:H8)</f>
        <v>1050</v>
      </c>
      <c r="H30" s="51">
        <f>SUM('Masaje relajante'!H9)</f>
        <v>250</v>
      </c>
      <c r="I30" s="51">
        <f>SUM('Masaje relajante'!H10)</f>
        <v>250</v>
      </c>
      <c r="J30" s="51">
        <f>SUM('Masaje relajante'!H11:H12)</f>
        <v>2400</v>
      </c>
      <c r="K30" s="51">
        <v>0</v>
      </c>
      <c r="L30" s="51">
        <v>0</v>
      </c>
      <c r="M30" s="51">
        <f>SUM('Masaje relajante'!H13:H14)</f>
        <v>3250</v>
      </c>
      <c r="N30" s="42">
        <f t="shared" si="1"/>
        <v>10030</v>
      </c>
      <c r="O30" s="39">
        <f>+'Masaje relajante'!H15</f>
        <v>10030</v>
      </c>
      <c r="P30" s="39">
        <f t="shared" si="0"/>
        <v>0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</row>
    <row r="31" spans="1:41" ht="24.95" customHeight="1" x14ac:dyDescent="0.25">
      <c r="A31" s="29" t="s">
        <v>66</v>
      </c>
      <c r="B31" s="41">
        <v>0</v>
      </c>
      <c r="C31" s="41">
        <v>0</v>
      </c>
      <c r="D31" s="41">
        <v>0</v>
      </c>
      <c r="E31" s="4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42">
        <f t="shared" si="1"/>
        <v>0</v>
      </c>
      <c r="O31" s="39">
        <f>+Oligoelementos!H4</f>
        <v>0</v>
      </c>
      <c r="P31" s="39">
        <f t="shared" si="0"/>
        <v>0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</row>
    <row r="32" spans="1:41" ht="24.95" customHeight="1" x14ac:dyDescent="0.25">
      <c r="A32" s="29" t="s">
        <v>84</v>
      </c>
      <c r="B32" s="41">
        <f>SUM(Grow!H3:H8)</f>
        <v>20202.09</v>
      </c>
      <c r="C32" s="41">
        <f>SUM(Grow!H9:H14)</f>
        <v>20002.09</v>
      </c>
      <c r="D32" s="41">
        <f>SUM(Grow!H15:H19)</f>
        <v>19552.09</v>
      </c>
      <c r="E32" s="41">
        <f>SUM(Grow!H20:H24)</f>
        <v>19552.09</v>
      </c>
      <c r="F32" s="51">
        <f>SUM(Grow!H25:H30)</f>
        <v>19752.09</v>
      </c>
      <c r="G32" s="51">
        <f>SUM(Grow!H31:H35)</f>
        <v>19552.09</v>
      </c>
      <c r="H32" s="51">
        <f>SUM(Grow!H36:H40)</f>
        <v>13732.09</v>
      </c>
      <c r="I32" s="51">
        <f>SUM(Grow!H41:H44)</f>
        <v>8662.09</v>
      </c>
      <c r="J32" s="51">
        <f>SUM(Grow!H45:H47)</f>
        <v>7572.59</v>
      </c>
      <c r="K32" s="51">
        <v>0</v>
      </c>
      <c r="L32" s="51">
        <f>SUM(Grow!H48:H53)</f>
        <v>15824.18</v>
      </c>
      <c r="M32" s="51">
        <f>SUM(Grow!H54:H57)</f>
        <v>9662.09</v>
      </c>
      <c r="N32" s="42">
        <f t="shared" si="1"/>
        <v>174065.58</v>
      </c>
      <c r="O32" s="39">
        <f>+Grow!H58</f>
        <v>174065.57999999996</v>
      </c>
      <c r="P32" s="39">
        <f t="shared" si="0"/>
        <v>0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</row>
    <row r="33" spans="1:41" ht="24.95" customHeight="1" x14ac:dyDescent="0.25">
      <c r="A33" s="29" t="s">
        <v>86</v>
      </c>
      <c r="B33" s="41">
        <v>0</v>
      </c>
      <c r="C33" s="41">
        <v>0</v>
      </c>
      <c r="D33" s="41">
        <f>SUM('Abonos a tratamientos'!H3)</f>
        <v>95</v>
      </c>
      <c r="E33" s="4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42">
        <f t="shared" si="1"/>
        <v>95</v>
      </c>
      <c r="O33" s="39">
        <f>+'Abonos a tratamientos'!H4</f>
        <v>95</v>
      </c>
      <c r="P33" s="39">
        <f t="shared" si="0"/>
        <v>0</v>
      </c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</row>
    <row r="34" spans="1:41" ht="24.95" customHeight="1" x14ac:dyDescent="0.25">
      <c r="A34" s="29" t="s">
        <v>87</v>
      </c>
      <c r="B34" s="41">
        <f>SUM('Celulas madre'!H3:H4)</f>
        <v>50600</v>
      </c>
      <c r="C34" s="41">
        <v>0</v>
      </c>
      <c r="D34" s="41">
        <f>SUM('Celulas madre'!H5)</f>
        <v>22750</v>
      </c>
      <c r="E34" s="41">
        <f>SUM('Celulas madre'!H6)</f>
        <v>24250</v>
      </c>
      <c r="F34" s="51">
        <v>0</v>
      </c>
      <c r="G34" s="51">
        <v>0</v>
      </c>
      <c r="H34" s="51">
        <f>SUM('Celulas madre'!H7:H8)</f>
        <v>45400</v>
      </c>
      <c r="I34" s="51">
        <f>SUM('Celulas madre'!H9)</f>
        <v>19150</v>
      </c>
      <c r="J34" s="51">
        <v>0</v>
      </c>
      <c r="K34" s="51">
        <f>SUM('Celulas madre'!H10:H11)</f>
        <v>52350</v>
      </c>
      <c r="L34" s="51">
        <v>0</v>
      </c>
      <c r="M34" s="51">
        <v>0</v>
      </c>
      <c r="N34" s="42">
        <f t="shared" si="1"/>
        <v>214500</v>
      </c>
      <c r="O34" s="39">
        <f>+'Celulas madre'!H12</f>
        <v>214500</v>
      </c>
      <c r="P34" s="39">
        <f t="shared" si="0"/>
        <v>0</v>
      </c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</row>
    <row r="35" spans="1:41" ht="24.95" customHeight="1" x14ac:dyDescent="0.25">
      <c r="A35" s="29" t="s">
        <v>98</v>
      </c>
      <c r="B35" s="41">
        <v>0</v>
      </c>
      <c r="C35" s="41">
        <v>0</v>
      </c>
      <c r="D35" s="41">
        <v>0</v>
      </c>
      <c r="E35" s="4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42">
        <f t="shared" si="1"/>
        <v>0</v>
      </c>
      <c r="O35" s="39">
        <f>+'Lipo-recover'!H4</f>
        <v>0</v>
      </c>
      <c r="P35" s="39">
        <f t="shared" si="0"/>
        <v>0</v>
      </c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</row>
    <row r="36" spans="1:41" ht="24.95" customHeight="1" x14ac:dyDescent="0.25">
      <c r="A36" s="29" t="s">
        <v>99</v>
      </c>
      <c r="B36" s="41">
        <v>0</v>
      </c>
      <c r="C36" s="41">
        <v>0</v>
      </c>
      <c r="D36" s="41">
        <v>0</v>
      </c>
      <c r="E36" s="4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42">
        <f t="shared" si="1"/>
        <v>0</v>
      </c>
      <c r="O36" s="39">
        <f>+Peeling!H4</f>
        <v>0</v>
      </c>
      <c r="P36" s="39">
        <f t="shared" si="0"/>
        <v>0</v>
      </c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</row>
    <row r="37" spans="1:41" ht="24.95" customHeight="1" x14ac:dyDescent="0.25">
      <c r="A37" s="29" t="s">
        <v>100</v>
      </c>
      <c r="B37" s="41">
        <f>SUM('Spectra ginecologico'!H3:H6)</f>
        <v>10000</v>
      </c>
      <c r="C37" s="41">
        <f>SUM('Spectra ginecologico'!H7:H11)</f>
        <v>15809.9998</v>
      </c>
      <c r="D37" s="41">
        <v>0</v>
      </c>
      <c r="E37" s="41">
        <f>SUM('Spectra ginecologico'!H12:H14)</f>
        <v>13999.998</v>
      </c>
      <c r="F37" s="51">
        <v>0</v>
      </c>
      <c r="G37" s="51">
        <f>SUM('Spectra ginecologico'!H15:H20)</f>
        <v>19105</v>
      </c>
      <c r="H37" s="51">
        <f>SUM('Spectra ginecologico'!H21)</f>
        <v>6000</v>
      </c>
      <c r="I37" s="51">
        <f>SUM('Spectra ginecologico'!H22:H23)</f>
        <v>2905</v>
      </c>
      <c r="J37" s="51">
        <f>SUM('Spectra ginecologico'!H24:H25)</f>
        <v>4300</v>
      </c>
      <c r="K37" s="51">
        <f>SUM('Spectra ginecologico'!H26)</f>
        <v>6000</v>
      </c>
      <c r="L37" s="51">
        <f>SUM('Spectra ginecologico'!H27:H31)</f>
        <v>17610</v>
      </c>
      <c r="M37" s="51">
        <v>0</v>
      </c>
      <c r="N37" s="42">
        <f t="shared" si="1"/>
        <v>95729.997799999997</v>
      </c>
      <c r="O37" s="39">
        <f>+'Spectra ginecologico'!H32</f>
        <v>95729.997799999997</v>
      </c>
      <c r="P37" s="39">
        <f t="shared" si="0"/>
        <v>0</v>
      </c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</row>
    <row r="38" spans="1:41" ht="24.95" customHeight="1" x14ac:dyDescent="0.25">
      <c r="A38" s="29" t="s">
        <v>101</v>
      </c>
      <c r="B38" s="41">
        <v>0</v>
      </c>
      <c r="C38" s="41">
        <v>0</v>
      </c>
      <c r="D38" s="41">
        <v>0</v>
      </c>
      <c r="E38" s="4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42">
        <f t="shared" si="1"/>
        <v>0</v>
      </c>
      <c r="O38" s="39">
        <f>+Vanquish!H4</f>
        <v>0</v>
      </c>
      <c r="P38" s="39">
        <f t="shared" si="0"/>
        <v>0</v>
      </c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</row>
    <row r="39" spans="1:41" ht="24.95" customHeight="1" x14ac:dyDescent="0.25">
      <c r="A39" s="29" t="s">
        <v>103</v>
      </c>
      <c r="B39" s="41">
        <v>0</v>
      </c>
      <c r="C39" s="41">
        <v>0</v>
      </c>
      <c r="D39" s="41">
        <v>0</v>
      </c>
      <c r="E39" s="4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42">
        <f t="shared" si="1"/>
        <v>0</v>
      </c>
      <c r="O39" s="39">
        <f>+'Eliminación de lunares'!H4:H4</f>
        <v>0</v>
      </c>
      <c r="P39" s="39">
        <f t="shared" si="0"/>
        <v>0</v>
      </c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</row>
    <row r="40" spans="1:41" ht="24.95" customHeight="1" x14ac:dyDescent="0.25">
      <c r="A40" s="29" t="s">
        <v>104</v>
      </c>
      <c r="B40" s="41">
        <v>0</v>
      </c>
      <c r="C40" s="41">
        <v>0</v>
      </c>
      <c r="D40" s="41">
        <f>SUM(Botox!H3:H118)</f>
        <v>242478.49184999999</v>
      </c>
      <c r="E40" s="41">
        <v>0</v>
      </c>
      <c r="F40" s="51">
        <v>0</v>
      </c>
      <c r="G40" s="51">
        <v>0</v>
      </c>
      <c r="H40" s="51">
        <f>SUM(Botox!H119:H248)</f>
        <v>285873.49240599998</v>
      </c>
      <c r="I40" s="51">
        <v>0</v>
      </c>
      <c r="J40" s="51">
        <v>0</v>
      </c>
      <c r="K40" s="51">
        <v>0</v>
      </c>
      <c r="L40" s="51">
        <f>SUM(Botox!H249:H354)</f>
        <v>236280.19530000002</v>
      </c>
      <c r="M40" s="51">
        <f>SUM(Botox!H355:H358)</f>
        <v>9240</v>
      </c>
      <c r="N40" s="42">
        <f t="shared" si="1"/>
        <v>773872.17955600005</v>
      </c>
      <c r="O40" s="39">
        <f>+Botox!H359</f>
        <v>773872.17955600005</v>
      </c>
      <c r="P40" s="39">
        <f t="shared" si="0"/>
        <v>0</v>
      </c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</row>
    <row r="41" spans="1:41" ht="24.95" customHeight="1" x14ac:dyDescent="0.25">
      <c r="A41" s="29" t="s">
        <v>106</v>
      </c>
      <c r="B41" s="41"/>
      <c r="C41" s="41">
        <v>0</v>
      </c>
      <c r="D41" s="41">
        <v>0</v>
      </c>
      <c r="E41" s="4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42">
        <f t="shared" si="1"/>
        <v>0</v>
      </c>
      <c r="O41" s="39">
        <f>+Xwave!H4</f>
        <v>0</v>
      </c>
      <c r="P41" s="39">
        <f t="shared" si="0"/>
        <v>0</v>
      </c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</row>
    <row r="42" spans="1:41" ht="24.95" customHeight="1" x14ac:dyDescent="0.25">
      <c r="A42" s="29" t="s">
        <v>109</v>
      </c>
      <c r="B42" s="41">
        <v>0</v>
      </c>
      <c r="C42" s="41">
        <v>0</v>
      </c>
      <c r="D42" s="41">
        <v>0</v>
      </c>
      <c r="E42" s="4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42">
        <f t="shared" si="1"/>
        <v>0</v>
      </c>
      <c r="O42" s="39">
        <f>+Encimas!H4</f>
        <v>0</v>
      </c>
      <c r="P42" s="39">
        <f t="shared" si="0"/>
        <v>0</v>
      </c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</row>
    <row r="43" spans="1:41" ht="24.95" customHeight="1" x14ac:dyDescent="0.25">
      <c r="A43" s="29" t="s">
        <v>115</v>
      </c>
      <c r="B43" s="41">
        <v>0</v>
      </c>
      <c r="C43" s="41">
        <f>SUM('Cambio de tratamiento'!H3)</f>
        <v>313.60000000000002</v>
      </c>
      <c r="D43" s="41">
        <f>SUM('Cambio de tratamiento'!H4)</f>
        <v>200</v>
      </c>
      <c r="E43" s="41">
        <v>0</v>
      </c>
      <c r="F43" s="51">
        <v>0</v>
      </c>
      <c r="G43" s="51">
        <f>SUM('Cambio de tratamiento'!H5)</f>
        <v>215</v>
      </c>
      <c r="H43" s="51">
        <f>SUM('Cambio de tratamiento'!H6)</f>
        <v>3354.58</v>
      </c>
      <c r="I43" s="51">
        <f>SUM('Cambio de tratamiento'!H7)</f>
        <v>245</v>
      </c>
      <c r="J43" s="51">
        <v>0</v>
      </c>
      <c r="K43" s="51">
        <v>0</v>
      </c>
      <c r="L43" s="51">
        <v>0</v>
      </c>
      <c r="M43" s="51">
        <v>0</v>
      </c>
      <c r="N43" s="42">
        <f t="shared" si="1"/>
        <v>4328.18</v>
      </c>
      <c r="O43" s="39">
        <f>+'Cambio de tratamiento'!H8</f>
        <v>4328.18</v>
      </c>
      <c r="P43" s="39">
        <f t="shared" si="0"/>
        <v>0</v>
      </c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</row>
    <row r="44" spans="1:41" ht="24.95" customHeight="1" x14ac:dyDescent="0.25">
      <c r="A44" s="29" t="s">
        <v>122</v>
      </c>
      <c r="B44" s="41">
        <v>0</v>
      </c>
      <c r="C44" s="41">
        <v>0</v>
      </c>
      <c r="D44" s="41">
        <f>SUM(Microdermoabrasión!H3)</f>
        <v>600</v>
      </c>
      <c r="E44" s="41">
        <v>0</v>
      </c>
      <c r="F44" s="51">
        <v>0</v>
      </c>
      <c r="G44" s="51">
        <f>SUM(Microdermoabrasión!H4)</f>
        <v>600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42">
        <f t="shared" si="1"/>
        <v>1200</v>
      </c>
      <c r="O44" s="39">
        <f>+Microdermoabrasión!H5</f>
        <v>1200</v>
      </c>
      <c r="P44" s="39">
        <f t="shared" si="0"/>
        <v>0</v>
      </c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</row>
    <row r="45" spans="1:41" ht="24.95" customHeight="1" x14ac:dyDescent="0.25">
      <c r="A45" s="29" t="s">
        <v>125</v>
      </c>
      <c r="B45" s="41">
        <v>0</v>
      </c>
      <c r="C45" s="41">
        <v>0</v>
      </c>
      <c r="D45" s="41">
        <v>0</v>
      </c>
      <c r="E45" s="41"/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42">
        <f t="shared" si="1"/>
        <v>0</v>
      </c>
      <c r="O45" s="39">
        <f>+'Terapia Luminica'!H4</f>
        <v>0</v>
      </c>
      <c r="P45" s="39">
        <f t="shared" si="0"/>
        <v>0</v>
      </c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</row>
    <row r="46" spans="1:41" ht="24.95" customHeight="1" x14ac:dyDescent="0.25">
      <c r="A46" s="29" t="s">
        <v>129</v>
      </c>
      <c r="B46" s="41">
        <f>SUM(Oscilación!H3:H14)</f>
        <v>41500</v>
      </c>
      <c r="C46" s="41">
        <f>SUM(Oscilación!H15:H20)</f>
        <v>25000</v>
      </c>
      <c r="D46" s="41">
        <f>SUM(Oscilación!H21:H28)</f>
        <v>30500</v>
      </c>
      <c r="E46" s="41">
        <f>SUM(Oscilación!H29:H35)</f>
        <v>17750</v>
      </c>
      <c r="F46" s="51">
        <f>SUM(Oscilación!H36:H38)</f>
        <v>8000</v>
      </c>
      <c r="G46" s="51">
        <f>SUM(Oscilación!H39:H46)</f>
        <v>23250</v>
      </c>
      <c r="H46" s="51">
        <f>SUM(Oscilación!H47:H54)</f>
        <v>27000</v>
      </c>
      <c r="I46" s="51">
        <f>SUM(Oscilación!H55:H61)</f>
        <v>25360</v>
      </c>
      <c r="J46" s="51">
        <f>SUM(Oscilación!H62:H70)</f>
        <v>23000</v>
      </c>
      <c r="K46" s="51">
        <f>SUM(Oscilación!H71:H76)</f>
        <v>23500</v>
      </c>
      <c r="L46" s="51">
        <f>SUM(Oscilación!H77:H79)</f>
        <v>6500</v>
      </c>
      <c r="M46" s="51">
        <f>SUM(Oscilación!H80:H85)</f>
        <v>11500</v>
      </c>
      <c r="N46" s="42">
        <f t="shared" si="1"/>
        <v>262860</v>
      </c>
      <c r="O46" s="39">
        <f>+Oscilación!H86</f>
        <v>262860</v>
      </c>
      <c r="P46" s="39">
        <f t="shared" si="0"/>
        <v>0</v>
      </c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</row>
    <row r="47" spans="1:41" ht="24.95" customHeight="1" x14ac:dyDescent="0.25">
      <c r="A47" s="29" t="s">
        <v>140</v>
      </c>
      <c r="B47" s="41">
        <f>SUM(Sueros!H3:H7)</f>
        <v>3750</v>
      </c>
      <c r="C47" s="41">
        <f>SUM(Sueros!H8:H13)</f>
        <v>4500</v>
      </c>
      <c r="D47" s="41">
        <f>SUM(Sueros!H14:H18)</f>
        <v>4500</v>
      </c>
      <c r="E47" s="41">
        <f>SUM(Sueros!H19:H22)</f>
        <v>3000</v>
      </c>
      <c r="F47" s="51">
        <f>SUM(Sueros!H23:H32)</f>
        <v>7500</v>
      </c>
      <c r="G47" s="51">
        <f>SUM(Sueros!H33:H40)</f>
        <v>6123.6</v>
      </c>
      <c r="H47" s="51">
        <f>SUM(Sueros!H41:H43)</f>
        <v>2250</v>
      </c>
      <c r="I47" s="51">
        <f>SUM(Sueros!H44:H46)</f>
        <v>2200</v>
      </c>
      <c r="J47" s="51">
        <f>SUM(Sueros!H47:H56)</f>
        <v>10715</v>
      </c>
      <c r="K47" s="51">
        <f>SUM(Sueros!H57:H61)</f>
        <v>5250</v>
      </c>
      <c r="L47" s="51">
        <f>SUM(Sueros!H62:H68)</f>
        <v>5250</v>
      </c>
      <c r="M47" s="51">
        <f>SUM(Sueros!H69)</f>
        <v>2100</v>
      </c>
      <c r="N47" s="42">
        <f t="shared" si="1"/>
        <v>57138.6</v>
      </c>
      <c r="O47" s="39">
        <f>+Sueros!H70</f>
        <v>57138.6</v>
      </c>
      <c r="P47" s="39">
        <f>+O47-N47</f>
        <v>0</v>
      </c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</row>
    <row r="48" spans="1:41" ht="24.95" customHeight="1" x14ac:dyDescent="0.25">
      <c r="A48" s="29" t="s">
        <v>216</v>
      </c>
      <c r="B48" s="41">
        <f>SUM(Presoterapia!H3:H4)</f>
        <v>4000</v>
      </c>
      <c r="C48" s="41">
        <v>0</v>
      </c>
      <c r="D48" s="41">
        <f>SUM(Presoterapia!H5)</f>
        <v>2300</v>
      </c>
      <c r="E48" s="4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42">
        <f t="shared" si="1"/>
        <v>6300</v>
      </c>
      <c r="O48" s="39">
        <f>+Presoterapia!H6</f>
        <v>6300</v>
      </c>
      <c r="P48" s="39">
        <f>+N48-O48</f>
        <v>0</v>
      </c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</row>
    <row r="49" spans="1:41" ht="24.95" customHeight="1" x14ac:dyDescent="0.25">
      <c r="A49" s="29" t="s">
        <v>326</v>
      </c>
      <c r="B49" s="41">
        <v>0</v>
      </c>
      <c r="C49" s="41">
        <f>SUM(Nioo!H3)</f>
        <v>4000</v>
      </c>
      <c r="D49" s="41">
        <f>SUM(Nioo!H4:H9)</f>
        <v>18400</v>
      </c>
      <c r="E49" s="41">
        <f>SUM(Nioo!H10)</f>
        <v>3000</v>
      </c>
      <c r="F49" s="51">
        <f>SUM(Nioo!H11:H15)</f>
        <v>10640</v>
      </c>
      <c r="G49" s="51">
        <f>SUM(Nioo!H16:H24)</f>
        <v>38000</v>
      </c>
      <c r="H49" s="51">
        <f>SUM(Nioo!H25:H26)</f>
        <v>7000</v>
      </c>
      <c r="I49" s="51">
        <f>SUM(Nioo!H27:H28)</f>
        <v>2500</v>
      </c>
      <c r="J49" s="51">
        <f>SUM(Nioo!H29:H32)</f>
        <v>14280</v>
      </c>
      <c r="K49" s="51">
        <f>SUM(Nioo!H33:H34)</f>
        <v>8000</v>
      </c>
      <c r="L49" s="51">
        <f>SUM(Nioo!H35:H37)</f>
        <v>5200</v>
      </c>
      <c r="M49" s="51">
        <f>SUM(Nioo!H38:H39)</f>
        <v>5500</v>
      </c>
      <c r="N49" s="42">
        <f t="shared" si="1"/>
        <v>116520</v>
      </c>
      <c r="O49" s="39">
        <f>+Nioo!H40</f>
        <v>116520</v>
      </c>
      <c r="P49" s="39">
        <f>+N49-O49</f>
        <v>0</v>
      </c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</row>
    <row r="50" spans="1:41" ht="24.95" customHeight="1" x14ac:dyDescent="0.25">
      <c r="A50" s="29" t="s">
        <v>944</v>
      </c>
      <c r="B50" s="41">
        <v>0</v>
      </c>
      <c r="C50" s="41">
        <v>0</v>
      </c>
      <c r="D50" s="41">
        <v>0</v>
      </c>
      <c r="E50" s="41">
        <v>0</v>
      </c>
      <c r="F50" s="51">
        <v>0</v>
      </c>
      <c r="G50" s="51">
        <v>0</v>
      </c>
      <c r="H50" s="51">
        <f>SUM(Sedación!H3)</f>
        <v>350</v>
      </c>
      <c r="I50" s="51"/>
      <c r="J50" s="51"/>
      <c r="K50" s="51"/>
      <c r="L50" s="51"/>
      <c r="M50" s="51"/>
      <c r="N50" s="42">
        <f t="shared" si="1"/>
        <v>350</v>
      </c>
      <c r="O50" s="39">
        <f>+Sedación!H4</f>
        <v>350</v>
      </c>
      <c r="P50" s="39">
        <f>+N50-O50</f>
        <v>0</v>
      </c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</row>
    <row r="51" spans="1:41" ht="24.95" customHeight="1" x14ac:dyDescent="0.25">
      <c r="A51" s="29"/>
      <c r="B51" s="41"/>
      <c r="C51" s="41"/>
      <c r="D51" s="41"/>
      <c r="E51" s="41"/>
      <c r="F51" s="51"/>
      <c r="G51" s="51"/>
      <c r="H51" s="51"/>
      <c r="I51" s="51"/>
      <c r="J51" s="51"/>
      <c r="K51" s="51"/>
      <c r="L51" s="51"/>
      <c r="M51" s="51"/>
      <c r="N51" s="42">
        <f t="shared" si="1"/>
        <v>0</v>
      </c>
      <c r="O51" s="39">
        <f>+Microdermoabrasión!H6</f>
        <v>0</v>
      </c>
      <c r="P51" s="39">
        <f t="shared" si="0"/>
        <v>0</v>
      </c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</row>
    <row r="52" spans="1:41" ht="24.95" customHeight="1" x14ac:dyDescent="0.3">
      <c r="A52" s="32" t="s">
        <v>5</v>
      </c>
      <c r="B52" s="43">
        <f t="shared" ref="B52:N52" si="2">SUM(B2:B51)</f>
        <v>393402.18960000004</v>
      </c>
      <c r="C52" s="43">
        <f t="shared" si="2"/>
        <v>272855.01980000001</v>
      </c>
      <c r="D52" s="43">
        <f t="shared" si="2"/>
        <v>714309.38185000001</v>
      </c>
      <c r="E52" s="43">
        <f t="shared" si="2"/>
        <v>332704.58800000005</v>
      </c>
      <c r="F52" s="52">
        <f t="shared" si="2"/>
        <v>418683.34</v>
      </c>
      <c r="G52" s="43">
        <f t="shared" si="2"/>
        <v>380539.42979999998</v>
      </c>
      <c r="H52" s="43">
        <f t="shared" si="2"/>
        <v>658997.76240599994</v>
      </c>
      <c r="I52" s="43">
        <f>SUM(I2:I51)</f>
        <v>348884.2</v>
      </c>
      <c r="J52" s="43">
        <f>SUM(J2:J51)</f>
        <v>355826.05</v>
      </c>
      <c r="K52" s="43">
        <f>SUM(K2:K51)</f>
        <v>280818.25</v>
      </c>
      <c r="L52" s="43">
        <f>SUM(L2:L51)</f>
        <v>619795.72530000005</v>
      </c>
      <c r="M52" s="43">
        <f>SUM(M2:M51)</f>
        <v>285924.08990000002</v>
      </c>
      <c r="N52" s="44">
        <f t="shared" si="2"/>
        <v>5062740.0266559999</v>
      </c>
      <c r="O52" s="39"/>
      <c r="P52" s="39">
        <f t="shared" si="0"/>
        <v>-5062740.0266559999</v>
      </c>
    </row>
    <row r="53" spans="1:41" ht="20.25" x14ac:dyDescent="0.25">
      <c r="B53" s="45">
        <f>+'[1]enero 23'!$B$170</f>
        <v>393402.18999999994</v>
      </c>
      <c r="C53" s="45">
        <f>+'[1]febrero 23'!$B$156</f>
        <v>272855.02</v>
      </c>
      <c r="D53" s="45">
        <f>+'[2]marzo 23'!$B$270</f>
        <v>714309.39</v>
      </c>
      <c r="E53" s="45">
        <f>+'[2]abril 23'!$B$115</f>
        <v>332704.58999999997</v>
      </c>
      <c r="F53" s="53">
        <f>+'[2]mayo 23'!$B$162</f>
        <v>418683.33999999997</v>
      </c>
      <c r="G53" s="45">
        <f>+'[2]junio 23'!$B$168</f>
        <v>380539.42999999993</v>
      </c>
      <c r="H53" s="45">
        <f>+'[2]julio 23'!$B$262</f>
        <v>658997.77</v>
      </c>
      <c r="I53" s="45">
        <f>+'[2]agosto 23'!$B$142</f>
        <v>348884.39999999997</v>
      </c>
      <c r="J53" s="45">
        <f>+'[2]septiembre 23'!$B$161</f>
        <v>355826.05</v>
      </c>
      <c r="K53" s="45">
        <f>+'[2]octubre 23'!$B$117</f>
        <v>280818.25</v>
      </c>
      <c r="L53" s="45">
        <f>+'[2]noviembre 23'!$B$250</f>
        <v>619795.52999999991</v>
      </c>
      <c r="M53" s="45">
        <f>+'[2]diciembre 23'!$B$129</f>
        <v>285924.09000000003</v>
      </c>
      <c r="N53" s="46"/>
    </row>
    <row r="54" spans="1:41" x14ac:dyDescent="0.25">
      <c r="B54" s="47">
        <f t="shared" ref="B54:G54" si="3">+B52-B53</f>
        <v>-3.999999025836587E-4</v>
      </c>
      <c r="C54" s="47">
        <f t="shared" si="3"/>
        <v>-2.0000000949949026E-4</v>
      </c>
      <c r="D54" s="47">
        <f t="shared" si="3"/>
        <v>-8.1500000087544322E-3</v>
      </c>
      <c r="E54" s="47">
        <f t="shared" si="3"/>
        <v>-1.9999999203719199E-3</v>
      </c>
      <c r="F54" s="47">
        <f t="shared" si="3"/>
        <v>0</v>
      </c>
      <c r="G54" s="47">
        <f t="shared" si="3"/>
        <v>-1.9999995129182935E-4</v>
      </c>
      <c r="H54" s="47">
        <f t="shared" ref="H54:M54" si="4">+H52-H53</f>
        <v>-7.594000082463026E-3</v>
      </c>
      <c r="I54" s="47">
        <f t="shared" si="4"/>
        <v>-0.19999999995343387</v>
      </c>
      <c r="J54" s="47">
        <f t="shared" si="4"/>
        <v>0</v>
      </c>
      <c r="K54" s="47">
        <f t="shared" si="4"/>
        <v>0</v>
      </c>
      <c r="L54" s="47">
        <f t="shared" si="4"/>
        <v>0.19530000013764948</v>
      </c>
      <c r="M54" s="47">
        <f t="shared" si="4"/>
        <v>-1.0000000474974513E-4</v>
      </c>
    </row>
  </sheetData>
  <pageMargins left="0.7" right="0.7" top="0.75" bottom="0.75" header="0.3" footer="0.3"/>
  <pageSetup paperSize="9" orientation="portrait" horizontalDpi="120" verticalDpi="7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3"/>
  <sheetViews>
    <sheetView topLeftCell="A212" workbookViewId="0">
      <selection activeCell="C230" sqref="C230"/>
    </sheetView>
  </sheetViews>
  <sheetFormatPr baseColWidth="10" defaultColWidth="9.140625" defaultRowHeight="15" x14ac:dyDescent="0.25"/>
  <cols>
    <col min="1" max="1" width="11.42578125" bestFit="1" customWidth="1"/>
    <col min="2" max="2" width="12.7109375" bestFit="1" customWidth="1"/>
    <col min="3" max="3" width="17.42578125" customWidth="1"/>
    <col min="4" max="4" width="11" customWidth="1"/>
    <col min="5" max="5" width="36.140625" bestFit="1" customWidth="1"/>
    <col min="6" max="6" width="52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58" t="s">
        <v>57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59"/>
      <c r="B2" s="66"/>
      <c r="C2" s="68"/>
      <c r="D2" s="68"/>
      <c r="E2" s="68"/>
      <c r="F2" s="68"/>
      <c r="G2" s="62"/>
      <c r="H2" s="64"/>
    </row>
    <row r="3" spans="1:8" ht="20.100000000000001" customHeight="1" x14ac:dyDescent="0.25">
      <c r="A3" s="59"/>
      <c r="B3" s="2">
        <v>44936</v>
      </c>
      <c r="C3" s="3">
        <v>2717010146</v>
      </c>
      <c r="D3" s="3">
        <v>1</v>
      </c>
      <c r="E3" s="4" t="s">
        <v>89</v>
      </c>
      <c r="F3" s="19" t="s">
        <v>79</v>
      </c>
      <c r="G3" s="5" t="s">
        <v>14</v>
      </c>
      <c r="H3" s="6">
        <v>850</v>
      </c>
    </row>
    <row r="4" spans="1:8" ht="20.100000000000001" customHeight="1" x14ac:dyDescent="0.25">
      <c r="A4" s="59"/>
      <c r="B4" s="2">
        <v>44937</v>
      </c>
      <c r="C4" s="3">
        <v>1511474418</v>
      </c>
      <c r="D4" s="3">
        <v>1</v>
      </c>
      <c r="E4" s="4" t="s">
        <v>142</v>
      </c>
      <c r="F4" s="19" t="s">
        <v>78</v>
      </c>
      <c r="G4" s="5" t="s">
        <v>6</v>
      </c>
      <c r="H4" s="6">
        <v>550</v>
      </c>
    </row>
    <row r="5" spans="1:8" ht="20.100000000000001" customHeight="1" x14ac:dyDescent="0.25">
      <c r="A5" s="59"/>
      <c r="B5" s="2">
        <v>44938</v>
      </c>
      <c r="C5" s="3">
        <v>2010334081</v>
      </c>
      <c r="D5" s="3">
        <v>1</v>
      </c>
      <c r="E5" s="4" t="s">
        <v>130</v>
      </c>
      <c r="F5" s="19" t="s">
        <v>126</v>
      </c>
      <c r="G5" s="5" t="s">
        <v>36</v>
      </c>
      <c r="H5" s="6">
        <v>1010</v>
      </c>
    </row>
    <row r="6" spans="1:8" ht="20.100000000000001" customHeight="1" x14ac:dyDescent="0.25">
      <c r="A6" s="59"/>
      <c r="B6" s="2">
        <v>44938</v>
      </c>
      <c r="C6" s="3">
        <v>2010334081</v>
      </c>
      <c r="D6" s="3">
        <v>1</v>
      </c>
      <c r="E6" s="4" t="s">
        <v>130</v>
      </c>
      <c r="F6" s="19" t="s">
        <v>143</v>
      </c>
      <c r="G6" s="5" t="s">
        <v>36</v>
      </c>
      <c r="H6" s="6">
        <v>1294</v>
      </c>
    </row>
    <row r="7" spans="1:8" ht="20.100000000000001" customHeight="1" x14ac:dyDescent="0.25">
      <c r="A7" s="59"/>
      <c r="B7" s="2">
        <v>44938</v>
      </c>
      <c r="C7" s="3">
        <v>174280333</v>
      </c>
      <c r="D7" s="3">
        <v>1</v>
      </c>
      <c r="E7" s="4" t="s">
        <v>59</v>
      </c>
      <c r="F7" s="19" t="s">
        <v>113</v>
      </c>
      <c r="G7" s="5" t="s">
        <v>14</v>
      </c>
      <c r="H7" s="6">
        <v>380</v>
      </c>
    </row>
    <row r="8" spans="1:8" ht="20.100000000000001" customHeight="1" x14ac:dyDescent="0.25">
      <c r="A8" s="59"/>
      <c r="B8" s="2">
        <v>44938</v>
      </c>
      <c r="C8" s="3">
        <v>174280333</v>
      </c>
      <c r="D8" s="3">
        <v>1</v>
      </c>
      <c r="E8" s="4" t="s">
        <v>59</v>
      </c>
      <c r="F8" s="19" t="s">
        <v>58</v>
      </c>
      <c r="G8" s="5" t="s">
        <v>14</v>
      </c>
      <c r="H8" s="6">
        <v>450</v>
      </c>
    </row>
    <row r="9" spans="1:8" ht="20.100000000000001" customHeight="1" x14ac:dyDescent="0.25">
      <c r="A9" s="59"/>
      <c r="B9" s="2">
        <v>44943</v>
      </c>
      <c r="C9" s="3">
        <v>521751306</v>
      </c>
      <c r="D9" s="3">
        <v>1</v>
      </c>
      <c r="E9" s="4" t="s">
        <v>144</v>
      </c>
      <c r="F9" s="19" t="s">
        <v>137</v>
      </c>
      <c r="G9" s="5" t="s">
        <v>28</v>
      </c>
      <c r="H9" s="6">
        <v>1280</v>
      </c>
    </row>
    <row r="10" spans="1:8" ht="20.100000000000001" customHeight="1" x14ac:dyDescent="0.25">
      <c r="A10" s="59"/>
      <c r="B10" s="2">
        <v>44943</v>
      </c>
      <c r="C10" s="3" t="s">
        <v>13</v>
      </c>
      <c r="D10" s="3">
        <v>1</v>
      </c>
      <c r="E10" s="4" t="s">
        <v>145</v>
      </c>
      <c r="F10" s="19" t="s">
        <v>113</v>
      </c>
      <c r="G10" s="5" t="s">
        <v>14</v>
      </c>
      <c r="H10" s="6">
        <v>150</v>
      </c>
    </row>
    <row r="11" spans="1:8" ht="20.100000000000001" customHeight="1" x14ac:dyDescent="0.25">
      <c r="A11" s="59"/>
      <c r="B11" s="2">
        <v>44943</v>
      </c>
      <c r="C11" s="3" t="s">
        <v>13</v>
      </c>
      <c r="D11" s="3">
        <v>1</v>
      </c>
      <c r="E11" s="4" t="s">
        <v>145</v>
      </c>
      <c r="F11" s="19" t="s">
        <v>138</v>
      </c>
      <c r="G11" s="5" t="s">
        <v>14</v>
      </c>
      <c r="H11" s="6">
        <v>80</v>
      </c>
    </row>
    <row r="12" spans="1:8" ht="20.100000000000001" customHeight="1" x14ac:dyDescent="0.25">
      <c r="A12" s="59"/>
      <c r="B12" s="2">
        <v>44944</v>
      </c>
      <c r="C12" s="3">
        <v>3839773296</v>
      </c>
      <c r="D12" s="3">
        <v>1</v>
      </c>
      <c r="E12" s="4" t="s">
        <v>43</v>
      </c>
      <c r="F12" s="19" t="s">
        <v>58</v>
      </c>
      <c r="G12" s="5" t="s">
        <v>6</v>
      </c>
      <c r="H12" s="6">
        <v>450</v>
      </c>
    </row>
    <row r="13" spans="1:8" ht="20.100000000000001" customHeight="1" x14ac:dyDescent="0.25">
      <c r="A13" s="59"/>
      <c r="B13" s="2">
        <v>44951</v>
      </c>
      <c r="C13" s="3">
        <v>1237468518</v>
      </c>
      <c r="D13" s="3">
        <v>1</v>
      </c>
      <c r="E13" s="4" t="s">
        <v>146</v>
      </c>
      <c r="F13" s="19" t="s">
        <v>137</v>
      </c>
      <c r="G13" s="5" t="s">
        <v>7</v>
      </c>
      <c r="H13" s="6">
        <v>1280</v>
      </c>
    </row>
    <row r="14" spans="1:8" ht="20.100000000000001" customHeight="1" x14ac:dyDescent="0.25">
      <c r="A14" s="59"/>
      <c r="B14" s="2">
        <v>44952</v>
      </c>
      <c r="C14" s="3">
        <v>4032643175</v>
      </c>
      <c r="D14" s="3">
        <v>1</v>
      </c>
      <c r="E14" s="4" t="s">
        <v>147</v>
      </c>
      <c r="F14" s="19" t="s">
        <v>148</v>
      </c>
      <c r="G14" s="5" t="s">
        <v>7</v>
      </c>
      <c r="H14" s="6">
        <v>850</v>
      </c>
    </row>
    <row r="15" spans="1:8" ht="20.100000000000001" customHeight="1" x14ac:dyDescent="0.25">
      <c r="A15" s="59"/>
      <c r="B15" s="2">
        <v>44952</v>
      </c>
      <c r="C15" s="3" t="s">
        <v>13</v>
      </c>
      <c r="D15" s="3">
        <v>2</v>
      </c>
      <c r="E15" s="4" t="s">
        <v>149</v>
      </c>
      <c r="F15" s="19" t="s">
        <v>138</v>
      </c>
      <c r="G15" s="5" t="s">
        <v>14</v>
      </c>
      <c r="H15" s="6">
        <v>160</v>
      </c>
    </row>
    <row r="16" spans="1:8" ht="20.100000000000001" customHeight="1" x14ac:dyDescent="0.25">
      <c r="A16" s="59"/>
      <c r="B16" s="2">
        <v>44953</v>
      </c>
      <c r="C16" s="3">
        <v>2905163280</v>
      </c>
      <c r="D16" s="3">
        <v>3</v>
      </c>
      <c r="E16" s="4" t="s">
        <v>41</v>
      </c>
      <c r="F16" s="19" t="s">
        <v>78</v>
      </c>
      <c r="G16" s="5" t="s">
        <v>6</v>
      </c>
      <c r="H16" s="6">
        <v>1650</v>
      </c>
    </row>
    <row r="17" spans="1:8" ht="20.100000000000001" customHeight="1" x14ac:dyDescent="0.25">
      <c r="A17" s="59"/>
      <c r="B17" s="2">
        <v>44953</v>
      </c>
      <c r="C17" s="3">
        <v>2905163280</v>
      </c>
      <c r="D17" s="3">
        <v>1</v>
      </c>
      <c r="E17" s="4" t="s">
        <v>41</v>
      </c>
      <c r="F17" s="19" t="s">
        <v>80</v>
      </c>
      <c r="G17" s="5" t="s">
        <v>6</v>
      </c>
      <c r="H17" s="6">
        <v>650</v>
      </c>
    </row>
    <row r="18" spans="1:8" ht="20.100000000000001" customHeight="1" x14ac:dyDescent="0.25">
      <c r="A18" s="59"/>
      <c r="B18" s="2">
        <v>44953</v>
      </c>
      <c r="C18" s="3">
        <v>1582714813</v>
      </c>
      <c r="D18" s="3">
        <v>1</v>
      </c>
      <c r="E18" s="4" t="s">
        <v>41</v>
      </c>
      <c r="F18" s="19" t="s">
        <v>113</v>
      </c>
      <c r="G18" s="5" t="s">
        <v>6</v>
      </c>
      <c r="H18" s="6">
        <v>380</v>
      </c>
    </row>
    <row r="19" spans="1:8" ht="20.100000000000001" customHeight="1" x14ac:dyDescent="0.25">
      <c r="A19" s="59"/>
      <c r="B19" s="2">
        <v>44956</v>
      </c>
      <c r="C19" s="3">
        <v>3581166546</v>
      </c>
      <c r="D19" s="3">
        <v>1</v>
      </c>
      <c r="E19" s="4" t="s">
        <v>150</v>
      </c>
      <c r="F19" s="19" t="s">
        <v>138</v>
      </c>
      <c r="G19" s="5" t="s">
        <v>6</v>
      </c>
      <c r="H19" s="6">
        <v>350</v>
      </c>
    </row>
    <row r="20" spans="1:8" ht="20.100000000000001" customHeight="1" x14ac:dyDescent="0.25">
      <c r="A20" s="59"/>
      <c r="B20" s="2">
        <v>44960</v>
      </c>
      <c r="C20" s="3">
        <v>2773371547</v>
      </c>
      <c r="D20" s="3">
        <v>1</v>
      </c>
      <c r="E20" s="4" t="s">
        <v>221</v>
      </c>
      <c r="F20" s="19" t="s">
        <v>78</v>
      </c>
      <c r="G20" s="5" t="s">
        <v>7</v>
      </c>
      <c r="H20" s="6">
        <v>550</v>
      </c>
    </row>
    <row r="21" spans="1:8" ht="20.100000000000001" customHeight="1" x14ac:dyDescent="0.25">
      <c r="A21" s="59"/>
      <c r="B21" s="2">
        <v>44960</v>
      </c>
      <c r="C21" s="3">
        <v>2773371547</v>
      </c>
      <c r="D21" s="3">
        <v>1</v>
      </c>
      <c r="E21" s="4" t="s">
        <v>221</v>
      </c>
      <c r="F21" s="19" t="s">
        <v>222</v>
      </c>
      <c r="G21" s="5" t="s">
        <v>7</v>
      </c>
      <c r="H21" s="6">
        <v>850</v>
      </c>
    </row>
    <row r="22" spans="1:8" ht="20.100000000000001" customHeight="1" x14ac:dyDescent="0.25">
      <c r="A22" s="59"/>
      <c r="B22" s="2">
        <v>44964</v>
      </c>
      <c r="C22" s="3">
        <v>907168346</v>
      </c>
      <c r="D22" s="3">
        <v>1</v>
      </c>
      <c r="E22" s="4" t="s">
        <v>142</v>
      </c>
      <c r="F22" s="19" t="s">
        <v>78</v>
      </c>
      <c r="G22" s="5" t="s">
        <v>6</v>
      </c>
      <c r="H22" s="6">
        <v>550</v>
      </c>
    </row>
    <row r="23" spans="1:8" ht="20.100000000000001" customHeight="1" x14ac:dyDescent="0.25">
      <c r="A23" s="59"/>
      <c r="B23" s="2">
        <v>44964</v>
      </c>
      <c r="C23" s="3">
        <v>2333755906</v>
      </c>
      <c r="D23" s="3">
        <v>1</v>
      </c>
      <c r="E23" s="4" t="s">
        <v>142</v>
      </c>
      <c r="F23" s="19" t="s">
        <v>222</v>
      </c>
      <c r="G23" s="5" t="s">
        <v>6</v>
      </c>
      <c r="H23" s="6">
        <v>850</v>
      </c>
    </row>
    <row r="24" spans="1:8" ht="20.100000000000001" customHeight="1" x14ac:dyDescent="0.25">
      <c r="A24" s="59"/>
      <c r="B24" s="2">
        <v>44964</v>
      </c>
      <c r="C24" s="3" t="s">
        <v>13</v>
      </c>
      <c r="D24" s="3">
        <v>1</v>
      </c>
      <c r="E24" s="4" t="s">
        <v>223</v>
      </c>
      <c r="F24" s="19" t="s">
        <v>113</v>
      </c>
      <c r="G24" s="5" t="s">
        <v>14</v>
      </c>
      <c r="H24" s="6">
        <v>149</v>
      </c>
    </row>
    <row r="25" spans="1:8" ht="20.100000000000001" customHeight="1" x14ac:dyDescent="0.25">
      <c r="A25" s="59"/>
      <c r="B25" s="2">
        <v>44964</v>
      </c>
      <c r="C25" s="3" t="s">
        <v>13</v>
      </c>
      <c r="D25" s="3">
        <v>1</v>
      </c>
      <c r="E25" s="4" t="s">
        <v>145</v>
      </c>
      <c r="F25" s="19" t="s">
        <v>224</v>
      </c>
      <c r="G25" s="5" t="s">
        <v>14</v>
      </c>
      <c r="H25" s="6">
        <v>289</v>
      </c>
    </row>
    <row r="26" spans="1:8" ht="20.100000000000001" customHeight="1" x14ac:dyDescent="0.25">
      <c r="A26" s="59"/>
      <c r="B26" s="2">
        <v>44965</v>
      </c>
      <c r="C26" s="3">
        <v>2990883213</v>
      </c>
      <c r="D26" s="3">
        <v>1</v>
      </c>
      <c r="E26" s="4" t="s">
        <v>225</v>
      </c>
      <c r="F26" s="19" t="s">
        <v>226</v>
      </c>
      <c r="G26" s="5" t="s">
        <v>14</v>
      </c>
      <c r="H26" s="6">
        <v>450</v>
      </c>
    </row>
    <row r="27" spans="1:8" ht="20.100000000000001" customHeight="1" x14ac:dyDescent="0.25">
      <c r="A27" s="59"/>
      <c r="B27" s="2">
        <v>44965</v>
      </c>
      <c r="C27" s="3">
        <v>2990883213</v>
      </c>
      <c r="D27" s="3">
        <v>1</v>
      </c>
      <c r="E27" s="4" t="s">
        <v>225</v>
      </c>
      <c r="F27" s="19" t="s">
        <v>227</v>
      </c>
      <c r="G27" s="5" t="s">
        <v>14</v>
      </c>
      <c r="H27" s="6">
        <v>140</v>
      </c>
    </row>
    <row r="28" spans="1:8" ht="20.100000000000001" customHeight="1" x14ac:dyDescent="0.25">
      <c r="A28" s="59"/>
      <c r="B28" s="2">
        <v>44965</v>
      </c>
      <c r="C28" s="3">
        <v>2990883213</v>
      </c>
      <c r="D28" s="3">
        <v>1</v>
      </c>
      <c r="E28" s="4" t="s">
        <v>225</v>
      </c>
      <c r="F28" s="19" t="s">
        <v>228</v>
      </c>
      <c r="G28" s="5" t="s">
        <v>7</v>
      </c>
      <c r="H28" s="6">
        <v>210</v>
      </c>
    </row>
    <row r="29" spans="1:8" ht="20.100000000000001" customHeight="1" x14ac:dyDescent="0.25">
      <c r="A29" s="59"/>
      <c r="B29" s="2">
        <v>44965</v>
      </c>
      <c r="C29" s="3">
        <v>2990883213</v>
      </c>
      <c r="D29" s="3">
        <v>1</v>
      </c>
      <c r="E29" s="4" t="s">
        <v>225</v>
      </c>
      <c r="F29" s="19" t="s">
        <v>229</v>
      </c>
      <c r="G29" s="5" t="s">
        <v>7</v>
      </c>
      <c r="H29" s="6">
        <v>630</v>
      </c>
    </row>
    <row r="30" spans="1:8" ht="20.100000000000001" customHeight="1" x14ac:dyDescent="0.25">
      <c r="A30" s="59"/>
      <c r="B30" s="2">
        <v>44965</v>
      </c>
      <c r="C30" s="3">
        <v>1778601715</v>
      </c>
      <c r="D30" s="3">
        <v>1</v>
      </c>
      <c r="E30" s="4" t="s">
        <v>230</v>
      </c>
      <c r="F30" s="19" t="s">
        <v>126</v>
      </c>
      <c r="G30" s="5" t="s">
        <v>28</v>
      </c>
      <c r="H30" s="6">
        <v>1010</v>
      </c>
    </row>
    <row r="31" spans="1:8" ht="20.100000000000001" customHeight="1" x14ac:dyDescent="0.25">
      <c r="A31" s="59"/>
      <c r="B31" s="2">
        <v>44965</v>
      </c>
      <c r="C31" s="3">
        <v>1778601715</v>
      </c>
      <c r="D31" s="3">
        <v>1</v>
      </c>
      <c r="E31" s="4" t="s">
        <v>230</v>
      </c>
      <c r="F31" s="19" t="s">
        <v>232</v>
      </c>
      <c r="G31" s="5" t="s">
        <v>28</v>
      </c>
      <c r="H31" s="6">
        <v>1294</v>
      </c>
    </row>
    <row r="32" spans="1:8" ht="20.100000000000001" customHeight="1" x14ac:dyDescent="0.25">
      <c r="A32" s="59"/>
      <c r="B32" s="2">
        <v>44965</v>
      </c>
      <c r="C32" s="3">
        <v>1778601715</v>
      </c>
      <c r="D32" s="3">
        <v>1</v>
      </c>
      <c r="E32" s="4" t="s">
        <v>230</v>
      </c>
      <c r="F32" s="19" t="s">
        <v>229</v>
      </c>
      <c r="G32" s="5" t="s">
        <v>28</v>
      </c>
      <c r="H32" s="6">
        <v>630</v>
      </c>
    </row>
    <row r="33" spans="1:8" ht="20.100000000000001" customHeight="1" x14ac:dyDescent="0.25">
      <c r="A33" s="59"/>
      <c r="B33" s="2">
        <v>44965</v>
      </c>
      <c r="C33" s="3">
        <v>3225373309</v>
      </c>
      <c r="D33" s="3">
        <v>1</v>
      </c>
      <c r="E33" s="4" t="s">
        <v>231</v>
      </c>
      <c r="F33" s="19" t="s">
        <v>233</v>
      </c>
      <c r="G33" s="5" t="s">
        <v>6</v>
      </c>
      <c r="H33" s="6">
        <v>850</v>
      </c>
    </row>
    <row r="34" spans="1:8" ht="20.100000000000001" customHeight="1" x14ac:dyDescent="0.25">
      <c r="A34" s="59"/>
      <c r="B34" s="2">
        <v>44967</v>
      </c>
      <c r="C34" s="3">
        <v>4090774266</v>
      </c>
      <c r="D34" s="3">
        <v>1</v>
      </c>
      <c r="E34" s="4" t="s">
        <v>312</v>
      </c>
      <c r="F34" s="19" t="s">
        <v>322</v>
      </c>
      <c r="G34" s="5" t="s">
        <v>14</v>
      </c>
      <c r="H34" s="6">
        <v>1000</v>
      </c>
    </row>
    <row r="35" spans="1:8" ht="20.100000000000001" customHeight="1" x14ac:dyDescent="0.25">
      <c r="A35" s="59"/>
      <c r="B35" s="2">
        <v>44970</v>
      </c>
      <c r="C35" s="3">
        <v>133842754</v>
      </c>
      <c r="D35" s="3">
        <v>1</v>
      </c>
      <c r="E35" s="4" t="s">
        <v>234</v>
      </c>
      <c r="F35" s="19" t="s">
        <v>229</v>
      </c>
      <c r="G35" s="5" t="s">
        <v>7</v>
      </c>
      <c r="H35" s="6">
        <v>630</v>
      </c>
    </row>
    <row r="36" spans="1:8" ht="20.100000000000001" customHeight="1" x14ac:dyDescent="0.25">
      <c r="A36" s="59"/>
      <c r="B36" s="2">
        <v>44971</v>
      </c>
      <c r="C36" s="3">
        <v>669467521</v>
      </c>
      <c r="D36" s="3">
        <v>1</v>
      </c>
      <c r="E36" s="4" t="s">
        <v>225</v>
      </c>
      <c r="F36" s="19" t="s">
        <v>78</v>
      </c>
      <c r="G36" s="5" t="s">
        <v>14</v>
      </c>
      <c r="H36" s="6">
        <v>550</v>
      </c>
    </row>
    <row r="37" spans="1:8" ht="20.100000000000001" customHeight="1" x14ac:dyDescent="0.25">
      <c r="A37" s="59"/>
      <c r="B37" s="2">
        <v>44973</v>
      </c>
      <c r="C37" s="3" t="s">
        <v>13</v>
      </c>
      <c r="D37" s="3">
        <v>1</v>
      </c>
      <c r="E37" s="4" t="s">
        <v>235</v>
      </c>
      <c r="F37" s="19" t="s">
        <v>236</v>
      </c>
      <c r="G37" s="5" t="s">
        <v>14</v>
      </c>
      <c r="H37" s="6">
        <v>38</v>
      </c>
    </row>
    <row r="38" spans="1:8" ht="20.100000000000001" customHeight="1" x14ac:dyDescent="0.25">
      <c r="A38" s="59"/>
      <c r="B38" s="2">
        <v>44974</v>
      </c>
      <c r="C38" s="3">
        <v>1808812747</v>
      </c>
      <c r="D38" s="3">
        <v>1</v>
      </c>
      <c r="E38" s="4" t="s">
        <v>237</v>
      </c>
      <c r="F38" s="19" t="s">
        <v>58</v>
      </c>
      <c r="G38" s="5" t="s">
        <v>6</v>
      </c>
      <c r="H38" s="6">
        <v>450</v>
      </c>
    </row>
    <row r="39" spans="1:8" ht="20.100000000000001" customHeight="1" x14ac:dyDescent="0.25">
      <c r="A39" s="59"/>
      <c r="B39" s="2">
        <v>44974</v>
      </c>
      <c r="C39" s="3">
        <v>1808812747</v>
      </c>
      <c r="D39" s="3">
        <v>1</v>
      </c>
      <c r="E39" s="4" t="s">
        <v>237</v>
      </c>
      <c r="F39" s="19" t="s">
        <v>238</v>
      </c>
      <c r="G39" s="5" t="s">
        <v>6</v>
      </c>
      <c r="H39" s="6">
        <v>450</v>
      </c>
    </row>
    <row r="40" spans="1:8" ht="20.100000000000001" customHeight="1" x14ac:dyDescent="0.25">
      <c r="A40" s="59"/>
      <c r="B40" s="2">
        <v>44977</v>
      </c>
      <c r="C40" s="3">
        <v>3658958771</v>
      </c>
      <c r="D40" s="3">
        <v>1</v>
      </c>
      <c r="E40" s="4" t="s">
        <v>239</v>
      </c>
      <c r="F40" s="19" t="s">
        <v>240</v>
      </c>
      <c r="G40" s="5" t="s">
        <v>7</v>
      </c>
      <c r="H40" s="6">
        <v>350</v>
      </c>
    </row>
    <row r="41" spans="1:8" ht="31.5" x14ac:dyDescent="0.25">
      <c r="A41" s="59"/>
      <c r="B41" s="2">
        <v>44977</v>
      </c>
      <c r="C41" s="3">
        <v>64045497</v>
      </c>
      <c r="D41" s="3">
        <v>1</v>
      </c>
      <c r="E41" s="4" t="s">
        <v>323</v>
      </c>
      <c r="F41" s="19" t="s">
        <v>324</v>
      </c>
      <c r="G41" s="5" t="s">
        <v>7</v>
      </c>
      <c r="H41" s="6">
        <v>900</v>
      </c>
    </row>
    <row r="42" spans="1:8" ht="31.5" x14ac:dyDescent="0.25">
      <c r="A42" s="59"/>
      <c r="B42" s="2">
        <v>44977</v>
      </c>
      <c r="C42" s="3">
        <v>64045497</v>
      </c>
      <c r="D42" s="3">
        <v>1</v>
      </c>
      <c r="E42" s="4" t="s">
        <v>313</v>
      </c>
      <c r="F42" s="19" t="s">
        <v>325</v>
      </c>
      <c r="G42" s="5" t="s">
        <v>7</v>
      </c>
      <c r="H42" s="6">
        <v>750</v>
      </c>
    </row>
    <row r="43" spans="1:8" ht="20.100000000000001" customHeight="1" x14ac:dyDescent="0.25">
      <c r="A43" s="59"/>
      <c r="B43" s="2">
        <v>44978</v>
      </c>
      <c r="C43" s="3">
        <v>2076197314</v>
      </c>
      <c r="D43" s="3">
        <v>1</v>
      </c>
      <c r="E43" s="4" t="s">
        <v>241</v>
      </c>
      <c r="F43" s="19" t="s">
        <v>242</v>
      </c>
      <c r="G43" s="5" t="s">
        <v>6</v>
      </c>
      <c r="H43" s="6">
        <v>850</v>
      </c>
    </row>
    <row r="44" spans="1:8" ht="20.100000000000001" customHeight="1" x14ac:dyDescent="0.25">
      <c r="A44" s="59"/>
      <c r="B44" s="2">
        <v>44978</v>
      </c>
      <c r="C44" s="3">
        <v>130769485</v>
      </c>
      <c r="D44" s="3">
        <v>1</v>
      </c>
      <c r="E44" s="4" t="s">
        <v>243</v>
      </c>
      <c r="F44" s="19" t="s">
        <v>233</v>
      </c>
      <c r="G44" s="5" t="s">
        <v>7</v>
      </c>
      <c r="H44" s="6">
        <v>850</v>
      </c>
    </row>
    <row r="45" spans="1:8" ht="20.100000000000001" customHeight="1" x14ac:dyDescent="0.25">
      <c r="A45" s="59"/>
      <c r="B45" s="2">
        <v>44987</v>
      </c>
      <c r="C45" s="3">
        <v>3427617206</v>
      </c>
      <c r="D45" s="3">
        <v>1</v>
      </c>
      <c r="E45" s="4" t="s">
        <v>208</v>
      </c>
      <c r="F45" s="19" t="s">
        <v>330</v>
      </c>
      <c r="G45" s="5" t="s">
        <v>6</v>
      </c>
      <c r="H45" s="6">
        <v>300</v>
      </c>
    </row>
    <row r="46" spans="1:8" ht="20.100000000000001" customHeight="1" x14ac:dyDescent="0.25">
      <c r="A46" s="59"/>
      <c r="B46" s="2">
        <v>44987</v>
      </c>
      <c r="C46" s="3">
        <v>3427617206</v>
      </c>
      <c r="D46" s="3">
        <v>1</v>
      </c>
      <c r="E46" s="4" t="s">
        <v>208</v>
      </c>
      <c r="F46" s="19" t="s">
        <v>331</v>
      </c>
      <c r="G46" s="5" t="s">
        <v>6</v>
      </c>
      <c r="H46" s="6">
        <v>250</v>
      </c>
    </row>
    <row r="47" spans="1:8" ht="20.100000000000001" customHeight="1" x14ac:dyDescent="0.25">
      <c r="A47" s="59"/>
      <c r="B47" s="2">
        <v>44987</v>
      </c>
      <c r="C47" s="3">
        <v>3427617206</v>
      </c>
      <c r="D47" s="3">
        <v>1</v>
      </c>
      <c r="E47" s="4" t="s">
        <v>208</v>
      </c>
      <c r="F47" s="19" t="s">
        <v>332</v>
      </c>
      <c r="G47" s="5" t="s">
        <v>6</v>
      </c>
      <c r="H47" s="6">
        <v>630</v>
      </c>
    </row>
    <row r="48" spans="1:8" ht="20.100000000000001" customHeight="1" x14ac:dyDescent="0.25">
      <c r="A48" s="59"/>
      <c r="B48" s="2">
        <v>44988</v>
      </c>
      <c r="C48" s="3">
        <v>1105806114</v>
      </c>
      <c r="D48" s="3">
        <v>1</v>
      </c>
      <c r="E48" s="4" t="s">
        <v>333</v>
      </c>
      <c r="F48" s="19" t="s">
        <v>335</v>
      </c>
      <c r="G48" s="5" t="s">
        <v>6</v>
      </c>
      <c r="H48" s="6">
        <v>450</v>
      </c>
    </row>
    <row r="49" spans="1:8" ht="20.100000000000001" customHeight="1" x14ac:dyDescent="0.25">
      <c r="A49" s="59"/>
      <c r="B49" s="2">
        <v>44988</v>
      </c>
      <c r="C49" s="3">
        <v>3842982853</v>
      </c>
      <c r="D49" s="3">
        <v>1</v>
      </c>
      <c r="E49" s="4" t="s">
        <v>334</v>
      </c>
      <c r="F49" s="19" t="s">
        <v>330</v>
      </c>
      <c r="G49" s="5" t="s">
        <v>6</v>
      </c>
      <c r="H49" s="6">
        <v>300</v>
      </c>
    </row>
    <row r="50" spans="1:8" ht="20.100000000000001" customHeight="1" x14ac:dyDescent="0.25">
      <c r="A50" s="59"/>
      <c r="B50" s="2">
        <v>44992</v>
      </c>
      <c r="C50" s="3">
        <v>2070366694</v>
      </c>
      <c r="D50" s="3">
        <v>1</v>
      </c>
      <c r="E50" s="4" t="s">
        <v>336</v>
      </c>
      <c r="F50" s="19" t="s">
        <v>222</v>
      </c>
      <c r="G50" s="5" t="s">
        <v>28</v>
      </c>
      <c r="H50" s="6">
        <v>850</v>
      </c>
    </row>
    <row r="51" spans="1:8" ht="20.100000000000001" customHeight="1" x14ac:dyDescent="0.25">
      <c r="A51" s="59"/>
      <c r="B51" s="2">
        <v>44992</v>
      </c>
      <c r="C51" s="3" t="s">
        <v>13</v>
      </c>
      <c r="D51" s="3">
        <v>1</v>
      </c>
      <c r="E51" s="4" t="s">
        <v>337</v>
      </c>
      <c r="F51" s="19" t="s">
        <v>338</v>
      </c>
      <c r="G51" s="5" t="s">
        <v>14</v>
      </c>
      <c r="H51" s="6">
        <v>55.25</v>
      </c>
    </row>
    <row r="52" spans="1:8" ht="20.100000000000001" customHeight="1" x14ac:dyDescent="0.25">
      <c r="A52" s="59"/>
      <c r="B52" s="2">
        <v>44992</v>
      </c>
      <c r="C52" s="3" t="s">
        <v>13</v>
      </c>
      <c r="D52" s="3">
        <v>1</v>
      </c>
      <c r="E52" s="4" t="s">
        <v>337</v>
      </c>
      <c r="F52" s="19" t="s">
        <v>339</v>
      </c>
      <c r="G52" s="5" t="s">
        <v>14</v>
      </c>
      <c r="H52" s="6">
        <v>74.8</v>
      </c>
    </row>
    <row r="53" spans="1:8" ht="20.100000000000001" customHeight="1" x14ac:dyDescent="0.25">
      <c r="A53" s="59"/>
      <c r="B53" s="2">
        <v>44992</v>
      </c>
      <c r="C53" s="3" t="s">
        <v>13</v>
      </c>
      <c r="D53" s="3">
        <v>1</v>
      </c>
      <c r="E53" s="4" t="s">
        <v>337</v>
      </c>
      <c r="F53" s="19" t="s">
        <v>340</v>
      </c>
      <c r="G53" s="5" t="s">
        <v>14</v>
      </c>
      <c r="H53" s="6">
        <v>76.5</v>
      </c>
    </row>
    <row r="54" spans="1:8" ht="20.100000000000001" customHeight="1" x14ac:dyDescent="0.25">
      <c r="A54" s="59"/>
      <c r="B54" s="2">
        <v>44994</v>
      </c>
      <c r="C54" s="3">
        <v>3849277388</v>
      </c>
      <c r="D54" s="3">
        <v>1</v>
      </c>
      <c r="E54" s="4" t="s">
        <v>341</v>
      </c>
      <c r="F54" s="19" t="s">
        <v>78</v>
      </c>
      <c r="G54" s="5" t="s">
        <v>7</v>
      </c>
      <c r="H54" s="6">
        <v>550</v>
      </c>
    </row>
    <row r="55" spans="1:8" ht="20.100000000000001" customHeight="1" x14ac:dyDescent="0.25">
      <c r="A55" s="59"/>
      <c r="B55" s="2">
        <v>44998</v>
      </c>
      <c r="C55" s="3">
        <v>2590327999</v>
      </c>
      <c r="D55" s="3">
        <v>1</v>
      </c>
      <c r="E55" s="4" t="s">
        <v>342</v>
      </c>
      <c r="F55" s="19" t="s">
        <v>79</v>
      </c>
      <c r="G55" s="5" t="s">
        <v>6</v>
      </c>
      <c r="H55" s="6">
        <v>850</v>
      </c>
    </row>
    <row r="56" spans="1:8" ht="20.100000000000001" customHeight="1" x14ac:dyDescent="0.25">
      <c r="A56" s="59"/>
      <c r="B56" s="2">
        <v>44998</v>
      </c>
      <c r="C56" s="3">
        <v>2590327999</v>
      </c>
      <c r="D56" s="3">
        <v>1</v>
      </c>
      <c r="E56" s="4" t="s">
        <v>342</v>
      </c>
      <c r="F56" s="19" t="s">
        <v>113</v>
      </c>
      <c r="G56" s="5" t="s">
        <v>6</v>
      </c>
      <c r="H56" s="6">
        <v>380</v>
      </c>
    </row>
    <row r="57" spans="1:8" ht="20.100000000000001" customHeight="1" x14ac:dyDescent="0.25">
      <c r="A57" s="59"/>
      <c r="B57" s="2">
        <v>44998</v>
      </c>
      <c r="C57" s="3">
        <v>2590327999</v>
      </c>
      <c r="D57" s="3">
        <v>1</v>
      </c>
      <c r="E57" s="4" t="s">
        <v>342</v>
      </c>
      <c r="F57" s="19" t="s">
        <v>331</v>
      </c>
      <c r="G57" s="5" t="s">
        <v>6</v>
      </c>
      <c r="H57" s="6">
        <v>250</v>
      </c>
    </row>
    <row r="58" spans="1:8" ht="20.100000000000001" customHeight="1" x14ac:dyDescent="0.25">
      <c r="A58" s="59"/>
      <c r="B58" s="2">
        <v>45006</v>
      </c>
      <c r="C58" s="3">
        <v>2565161821</v>
      </c>
      <c r="D58" s="3">
        <v>1</v>
      </c>
      <c r="E58" s="4" t="s">
        <v>343</v>
      </c>
      <c r="F58" s="19" t="s">
        <v>344</v>
      </c>
      <c r="G58" s="5" t="s">
        <v>7</v>
      </c>
      <c r="H58" s="6">
        <v>250</v>
      </c>
    </row>
    <row r="59" spans="1:8" ht="20.100000000000001" customHeight="1" x14ac:dyDescent="0.25">
      <c r="A59" s="59"/>
      <c r="B59" s="2">
        <v>45007</v>
      </c>
      <c r="C59" s="3">
        <v>105006485</v>
      </c>
      <c r="D59" s="3">
        <v>1</v>
      </c>
      <c r="E59" s="4" t="s">
        <v>345</v>
      </c>
      <c r="F59" s="19" t="s">
        <v>346</v>
      </c>
      <c r="G59" s="5" t="s">
        <v>6</v>
      </c>
      <c r="H59" s="6">
        <v>750</v>
      </c>
    </row>
    <row r="60" spans="1:8" ht="20.100000000000001" customHeight="1" x14ac:dyDescent="0.25">
      <c r="A60" s="59"/>
      <c r="B60" s="2">
        <v>45007</v>
      </c>
      <c r="C60" s="3">
        <v>105006485</v>
      </c>
      <c r="D60" s="3">
        <v>1</v>
      </c>
      <c r="E60" s="4" t="s">
        <v>345</v>
      </c>
      <c r="F60" s="19" t="s">
        <v>347</v>
      </c>
      <c r="G60" s="5" t="s">
        <v>14</v>
      </c>
      <c r="H60" s="6">
        <v>100</v>
      </c>
    </row>
    <row r="61" spans="1:8" ht="20.100000000000001" customHeight="1" x14ac:dyDescent="0.25">
      <c r="A61" s="59"/>
      <c r="B61" s="2">
        <v>45007</v>
      </c>
      <c r="C61" s="3">
        <v>105006485</v>
      </c>
      <c r="D61" s="3">
        <v>1</v>
      </c>
      <c r="E61" s="4" t="s">
        <v>345</v>
      </c>
      <c r="F61" s="19" t="s">
        <v>348</v>
      </c>
      <c r="G61" s="5" t="s">
        <v>14</v>
      </c>
      <c r="H61" s="6">
        <v>650</v>
      </c>
    </row>
    <row r="62" spans="1:8" ht="20.100000000000001" customHeight="1" x14ac:dyDescent="0.25">
      <c r="A62" s="59"/>
      <c r="B62" s="2">
        <v>45007</v>
      </c>
      <c r="C62" s="3">
        <v>105006485</v>
      </c>
      <c r="D62" s="3">
        <v>1</v>
      </c>
      <c r="E62" s="4" t="s">
        <v>345</v>
      </c>
      <c r="F62" s="19" t="s">
        <v>331</v>
      </c>
      <c r="G62" s="5" t="s">
        <v>14</v>
      </c>
      <c r="H62" s="6">
        <v>250</v>
      </c>
    </row>
    <row r="63" spans="1:8" ht="20.100000000000001" customHeight="1" x14ac:dyDescent="0.25">
      <c r="A63" s="59"/>
      <c r="B63" s="2">
        <v>45007</v>
      </c>
      <c r="C63" s="3">
        <v>2474984209</v>
      </c>
      <c r="D63" s="3">
        <v>1</v>
      </c>
      <c r="E63" s="4" t="s">
        <v>349</v>
      </c>
      <c r="F63" s="19" t="s">
        <v>78</v>
      </c>
      <c r="G63" s="5" t="s">
        <v>14</v>
      </c>
      <c r="H63" s="6">
        <v>550</v>
      </c>
    </row>
    <row r="64" spans="1:8" ht="20.100000000000001" customHeight="1" x14ac:dyDescent="0.25">
      <c r="A64" s="59"/>
      <c r="B64" s="2">
        <v>45008</v>
      </c>
      <c r="C64" s="3">
        <v>2716027603</v>
      </c>
      <c r="D64" s="3">
        <v>1</v>
      </c>
      <c r="E64" s="4" t="s">
        <v>350</v>
      </c>
      <c r="F64" s="19" t="s">
        <v>348</v>
      </c>
      <c r="G64" s="5" t="s">
        <v>7</v>
      </c>
      <c r="H64" s="6">
        <v>650</v>
      </c>
    </row>
    <row r="65" spans="1:8" ht="20.100000000000001" customHeight="1" x14ac:dyDescent="0.25">
      <c r="A65" s="59"/>
      <c r="B65" s="2">
        <v>45008</v>
      </c>
      <c r="C65" s="3">
        <v>2716027603</v>
      </c>
      <c r="D65" s="3">
        <v>1</v>
      </c>
      <c r="E65" s="4" t="s">
        <v>350</v>
      </c>
      <c r="F65" s="19" t="s">
        <v>78</v>
      </c>
      <c r="G65" s="5" t="s">
        <v>7</v>
      </c>
      <c r="H65" s="6">
        <v>550</v>
      </c>
    </row>
    <row r="66" spans="1:8" ht="20.100000000000001" customHeight="1" x14ac:dyDescent="0.25">
      <c r="A66" s="59"/>
      <c r="B66" s="2">
        <v>45008</v>
      </c>
      <c r="C66" s="3">
        <v>1153780503</v>
      </c>
      <c r="D66" s="3">
        <v>2</v>
      </c>
      <c r="E66" s="4" t="s">
        <v>241</v>
      </c>
      <c r="F66" s="19" t="s">
        <v>79</v>
      </c>
      <c r="G66" s="5" t="s">
        <v>7</v>
      </c>
      <c r="H66" s="6">
        <v>1700</v>
      </c>
    </row>
    <row r="67" spans="1:8" ht="20.100000000000001" customHeight="1" x14ac:dyDescent="0.25">
      <c r="A67" s="59"/>
      <c r="B67" s="2">
        <v>45008</v>
      </c>
      <c r="C67" s="3">
        <v>1150634813</v>
      </c>
      <c r="D67" s="3">
        <v>1</v>
      </c>
      <c r="E67" s="4" t="s">
        <v>351</v>
      </c>
      <c r="F67" s="19" t="s">
        <v>332</v>
      </c>
      <c r="G67" s="5" t="s">
        <v>7</v>
      </c>
      <c r="H67" s="6">
        <v>630</v>
      </c>
    </row>
    <row r="68" spans="1:8" ht="20.100000000000001" customHeight="1" x14ac:dyDescent="0.25">
      <c r="A68" s="59"/>
      <c r="B68" s="2">
        <v>45008</v>
      </c>
      <c r="C68" s="3">
        <v>1150634813</v>
      </c>
      <c r="D68" s="3">
        <v>1</v>
      </c>
      <c r="E68" s="4" t="s">
        <v>351</v>
      </c>
      <c r="F68" s="19" t="s">
        <v>352</v>
      </c>
      <c r="G68" s="5" t="s">
        <v>7</v>
      </c>
      <c r="H68" s="6">
        <v>650</v>
      </c>
    </row>
    <row r="69" spans="1:8" ht="20.100000000000001" customHeight="1" x14ac:dyDescent="0.25">
      <c r="A69" s="59"/>
      <c r="B69" s="2">
        <v>45008</v>
      </c>
      <c r="C69" s="3">
        <v>1150634813</v>
      </c>
      <c r="D69" s="3">
        <v>1</v>
      </c>
      <c r="E69" s="4" t="s">
        <v>351</v>
      </c>
      <c r="F69" s="19" t="s">
        <v>353</v>
      </c>
      <c r="G69" s="5" t="s">
        <v>7</v>
      </c>
      <c r="H69" s="6">
        <v>450</v>
      </c>
    </row>
    <row r="70" spans="1:8" ht="20.100000000000001" customHeight="1" x14ac:dyDescent="0.25">
      <c r="A70" s="59"/>
      <c r="B70" s="2">
        <v>45008</v>
      </c>
      <c r="C70" s="3">
        <v>1150634813</v>
      </c>
      <c r="D70" s="3">
        <v>1</v>
      </c>
      <c r="E70" s="4" t="s">
        <v>351</v>
      </c>
      <c r="F70" s="19" t="s">
        <v>113</v>
      </c>
      <c r="G70" s="5" t="s">
        <v>7</v>
      </c>
      <c r="H70" s="6">
        <v>380</v>
      </c>
    </row>
    <row r="71" spans="1:8" ht="20.100000000000001" customHeight="1" x14ac:dyDescent="0.25">
      <c r="A71" s="59"/>
      <c r="B71" s="2">
        <v>45008</v>
      </c>
      <c r="C71" s="3">
        <v>1150634813</v>
      </c>
      <c r="D71" s="3">
        <v>2</v>
      </c>
      <c r="E71" s="4" t="s">
        <v>351</v>
      </c>
      <c r="F71" s="19" t="s">
        <v>79</v>
      </c>
      <c r="G71" s="5" t="s">
        <v>7</v>
      </c>
      <c r="H71" s="6">
        <v>1500</v>
      </c>
    </row>
    <row r="72" spans="1:8" ht="20.100000000000001" customHeight="1" x14ac:dyDescent="0.25">
      <c r="A72" s="59"/>
      <c r="B72" s="2">
        <v>45008</v>
      </c>
      <c r="C72" s="3">
        <v>4017507017</v>
      </c>
      <c r="D72" s="3">
        <v>1</v>
      </c>
      <c r="E72" s="4" t="s">
        <v>354</v>
      </c>
      <c r="F72" s="19" t="s">
        <v>353</v>
      </c>
      <c r="G72" s="5" t="s">
        <v>16</v>
      </c>
      <c r="H72" s="6">
        <v>450</v>
      </c>
    </row>
    <row r="73" spans="1:8" ht="20.100000000000001" customHeight="1" x14ac:dyDescent="0.25">
      <c r="A73" s="59"/>
      <c r="B73" s="2">
        <v>45012</v>
      </c>
      <c r="C73" s="3">
        <v>3747889628</v>
      </c>
      <c r="D73" s="3">
        <v>1</v>
      </c>
      <c r="E73" s="4" t="s">
        <v>355</v>
      </c>
      <c r="F73" s="19" t="s">
        <v>78</v>
      </c>
      <c r="G73" s="5" t="s">
        <v>7</v>
      </c>
      <c r="H73" s="6">
        <v>550</v>
      </c>
    </row>
    <row r="74" spans="1:8" ht="20.100000000000001" customHeight="1" x14ac:dyDescent="0.25">
      <c r="A74" s="59"/>
      <c r="B74" s="2">
        <v>45016</v>
      </c>
      <c r="C74" s="3">
        <v>2170179125</v>
      </c>
      <c r="D74" s="3">
        <v>1</v>
      </c>
      <c r="E74" s="4" t="s">
        <v>356</v>
      </c>
      <c r="F74" s="19" t="s">
        <v>240</v>
      </c>
      <c r="G74" s="5" t="s">
        <v>7</v>
      </c>
      <c r="H74" s="6">
        <v>350</v>
      </c>
    </row>
    <row r="75" spans="1:8" ht="20.100000000000001" customHeight="1" x14ac:dyDescent="0.25">
      <c r="A75" s="59"/>
      <c r="B75" s="2">
        <v>45026</v>
      </c>
      <c r="C75" s="3">
        <v>4201660864</v>
      </c>
      <c r="D75" s="3">
        <v>2</v>
      </c>
      <c r="E75" s="4" t="s">
        <v>540</v>
      </c>
      <c r="F75" s="19" t="s">
        <v>79</v>
      </c>
      <c r="G75" s="5" t="s">
        <v>6</v>
      </c>
      <c r="H75" s="6">
        <v>1700</v>
      </c>
    </row>
    <row r="76" spans="1:8" ht="20.100000000000001" customHeight="1" x14ac:dyDescent="0.25">
      <c r="A76" s="59"/>
      <c r="B76" s="2">
        <v>45028</v>
      </c>
      <c r="C76" s="3">
        <v>2179419717</v>
      </c>
      <c r="D76" s="3">
        <v>1</v>
      </c>
      <c r="E76" s="4" t="s">
        <v>541</v>
      </c>
      <c r="F76" s="19" t="s">
        <v>542</v>
      </c>
      <c r="G76" s="5" t="s">
        <v>16</v>
      </c>
      <c r="H76" s="6">
        <v>480</v>
      </c>
    </row>
    <row r="77" spans="1:8" ht="20.100000000000001" customHeight="1" x14ac:dyDescent="0.25">
      <c r="A77" s="59"/>
      <c r="B77" s="2">
        <v>45029</v>
      </c>
      <c r="C77" s="3">
        <v>1070613197</v>
      </c>
      <c r="D77" s="3">
        <v>1</v>
      </c>
      <c r="E77" s="4" t="s">
        <v>543</v>
      </c>
      <c r="F77" s="19" t="s">
        <v>544</v>
      </c>
      <c r="G77" s="5" t="s">
        <v>7</v>
      </c>
      <c r="H77" s="6">
        <v>1280</v>
      </c>
    </row>
    <row r="78" spans="1:8" ht="20.100000000000001" customHeight="1" x14ac:dyDescent="0.25">
      <c r="A78" s="59"/>
      <c r="B78" s="2">
        <v>45029</v>
      </c>
      <c r="C78" s="3">
        <v>2266775693</v>
      </c>
      <c r="D78" s="3">
        <v>1</v>
      </c>
      <c r="E78" s="4" t="s">
        <v>355</v>
      </c>
      <c r="F78" s="19" t="s">
        <v>240</v>
      </c>
      <c r="G78" s="5" t="s">
        <v>6</v>
      </c>
      <c r="H78" s="6">
        <v>350</v>
      </c>
    </row>
    <row r="79" spans="1:8" ht="20.100000000000001" customHeight="1" x14ac:dyDescent="0.25">
      <c r="A79" s="59"/>
      <c r="B79" s="2">
        <v>45037</v>
      </c>
      <c r="C79" s="3">
        <v>3845474245</v>
      </c>
      <c r="D79" s="3">
        <v>1</v>
      </c>
      <c r="E79" s="4" t="s">
        <v>545</v>
      </c>
      <c r="F79" s="19" t="s">
        <v>79</v>
      </c>
      <c r="G79" s="5" t="s">
        <v>6</v>
      </c>
      <c r="H79" s="6">
        <v>850</v>
      </c>
    </row>
    <row r="80" spans="1:8" ht="20.100000000000001" customHeight="1" x14ac:dyDescent="0.25">
      <c r="A80" s="59"/>
      <c r="B80" s="2">
        <v>45037</v>
      </c>
      <c r="C80" s="3">
        <v>3845474245</v>
      </c>
      <c r="D80" s="3">
        <v>1</v>
      </c>
      <c r="E80" s="4" t="s">
        <v>545</v>
      </c>
      <c r="F80" s="19" t="s">
        <v>78</v>
      </c>
      <c r="G80" s="5" t="s">
        <v>6</v>
      </c>
      <c r="H80" s="6">
        <v>550</v>
      </c>
    </row>
    <row r="81" spans="1:8" ht="20.100000000000001" customHeight="1" x14ac:dyDescent="0.25">
      <c r="A81" s="59"/>
      <c r="B81" s="2">
        <v>45040</v>
      </c>
      <c r="C81" s="3">
        <v>1358908248</v>
      </c>
      <c r="D81" s="3">
        <v>2</v>
      </c>
      <c r="E81" s="4" t="s">
        <v>123</v>
      </c>
      <c r="F81" s="19" t="s">
        <v>78</v>
      </c>
      <c r="G81" s="5" t="s">
        <v>7</v>
      </c>
      <c r="H81" s="6">
        <v>1100</v>
      </c>
    </row>
    <row r="82" spans="1:8" ht="20.100000000000001" customHeight="1" x14ac:dyDescent="0.25">
      <c r="A82" s="59"/>
      <c r="B82" s="2">
        <v>45041</v>
      </c>
      <c r="C82" s="3">
        <v>1380073678</v>
      </c>
      <c r="D82" s="3">
        <v>1</v>
      </c>
      <c r="E82" s="4" t="s">
        <v>400</v>
      </c>
      <c r="F82" s="19" t="s">
        <v>240</v>
      </c>
      <c r="G82" s="5" t="s">
        <v>6</v>
      </c>
      <c r="H82" s="6">
        <v>350</v>
      </c>
    </row>
    <row r="83" spans="1:8" ht="20.100000000000001" customHeight="1" x14ac:dyDescent="0.25">
      <c r="A83" s="59"/>
      <c r="B83" s="2">
        <v>45043</v>
      </c>
      <c r="C83" s="3">
        <v>758792469</v>
      </c>
      <c r="D83" s="3">
        <v>1</v>
      </c>
      <c r="E83" s="4" t="s">
        <v>546</v>
      </c>
      <c r="F83" s="19" t="s">
        <v>78</v>
      </c>
      <c r="G83" s="5" t="s">
        <v>14</v>
      </c>
      <c r="H83" s="6">
        <v>550</v>
      </c>
    </row>
    <row r="84" spans="1:8" ht="20.100000000000001" customHeight="1" x14ac:dyDescent="0.25">
      <c r="A84" s="59"/>
      <c r="B84" s="2">
        <v>45049</v>
      </c>
      <c r="C84" s="3">
        <v>3995945018</v>
      </c>
      <c r="D84" s="3">
        <v>1</v>
      </c>
      <c r="E84" s="4" t="s">
        <v>43</v>
      </c>
      <c r="F84" s="19" t="s">
        <v>606</v>
      </c>
      <c r="G84" s="5" t="s">
        <v>6</v>
      </c>
      <c r="H84" s="6">
        <v>450</v>
      </c>
    </row>
    <row r="85" spans="1:8" ht="20.100000000000001" customHeight="1" x14ac:dyDescent="0.25">
      <c r="A85" s="59"/>
      <c r="B85" s="2">
        <v>45051</v>
      </c>
      <c r="C85" s="3">
        <v>99893721</v>
      </c>
      <c r="D85" s="3">
        <v>1</v>
      </c>
      <c r="E85" s="4" t="s">
        <v>333</v>
      </c>
      <c r="F85" s="19" t="s">
        <v>58</v>
      </c>
      <c r="G85" s="5" t="s">
        <v>6</v>
      </c>
      <c r="H85" s="6">
        <v>450</v>
      </c>
    </row>
    <row r="86" spans="1:8" ht="20.100000000000001" customHeight="1" x14ac:dyDescent="0.25">
      <c r="A86" s="59"/>
      <c r="B86" s="2">
        <v>45051</v>
      </c>
      <c r="C86" s="3">
        <v>2101235664</v>
      </c>
      <c r="D86" s="3">
        <v>1</v>
      </c>
      <c r="E86" s="4" t="s">
        <v>318</v>
      </c>
      <c r="F86" s="19" t="s">
        <v>226</v>
      </c>
      <c r="G86" s="5" t="s">
        <v>28</v>
      </c>
      <c r="H86" s="6">
        <v>450</v>
      </c>
    </row>
    <row r="87" spans="1:8" ht="20.100000000000001" customHeight="1" x14ac:dyDescent="0.25">
      <c r="A87" s="59"/>
      <c r="B87" s="2">
        <v>45054</v>
      </c>
      <c r="C87" s="3">
        <v>615402448</v>
      </c>
      <c r="D87" s="3">
        <v>1</v>
      </c>
      <c r="E87" s="4" t="s">
        <v>342</v>
      </c>
      <c r="F87" s="19" t="s">
        <v>79</v>
      </c>
      <c r="G87" s="5" t="s">
        <v>14</v>
      </c>
      <c r="H87" s="6">
        <v>850</v>
      </c>
    </row>
    <row r="88" spans="1:8" ht="20.100000000000001" customHeight="1" x14ac:dyDescent="0.25">
      <c r="A88" s="59"/>
      <c r="B88" s="2">
        <v>45054</v>
      </c>
      <c r="C88" s="3">
        <v>3738846948</v>
      </c>
      <c r="D88" s="3">
        <v>1</v>
      </c>
      <c r="E88" s="4" t="s">
        <v>342</v>
      </c>
      <c r="F88" s="19" t="s">
        <v>607</v>
      </c>
      <c r="G88" s="5" t="s">
        <v>14</v>
      </c>
      <c r="H88" s="6">
        <v>450</v>
      </c>
    </row>
    <row r="89" spans="1:8" ht="20.100000000000001" customHeight="1" x14ac:dyDescent="0.25">
      <c r="A89" s="59"/>
      <c r="B89" s="2">
        <v>45058</v>
      </c>
      <c r="C89" s="3">
        <v>2241023239</v>
      </c>
      <c r="D89" s="3">
        <v>1</v>
      </c>
      <c r="E89" s="4" t="s">
        <v>608</v>
      </c>
      <c r="F89" s="19" t="s">
        <v>58</v>
      </c>
      <c r="G89" s="5" t="s">
        <v>7</v>
      </c>
      <c r="H89" s="6">
        <v>350</v>
      </c>
    </row>
    <row r="90" spans="1:8" ht="20.100000000000001" customHeight="1" x14ac:dyDescent="0.25">
      <c r="A90" s="59"/>
      <c r="B90" s="2">
        <v>45058</v>
      </c>
      <c r="C90" s="3">
        <v>2241023239</v>
      </c>
      <c r="D90" s="3">
        <v>1</v>
      </c>
      <c r="E90" s="4" t="s">
        <v>608</v>
      </c>
      <c r="F90" s="19" t="s">
        <v>609</v>
      </c>
      <c r="G90" s="5" t="s">
        <v>7</v>
      </c>
      <c r="H90" s="6">
        <v>300</v>
      </c>
    </row>
    <row r="91" spans="1:8" ht="20.100000000000001" customHeight="1" x14ac:dyDescent="0.25">
      <c r="A91" s="59"/>
      <c r="B91" s="2">
        <v>45061</v>
      </c>
      <c r="C91" s="3">
        <v>1871594610</v>
      </c>
      <c r="D91" s="3">
        <v>1</v>
      </c>
      <c r="E91" s="4" t="s">
        <v>610</v>
      </c>
      <c r="F91" s="19" t="s">
        <v>78</v>
      </c>
      <c r="G91" s="5" t="s">
        <v>7</v>
      </c>
      <c r="H91" s="6">
        <v>550</v>
      </c>
    </row>
    <row r="92" spans="1:8" ht="20.100000000000001" customHeight="1" x14ac:dyDescent="0.25">
      <c r="A92" s="59"/>
      <c r="B92" s="2">
        <v>45061</v>
      </c>
      <c r="C92" s="3">
        <v>2518304092</v>
      </c>
      <c r="D92" s="3">
        <v>1</v>
      </c>
      <c r="E92" s="4" t="s">
        <v>611</v>
      </c>
      <c r="F92" s="19" t="s">
        <v>79</v>
      </c>
      <c r="G92" s="5" t="s">
        <v>7</v>
      </c>
      <c r="H92" s="6">
        <v>850</v>
      </c>
    </row>
    <row r="93" spans="1:8" ht="20.100000000000001" customHeight="1" x14ac:dyDescent="0.25">
      <c r="A93" s="59"/>
      <c r="B93" s="2">
        <v>45063</v>
      </c>
      <c r="C93" s="3">
        <v>4241575431</v>
      </c>
      <c r="D93" s="3">
        <v>1</v>
      </c>
      <c r="E93" s="4" t="s">
        <v>460</v>
      </c>
      <c r="F93" s="19" t="s">
        <v>138</v>
      </c>
      <c r="G93" s="5" t="s">
        <v>11</v>
      </c>
      <c r="H93" s="6">
        <v>350</v>
      </c>
    </row>
    <row r="94" spans="1:8" ht="20.100000000000001" customHeight="1" x14ac:dyDescent="0.25">
      <c r="A94" s="59"/>
      <c r="B94" s="2">
        <v>45063</v>
      </c>
      <c r="C94" s="3">
        <v>4241575431</v>
      </c>
      <c r="D94" s="3">
        <v>1</v>
      </c>
      <c r="E94" s="4" t="s">
        <v>460</v>
      </c>
      <c r="F94" s="19" t="s">
        <v>79</v>
      </c>
      <c r="G94" s="5" t="s">
        <v>11</v>
      </c>
      <c r="H94" s="6">
        <v>850</v>
      </c>
    </row>
    <row r="95" spans="1:8" ht="20.100000000000001" customHeight="1" x14ac:dyDescent="0.25">
      <c r="A95" s="59"/>
      <c r="B95" s="2">
        <v>45064</v>
      </c>
      <c r="C95" s="3">
        <v>2699053342</v>
      </c>
      <c r="D95" s="3">
        <v>1</v>
      </c>
      <c r="E95" s="4" t="s">
        <v>400</v>
      </c>
      <c r="F95" s="19" t="s">
        <v>79</v>
      </c>
      <c r="G95" s="5" t="s">
        <v>7</v>
      </c>
      <c r="H95" s="6">
        <v>850</v>
      </c>
    </row>
    <row r="96" spans="1:8" ht="20.100000000000001" customHeight="1" x14ac:dyDescent="0.25">
      <c r="A96" s="59"/>
      <c r="B96" s="2">
        <v>45064</v>
      </c>
      <c r="C96" s="3">
        <v>3295365302</v>
      </c>
      <c r="D96" s="3">
        <v>1</v>
      </c>
      <c r="E96" s="4" t="s">
        <v>345</v>
      </c>
      <c r="F96" s="19" t="s">
        <v>612</v>
      </c>
      <c r="G96" s="5" t="s">
        <v>14</v>
      </c>
      <c r="H96" s="6">
        <v>480</v>
      </c>
    </row>
    <row r="97" spans="1:8" ht="20.100000000000001" customHeight="1" x14ac:dyDescent="0.25">
      <c r="A97" s="59"/>
      <c r="B97" s="2">
        <v>45064</v>
      </c>
      <c r="C97" s="3">
        <v>284248084</v>
      </c>
      <c r="D97" s="3">
        <v>1</v>
      </c>
      <c r="E97" s="4" t="s">
        <v>51</v>
      </c>
      <c r="F97" s="19" t="s">
        <v>348</v>
      </c>
      <c r="G97" s="5" t="s">
        <v>6</v>
      </c>
      <c r="H97" s="6">
        <v>650</v>
      </c>
    </row>
    <row r="98" spans="1:8" ht="20.100000000000001" customHeight="1" x14ac:dyDescent="0.25">
      <c r="A98" s="59"/>
      <c r="B98" s="2">
        <v>45064</v>
      </c>
      <c r="C98" s="3">
        <v>284248084</v>
      </c>
      <c r="D98" s="3">
        <v>2</v>
      </c>
      <c r="E98" s="4" t="s">
        <v>51</v>
      </c>
      <c r="F98" s="19" t="s">
        <v>113</v>
      </c>
      <c r="G98" s="5" t="s">
        <v>6</v>
      </c>
      <c r="H98" s="6">
        <v>760</v>
      </c>
    </row>
    <row r="99" spans="1:8" ht="20.100000000000001" customHeight="1" x14ac:dyDescent="0.25">
      <c r="A99" s="59"/>
      <c r="B99" s="2">
        <v>45064</v>
      </c>
      <c r="C99" s="3">
        <v>284248084</v>
      </c>
      <c r="D99" s="3">
        <v>1</v>
      </c>
      <c r="E99" s="4" t="s">
        <v>51</v>
      </c>
      <c r="F99" s="19" t="s">
        <v>353</v>
      </c>
      <c r="G99" s="5" t="s">
        <v>6</v>
      </c>
      <c r="H99" s="6">
        <v>450</v>
      </c>
    </row>
    <row r="100" spans="1:8" ht="20.100000000000001" customHeight="1" x14ac:dyDescent="0.25">
      <c r="A100" s="59"/>
      <c r="B100" s="2">
        <v>45064</v>
      </c>
      <c r="C100" s="3">
        <v>2840872601</v>
      </c>
      <c r="D100" s="3">
        <v>2</v>
      </c>
      <c r="E100" s="4" t="s">
        <v>613</v>
      </c>
      <c r="F100" s="19" t="s">
        <v>78</v>
      </c>
      <c r="G100" s="5" t="s">
        <v>7</v>
      </c>
      <c r="H100" s="6">
        <v>1100</v>
      </c>
    </row>
    <row r="101" spans="1:8" ht="20.100000000000001" customHeight="1" x14ac:dyDescent="0.25">
      <c r="A101" s="59"/>
      <c r="B101" s="2">
        <v>45068</v>
      </c>
      <c r="C101" s="3">
        <v>5158519922</v>
      </c>
      <c r="D101" s="3">
        <v>2</v>
      </c>
      <c r="E101" s="4" t="s">
        <v>614</v>
      </c>
      <c r="F101" s="19" t="s">
        <v>348</v>
      </c>
      <c r="G101" s="5" t="s">
        <v>14</v>
      </c>
      <c r="H101" s="6">
        <v>1300</v>
      </c>
    </row>
    <row r="102" spans="1:8" ht="20.100000000000001" customHeight="1" x14ac:dyDescent="0.25">
      <c r="A102" s="59"/>
      <c r="B102" s="2">
        <v>45068</v>
      </c>
      <c r="C102" s="3">
        <v>5158519922</v>
      </c>
      <c r="D102" s="3">
        <v>1</v>
      </c>
      <c r="E102" s="4" t="s">
        <v>614</v>
      </c>
      <c r="F102" s="19" t="s">
        <v>79</v>
      </c>
      <c r="G102" s="5" t="s">
        <v>14</v>
      </c>
      <c r="H102" s="6">
        <v>850</v>
      </c>
    </row>
    <row r="103" spans="1:8" ht="20.100000000000001" customHeight="1" x14ac:dyDescent="0.25">
      <c r="A103" s="59"/>
      <c r="B103" s="2">
        <v>45068</v>
      </c>
      <c r="C103" s="3">
        <v>5158519922</v>
      </c>
      <c r="D103" s="3">
        <v>1</v>
      </c>
      <c r="E103" s="4" t="s">
        <v>614</v>
      </c>
      <c r="F103" s="19" t="s">
        <v>113</v>
      </c>
      <c r="G103" s="5" t="s">
        <v>14</v>
      </c>
      <c r="H103" s="6">
        <v>380</v>
      </c>
    </row>
    <row r="104" spans="1:8" ht="20.100000000000001" customHeight="1" x14ac:dyDescent="0.25">
      <c r="A104" s="59"/>
      <c r="B104" s="2">
        <v>45070</v>
      </c>
      <c r="C104" s="3">
        <v>3157412626</v>
      </c>
      <c r="D104" s="3">
        <v>1</v>
      </c>
      <c r="E104" s="4" t="s">
        <v>615</v>
      </c>
      <c r="F104" s="19" t="s">
        <v>616</v>
      </c>
      <c r="G104" s="5" t="s">
        <v>7</v>
      </c>
      <c r="H104" s="6">
        <v>750</v>
      </c>
    </row>
    <row r="105" spans="1:8" ht="20.100000000000001" customHeight="1" x14ac:dyDescent="0.25">
      <c r="A105" s="59"/>
      <c r="B105" s="2">
        <v>45072</v>
      </c>
      <c r="C105" s="3">
        <v>2980333283</v>
      </c>
      <c r="D105" s="3">
        <v>1</v>
      </c>
      <c r="E105" s="4" t="s">
        <v>617</v>
      </c>
      <c r="F105" s="19" t="s">
        <v>79</v>
      </c>
      <c r="G105" s="5" t="s">
        <v>7</v>
      </c>
      <c r="H105" s="6">
        <v>850</v>
      </c>
    </row>
    <row r="106" spans="1:8" ht="20.100000000000001" customHeight="1" x14ac:dyDescent="0.25">
      <c r="A106" s="59"/>
      <c r="B106" s="2">
        <v>45072</v>
      </c>
      <c r="C106" s="3">
        <v>2980333283</v>
      </c>
      <c r="D106" s="3">
        <v>1</v>
      </c>
      <c r="E106" s="4" t="s">
        <v>617</v>
      </c>
      <c r="F106" s="19" t="s">
        <v>78</v>
      </c>
      <c r="G106" s="5" t="s">
        <v>7</v>
      </c>
      <c r="H106" s="6">
        <v>550</v>
      </c>
    </row>
    <row r="107" spans="1:8" ht="20.100000000000001" customHeight="1" x14ac:dyDescent="0.25">
      <c r="A107" s="59"/>
      <c r="B107" s="2">
        <v>45077</v>
      </c>
      <c r="C107" s="3">
        <v>657540169</v>
      </c>
      <c r="D107" s="3">
        <v>1</v>
      </c>
      <c r="E107" s="4" t="s">
        <v>618</v>
      </c>
      <c r="F107" s="19" t="s">
        <v>138</v>
      </c>
      <c r="G107" s="5" t="s">
        <v>6</v>
      </c>
      <c r="H107" s="6">
        <v>350</v>
      </c>
    </row>
    <row r="108" spans="1:8" ht="20.100000000000001" customHeight="1" x14ac:dyDescent="0.25">
      <c r="A108" s="59"/>
      <c r="B108" s="2">
        <v>45084</v>
      </c>
      <c r="C108" s="3">
        <v>2888386716</v>
      </c>
      <c r="D108" s="3">
        <v>1</v>
      </c>
      <c r="E108" s="4" t="s">
        <v>343</v>
      </c>
      <c r="F108" s="19" t="s">
        <v>700</v>
      </c>
      <c r="G108" s="5" t="s">
        <v>7</v>
      </c>
      <c r="H108" s="6">
        <v>1280</v>
      </c>
    </row>
    <row r="109" spans="1:8" ht="20.100000000000001" customHeight="1" x14ac:dyDescent="0.25">
      <c r="A109" s="59"/>
      <c r="B109" s="2">
        <v>45084</v>
      </c>
      <c r="C109" s="3">
        <v>2888386716</v>
      </c>
      <c r="D109" s="3">
        <v>1</v>
      </c>
      <c r="E109" s="4" t="s">
        <v>343</v>
      </c>
      <c r="F109" s="19" t="s">
        <v>701</v>
      </c>
      <c r="G109" s="5" t="s">
        <v>7</v>
      </c>
      <c r="H109" s="6">
        <v>290</v>
      </c>
    </row>
    <row r="110" spans="1:8" ht="20.100000000000001" customHeight="1" x14ac:dyDescent="0.25">
      <c r="A110" s="59"/>
      <c r="B110" s="2">
        <v>45085</v>
      </c>
      <c r="C110" s="3">
        <v>82069941</v>
      </c>
      <c r="D110" s="3">
        <v>2</v>
      </c>
      <c r="E110" s="4" t="s">
        <v>594</v>
      </c>
      <c r="F110" s="19" t="s">
        <v>701</v>
      </c>
      <c r="G110" s="5" t="s">
        <v>14</v>
      </c>
      <c r="H110" s="6">
        <v>580</v>
      </c>
    </row>
    <row r="111" spans="1:8" ht="20.100000000000001" customHeight="1" x14ac:dyDescent="0.25">
      <c r="A111" s="59"/>
      <c r="B111" s="2">
        <v>45091</v>
      </c>
      <c r="C111" s="3">
        <v>4199563940</v>
      </c>
      <c r="D111" s="3">
        <v>1</v>
      </c>
      <c r="E111" s="4" t="s">
        <v>345</v>
      </c>
      <c r="F111" s="19" t="s">
        <v>79</v>
      </c>
      <c r="G111" s="5" t="s">
        <v>6</v>
      </c>
      <c r="H111" s="6">
        <v>850</v>
      </c>
    </row>
    <row r="112" spans="1:8" ht="20.100000000000001" customHeight="1" x14ac:dyDescent="0.25">
      <c r="A112" s="59"/>
      <c r="B112" s="2">
        <v>45091</v>
      </c>
      <c r="C112" s="3">
        <v>3550561724</v>
      </c>
      <c r="D112" s="3">
        <v>1</v>
      </c>
      <c r="E112" s="4" t="s">
        <v>702</v>
      </c>
      <c r="F112" s="19" t="s">
        <v>703</v>
      </c>
      <c r="G112" s="5" t="s">
        <v>7</v>
      </c>
      <c r="H112" s="6">
        <v>680</v>
      </c>
    </row>
    <row r="113" spans="1:8" ht="20.100000000000001" customHeight="1" x14ac:dyDescent="0.25">
      <c r="A113" s="59"/>
      <c r="B113" s="2">
        <v>45093</v>
      </c>
      <c r="C113" s="3">
        <v>1352551502</v>
      </c>
      <c r="D113" s="3">
        <v>1</v>
      </c>
      <c r="E113" s="4" t="s">
        <v>704</v>
      </c>
      <c r="F113" s="19" t="s">
        <v>58</v>
      </c>
      <c r="G113" s="5" t="s">
        <v>7</v>
      </c>
      <c r="H113" s="6">
        <v>450</v>
      </c>
    </row>
    <row r="114" spans="1:8" ht="20.100000000000001" customHeight="1" x14ac:dyDescent="0.25">
      <c r="A114" s="59"/>
      <c r="B114" s="2">
        <v>45096</v>
      </c>
      <c r="C114" s="3">
        <v>1300515898</v>
      </c>
      <c r="D114" s="3">
        <v>1</v>
      </c>
      <c r="E114" s="4" t="s">
        <v>705</v>
      </c>
      <c r="F114" s="19" t="s">
        <v>79</v>
      </c>
      <c r="G114" s="5" t="s">
        <v>14</v>
      </c>
      <c r="H114" s="6">
        <v>850</v>
      </c>
    </row>
    <row r="115" spans="1:8" ht="20.100000000000001" customHeight="1" x14ac:dyDescent="0.25">
      <c r="A115" s="59"/>
      <c r="B115" s="2">
        <v>45097</v>
      </c>
      <c r="C115" s="3">
        <v>951992573</v>
      </c>
      <c r="D115" s="3">
        <v>1</v>
      </c>
      <c r="E115" s="4" t="s">
        <v>319</v>
      </c>
      <c r="F115" s="19" t="s">
        <v>703</v>
      </c>
      <c r="G115" s="5" t="s">
        <v>14</v>
      </c>
      <c r="H115" s="6">
        <v>650</v>
      </c>
    </row>
    <row r="116" spans="1:8" ht="15.75" x14ac:dyDescent="0.25">
      <c r="A116" s="59"/>
      <c r="B116" s="2">
        <v>45097</v>
      </c>
      <c r="C116" s="3">
        <v>951992573</v>
      </c>
      <c r="D116" s="3">
        <v>1</v>
      </c>
      <c r="E116" s="4" t="s">
        <v>319</v>
      </c>
      <c r="F116" s="19" t="s">
        <v>331</v>
      </c>
      <c r="G116" s="5" t="s">
        <v>14</v>
      </c>
      <c r="H116" s="6">
        <v>250</v>
      </c>
    </row>
    <row r="117" spans="1:8" ht="15.75" x14ac:dyDescent="0.25">
      <c r="A117" s="59"/>
      <c r="B117" s="2">
        <v>45104</v>
      </c>
      <c r="C117" s="3">
        <v>3114551722</v>
      </c>
      <c r="D117" s="3">
        <v>1</v>
      </c>
      <c r="E117" s="4" t="s">
        <v>706</v>
      </c>
      <c r="F117" s="19" t="s">
        <v>701</v>
      </c>
      <c r="G117" s="5" t="s">
        <v>7</v>
      </c>
      <c r="H117" s="6">
        <v>290</v>
      </c>
    </row>
    <row r="118" spans="1:8" ht="15.75" x14ac:dyDescent="0.25">
      <c r="A118" s="59"/>
      <c r="B118" s="2">
        <v>45104</v>
      </c>
      <c r="C118" s="3">
        <v>3114551722</v>
      </c>
      <c r="D118" s="3">
        <v>1</v>
      </c>
      <c r="E118" s="4" t="s">
        <v>706</v>
      </c>
      <c r="F118" s="19" t="s">
        <v>79</v>
      </c>
      <c r="G118" s="5" t="s">
        <v>7</v>
      </c>
      <c r="H118" s="6">
        <v>850</v>
      </c>
    </row>
    <row r="119" spans="1:8" ht="20.100000000000001" customHeight="1" x14ac:dyDescent="0.25">
      <c r="A119" s="59"/>
      <c r="B119" s="2">
        <v>45104</v>
      </c>
      <c r="C119" s="3">
        <v>2750957755</v>
      </c>
      <c r="D119" s="3">
        <v>1</v>
      </c>
      <c r="E119" s="4" t="s">
        <v>683</v>
      </c>
      <c r="F119" s="19" t="s">
        <v>707</v>
      </c>
      <c r="G119" s="5" t="s">
        <v>7</v>
      </c>
      <c r="H119" s="6">
        <v>350</v>
      </c>
    </row>
    <row r="120" spans="1:8" ht="20.100000000000001" customHeight="1" x14ac:dyDescent="0.25">
      <c r="A120" s="59"/>
      <c r="B120" s="2">
        <v>45114</v>
      </c>
      <c r="C120" s="3">
        <v>4222566545</v>
      </c>
      <c r="D120" s="3">
        <v>1</v>
      </c>
      <c r="E120" s="4" t="s">
        <v>92</v>
      </c>
      <c r="F120" s="19" t="s">
        <v>790</v>
      </c>
      <c r="G120" s="5" t="s">
        <v>14</v>
      </c>
      <c r="H120" s="6">
        <v>1280</v>
      </c>
    </row>
    <row r="121" spans="1:8" ht="20.100000000000001" customHeight="1" x14ac:dyDescent="0.25">
      <c r="A121" s="59"/>
      <c r="B121" s="2">
        <v>45114</v>
      </c>
      <c r="C121" s="3">
        <v>4222566545</v>
      </c>
      <c r="D121" s="3">
        <v>1</v>
      </c>
      <c r="E121" s="4" t="s">
        <v>92</v>
      </c>
      <c r="F121" s="19" t="s">
        <v>701</v>
      </c>
      <c r="G121" s="5" t="s">
        <v>14</v>
      </c>
      <c r="H121" s="6">
        <v>290</v>
      </c>
    </row>
    <row r="122" spans="1:8" ht="20.100000000000001" customHeight="1" x14ac:dyDescent="0.25">
      <c r="A122" s="59"/>
      <c r="B122" s="2">
        <v>45120</v>
      </c>
      <c r="C122" s="3">
        <v>698761954</v>
      </c>
      <c r="D122" s="3">
        <v>1</v>
      </c>
      <c r="E122" s="4" t="s">
        <v>791</v>
      </c>
      <c r="F122" s="19" t="s">
        <v>79</v>
      </c>
      <c r="G122" s="5" t="s">
        <v>7</v>
      </c>
      <c r="H122" s="6">
        <v>850</v>
      </c>
    </row>
    <row r="123" spans="1:8" ht="20.100000000000001" customHeight="1" x14ac:dyDescent="0.25">
      <c r="A123" s="59"/>
      <c r="B123" s="2">
        <v>45120</v>
      </c>
      <c r="C123" s="3">
        <v>1761890117</v>
      </c>
      <c r="D123" s="3">
        <v>1</v>
      </c>
      <c r="E123" s="4" t="s">
        <v>792</v>
      </c>
      <c r="F123" s="19" t="s">
        <v>79</v>
      </c>
      <c r="G123" s="5" t="s">
        <v>7</v>
      </c>
      <c r="H123" s="6">
        <v>850</v>
      </c>
    </row>
    <row r="124" spans="1:8" ht="20.100000000000001" customHeight="1" x14ac:dyDescent="0.25">
      <c r="A124" s="59"/>
      <c r="B124" s="2">
        <v>45121</v>
      </c>
      <c r="C124" s="3">
        <v>1650214484</v>
      </c>
      <c r="D124" s="3">
        <v>1</v>
      </c>
      <c r="E124" s="4" t="s">
        <v>793</v>
      </c>
      <c r="F124" s="19" t="s">
        <v>113</v>
      </c>
      <c r="G124" s="5" t="s">
        <v>14</v>
      </c>
      <c r="H124" s="6">
        <v>380</v>
      </c>
    </row>
    <row r="125" spans="1:8" ht="20.100000000000001" customHeight="1" x14ac:dyDescent="0.25">
      <c r="A125" s="59"/>
      <c r="B125" s="2">
        <v>45127</v>
      </c>
      <c r="C125" s="3">
        <v>2177583639</v>
      </c>
      <c r="D125" s="3">
        <v>1</v>
      </c>
      <c r="E125" s="4" t="s">
        <v>794</v>
      </c>
      <c r="F125" s="19" t="s">
        <v>796</v>
      </c>
      <c r="G125" s="5" t="s">
        <v>7</v>
      </c>
      <c r="H125" s="6">
        <v>580</v>
      </c>
    </row>
    <row r="126" spans="1:8" ht="20.100000000000001" customHeight="1" x14ac:dyDescent="0.25">
      <c r="A126" s="59"/>
      <c r="B126" s="2">
        <v>45127</v>
      </c>
      <c r="C126" s="3">
        <v>2177583639</v>
      </c>
      <c r="D126" s="3">
        <v>1</v>
      </c>
      <c r="E126" s="4" t="s">
        <v>794</v>
      </c>
      <c r="F126" s="19" t="s">
        <v>797</v>
      </c>
      <c r="G126" s="5" t="s">
        <v>7</v>
      </c>
      <c r="H126" s="6">
        <v>780</v>
      </c>
    </row>
    <row r="127" spans="1:8" ht="20.100000000000001" customHeight="1" x14ac:dyDescent="0.25">
      <c r="A127" s="59"/>
      <c r="B127" s="2">
        <v>45128</v>
      </c>
      <c r="C127" s="3">
        <v>4160179072</v>
      </c>
      <c r="D127" s="3">
        <v>1</v>
      </c>
      <c r="E127" s="4" t="s">
        <v>460</v>
      </c>
      <c r="F127" s="19" t="s">
        <v>798</v>
      </c>
      <c r="G127" s="5" t="s">
        <v>6</v>
      </c>
      <c r="H127" s="6">
        <v>450</v>
      </c>
    </row>
    <row r="128" spans="1:8" ht="20.100000000000001" customHeight="1" x14ac:dyDescent="0.25">
      <c r="A128" s="59"/>
      <c r="B128" s="2">
        <v>45128</v>
      </c>
      <c r="C128" s="3">
        <v>4160179072</v>
      </c>
      <c r="D128" s="3">
        <v>1</v>
      </c>
      <c r="E128" s="4" t="s">
        <v>460</v>
      </c>
      <c r="F128" s="19" t="s">
        <v>79</v>
      </c>
      <c r="G128" s="5" t="s">
        <v>6</v>
      </c>
      <c r="H128" s="6">
        <v>850</v>
      </c>
    </row>
    <row r="129" spans="1:8" ht="20.100000000000001" customHeight="1" x14ac:dyDescent="0.25">
      <c r="A129" s="59"/>
      <c r="B129" s="2">
        <v>45128</v>
      </c>
      <c r="C129" s="3">
        <v>251561331</v>
      </c>
      <c r="D129" s="3">
        <v>1</v>
      </c>
      <c r="E129" s="4" t="s">
        <v>119</v>
      </c>
      <c r="F129" s="19" t="s">
        <v>799</v>
      </c>
      <c r="G129" s="5" t="s">
        <v>6</v>
      </c>
      <c r="H129" s="6">
        <v>1100</v>
      </c>
    </row>
    <row r="130" spans="1:8" ht="20.100000000000001" customHeight="1" x14ac:dyDescent="0.25">
      <c r="A130" s="59"/>
      <c r="B130" s="2">
        <v>45128</v>
      </c>
      <c r="C130" s="3">
        <v>503347361</v>
      </c>
      <c r="D130" s="3">
        <v>1</v>
      </c>
      <c r="E130" s="4" t="s">
        <v>342</v>
      </c>
      <c r="F130" s="19" t="s">
        <v>332</v>
      </c>
      <c r="G130" s="5" t="s">
        <v>6</v>
      </c>
      <c r="H130" s="6">
        <v>630</v>
      </c>
    </row>
    <row r="131" spans="1:8" ht="20.100000000000001" customHeight="1" x14ac:dyDescent="0.25">
      <c r="A131" s="59"/>
      <c r="B131" s="2">
        <v>45128</v>
      </c>
      <c r="C131" s="3">
        <v>503347361</v>
      </c>
      <c r="D131" s="3">
        <v>1</v>
      </c>
      <c r="E131" s="4" t="s">
        <v>342</v>
      </c>
      <c r="F131" s="19" t="s">
        <v>58</v>
      </c>
      <c r="G131" s="5" t="s">
        <v>6</v>
      </c>
      <c r="H131" s="6">
        <v>450</v>
      </c>
    </row>
    <row r="132" spans="1:8" ht="20.100000000000001" customHeight="1" x14ac:dyDescent="0.25">
      <c r="A132" s="59"/>
      <c r="B132" s="2">
        <v>45128</v>
      </c>
      <c r="C132" s="3">
        <v>2124040796</v>
      </c>
      <c r="D132" s="3">
        <v>1</v>
      </c>
      <c r="E132" s="4" t="s">
        <v>795</v>
      </c>
      <c r="F132" s="19" t="s">
        <v>58</v>
      </c>
      <c r="G132" s="5" t="s">
        <v>6</v>
      </c>
      <c r="H132" s="6">
        <v>450</v>
      </c>
    </row>
    <row r="133" spans="1:8" ht="20.100000000000001" customHeight="1" x14ac:dyDescent="0.25">
      <c r="A133" s="59"/>
      <c r="B133" s="2">
        <v>45131</v>
      </c>
      <c r="C133" s="3">
        <v>672416924</v>
      </c>
      <c r="D133" s="3">
        <v>1</v>
      </c>
      <c r="E133" s="4" t="s">
        <v>800</v>
      </c>
      <c r="F133" s="19" t="s">
        <v>797</v>
      </c>
      <c r="G133" s="5" t="s">
        <v>7</v>
      </c>
      <c r="H133" s="6">
        <v>780</v>
      </c>
    </row>
    <row r="134" spans="1:8" ht="20.100000000000001" customHeight="1" x14ac:dyDescent="0.25">
      <c r="A134" s="59"/>
      <c r="B134" s="2">
        <v>45133</v>
      </c>
      <c r="C134" s="3">
        <v>3339010863</v>
      </c>
      <c r="D134" s="3">
        <v>1</v>
      </c>
      <c r="E134" s="4" t="s">
        <v>801</v>
      </c>
      <c r="F134" s="19" t="s">
        <v>79</v>
      </c>
      <c r="G134" s="5" t="s">
        <v>7</v>
      </c>
      <c r="H134" s="6">
        <v>850</v>
      </c>
    </row>
    <row r="135" spans="1:8" ht="20.100000000000001" customHeight="1" x14ac:dyDescent="0.25">
      <c r="A135" s="59"/>
      <c r="B135" s="2">
        <v>45133</v>
      </c>
      <c r="C135" s="3">
        <v>1420772843</v>
      </c>
      <c r="D135" s="3">
        <v>1</v>
      </c>
      <c r="E135" s="4" t="s">
        <v>709</v>
      </c>
      <c r="F135" s="19" t="s">
        <v>238</v>
      </c>
      <c r="G135" s="5" t="s">
        <v>7</v>
      </c>
      <c r="H135" s="6">
        <v>450</v>
      </c>
    </row>
    <row r="136" spans="1:8" ht="20.100000000000001" customHeight="1" x14ac:dyDescent="0.25">
      <c r="A136" s="59"/>
      <c r="B136" s="2">
        <v>45134</v>
      </c>
      <c r="C136" s="3">
        <v>51003928</v>
      </c>
      <c r="D136" s="3">
        <v>1</v>
      </c>
      <c r="E136" s="4" t="s">
        <v>333</v>
      </c>
      <c r="F136" s="19" t="s">
        <v>58</v>
      </c>
      <c r="G136" s="5" t="s">
        <v>7</v>
      </c>
      <c r="H136" s="6">
        <v>450</v>
      </c>
    </row>
    <row r="137" spans="1:8" ht="20.100000000000001" customHeight="1" x14ac:dyDescent="0.25">
      <c r="A137" s="59"/>
      <c r="B137" s="2">
        <v>45134</v>
      </c>
      <c r="C137" s="3">
        <v>51003928</v>
      </c>
      <c r="D137" s="3">
        <v>1</v>
      </c>
      <c r="E137" s="4" t="s">
        <v>333</v>
      </c>
      <c r="F137" s="19" t="s">
        <v>238</v>
      </c>
      <c r="G137" s="5" t="s">
        <v>7</v>
      </c>
      <c r="H137" s="6">
        <v>450</v>
      </c>
    </row>
    <row r="138" spans="1:8" ht="20.100000000000001" customHeight="1" x14ac:dyDescent="0.25">
      <c r="A138" s="59"/>
      <c r="B138" s="2">
        <v>45134</v>
      </c>
      <c r="C138" s="3">
        <v>2195738136</v>
      </c>
      <c r="D138" s="3">
        <v>1</v>
      </c>
      <c r="E138" s="4" t="s">
        <v>802</v>
      </c>
      <c r="F138" s="19" t="s">
        <v>701</v>
      </c>
      <c r="G138" s="5" t="s">
        <v>7</v>
      </c>
      <c r="H138" s="6">
        <v>290</v>
      </c>
    </row>
    <row r="139" spans="1:8" ht="20.100000000000001" customHeight="1" x14ac:dyDescent="0.25">
      <c r="A139" s="59"/>
      <c r="B139" s="2">
        <v>45139</v>
      </c>
      <c r="C139" s="3">
        <v>1692879636</v>
      </c>
      <c r="D139" s="3">
        <v>1</v>
      </c>
      <c r="E139" s="4" t="s">
        <v>947</v>
      </c>
      <c r="F139" s="19" t="s">
        <v>948</v>
      </c>
      <c r="G139" s="5" t="s">
        <v>28</v>
      </c>
      <c r="H139" s="6">
        <v>1100</v>
      </c>
    </row>
    <row r="140" spans="1:8" ht="20.100000000000001" customHeight="1" x14ac:dyDescent="0.25">
      <c r="A140" s="59"/>
      <c r="B140" s="2">
        <v>45140</v>
      </c>
      <c r="C140" s="3">
        <v>1326993146</v>
      </c>
      <c r="D140" s="3">
        <v>1</v>
      </c>
      <c r="E140" s="4" t="s">
        <v>949</v>
      </c>
      <c r="F140" s="19" t="s">
        <v>226</v>
      </c>
      <c r="G140" s="5" t="s">
        <v>7</v>
      </c>
      <c r="H140" s="6">
        <v>450</v>
      </c>
    </row>
    <row r="141" spans="1:8" ht="20.100000000000001" customHeight="1" x14ac:dyDescent="0.25">
      <c r="A141" s="59"/>
      <c r="B141" s="2">
        <v>45146</v>
      </c>
      <c r="C141" s="3">
        <v>205082189</v>
      </c>
      <c r="D141" s="3">
        <v>1</v>
      </c>
      <c r="E141" s="4" t="s">
        <v>950</v>
      </c>
      <c r="F141" s="19" t="s">
        <v>348</v>
      </c>
      <c r="G141" s="5" t="s">
        <v>6</v>
      </c>
      <c r="H141" s="6">
        <v>650</v>
      </c>
    </row>
    <row r="142" spans="1:8" ht="20.100000000000001" customHeight="1" x14ac:dyDescent="0.25">
      <c r="A142" s="59"/>
      <c r="B142" s="2">
        <v>45149</v>
      </c>
      <c r="C142" s="3">
        <v>2843102432</v>
      </c>
      <c r="D142" s="3">
        <v>1</v>
      </c>
      <c r="E142" s="4" t="s">
        <v>755</v>
      </c>
      <c r="F142" s="19" t="s">
        <v>951</v>
      </c>
      <c r="G142" s="5" t="s">
        <v>7</v>
      </c>
      <c r="H142" s="6">
        <v>650</v>
      </c>
    </row>
    <row r="143" spans="1:8" ht="20.100000000000001" customHeight="1" x14ac:dyDescent="0.25">
      <c r="A143" s="59"/>
      <c r="B143" s="2">
        <v>45149</v>
      </c>
      <c r="C143" s="3">
        <v>2843102432</v>
      </c>
      <c r="D143" s="3">
        <v>1</v>
      </c>
      <c r="E143" s="4" t="s">
        <v>755</v>
      </c>
      <c r="F143" s="19" t="s">
        <v>352</v>
      </c>
      <c r="G143" s="5" t="s">
        <v>7</v>
      </c>
      <c r="H143" s="6">
        <v>650</v>
      </c>
    </row>
    <row r="144" spans="1:8" ht="20.100000000000001" customHeight="1" x14ac:dyDescent="0.25">
      <c r="A144" s="59"/>
      <c r="B144" s="2">
        <v>45156</v>
      </c>
      <c r="C144" s="3">
        <v>2299150476</v>
      </c>
      <c r="D144" s="3">
        <v>1</v>
      </c>
      <c r="E144" s="4" t="s">
        <v>709</v>
      </c>
      <c r="F144" s="19" t="s">
        <v>113</v>
      </c>
      <c r="G144" s="5" t="s">
        <v>7</v>
      </c>
      <c r="H144" s="6">
        <v>380</v>
      </c>
    </row>
    <row r="145" spans="1:8" ht="20.100000000000001" customHeight="1" x14ac:dyDescent="0.25">
      <c r="A145" s="59"/>
      <c r="B145" s="2">
        <v>45156</v>
      </c>
      <c r="C145" s="3">
        <v>2299150476</v>
      </c>
      <c r="D145" s="3">
        <v>1</v>
      </c>
      <c r="E145" s="4" t="s">
        <v>709</v>
      </c>
      <c r="F145" s="19" t="s">
        <v>352</v>
      </c>
      <c r="G145" s="5" t="s">
        <v>7</v>
      </c>
      <c r="H145" s="6">
        <v>640</v>
      </c>
    </row>
    <row r="146" spans="1:8" ht="20.100000000000001" customHeight="1" x14ac:dyDescent="0.25">
      <c r="A146" s="59"/>
      <c r="B146" s="2">
        <v>45156</v>
      </c>
      <c r="C146" s="3">
        <v>2299150476</v>
      </c>
      <c r="D146" s="3">
        <v>1</v>
      </c>
      <c r="E146" s="4" t="s">
        <v>709</v>
      </c>
      <c r="F146" s="19" t="s">
        <v>332</v>
      </c>
      <c r="G146" s="5" t="s">
        <v>7</v>
      </c>
      <c r="H146" s="6">
        <v>630</v>
      </c>
    </row>
    <row r="147" spans="1:8" ht="20.100000000000001" customHeight="1" x14ac:dyDescent="0.25">
      <c r="A147" s="59"/>
      <c r="B147" s="2">
        <v>45161</v>
      </c>
      <c r="C147" s="3">
        <v>2606712307</v>
      </c>
      <c r="D147" s="3">
        <v>2</v>
      </c>
      <c r="E147" s="4" t="s">
        <v>952</v>
      </c>
      <c r="F147" s="19" t="s">
        <v>79</v>
      </c>
      <c r="G147" s="5" t="s">
        <v>14</v>
      </c>
      <c r="H147" s="6">
        <v>1700</v>
      </c>
    </row>
    <row r="148" spans="1:8" ht="20.100000000000001" customHeight="1" x14ac:dyDescent="0.25">
      <c r="A148" s="59"/>
      <c r="B148" s="2">
        <v>45161</v>
      </c>
      <c r="C148" s="3">
        <v>2606712307</v>
      </c>
      <c r="D148" s="3">
        <v>2</v>
      </c>
      <c r="E148" s="4" t="s">
        <v>952</v>
      </c>
      <c r="F148" s="19" t="s">
        <v>78</v>
      </c>
      <c r="G148" s="5" t="s">
        <v>14</v>
      </c>
      <c r="H148" s="6">
        <v>1100</v>
      </c>
    </row>
    <row r="149" spans="1:8" ht="20.100000000000001" customHeight="1" x14ac:dyDescent="0.25">
      <c r="A149" s="59"/>
      <c r="B149" s="2">
        <v>45162</v>
      </c>
      <c r="C149" s="3">
        <v>2110082774</v>
      </c>
      <c r="D149" s="3">
        <v>1</v>
      </c>
      <c r="E149" s="4" t="s">
        <v>953</v>
      </c>
      <c r="F149" s="19" t="s">
        <v>79</v>
      </c>
      <c r="G149" s="5" t="s">
        <v>28</v>
      </c>
      <c r="H149" s="6">
        <v>850</v>
      </c>
    </row>
    <row r="150" spans="1:8" ht="20.100000000000001" customHeight="1" x14ac:dyDescent="0.25">
      <c r="A150" s="59"/>
      <c r="B150" s="2">
        <v>45174</v>
      </c>
      <c r="C150" s="3">
        <v>3648736166</v>
      </c>
      <c r="D150" s="3">
        <v>1</v>
      </c>
      <c r="E150" s="4" t="s">
        <v>1015</v>
      </c>
      <c r="F150" s="19" t="s">
        <v>332</v>
      </c>
      <c r="G150" s="5" t="s">
        <v>7</v>
      </c>
      <c r="H150" s="6">
        <v>630</v>
      </c>
    </row>
    <row r="151" spans="1:8" ht="20.100000000000001" customHeight="1" x14ac:dyDescent="0.25">
      <c r="A151" s="59"/>
      <c r="B151" s="2">
        <v>45176</v>
      </c>
      <c r="C151" s="3">
        <v>531974961</v>
      </c>
      <c r="D151" s="3">
        <v>1</v>
      </c>
      <c r="E151" s="4" t="s">
        <v>1016</v>
      </c>
      <c r="F151" s="19" t="s">
        <v>352</v>
      </c>
      <c r="G151" s="5" t="s">
        <v>7</v>
      </c>
      <c r="H151" s="6">
        <v>650</v>
      </c>
    </row>
    <row r="152" spans="1:8" ht="20.100000000000001" customHeight="1" x14ac:dyDescent="0.25">
      <c r="A152" s="59"/>
      <c r="B152" s="2">
        <v>45176</v>
      </c>
      <c r="C152" s="3">
        <v>531974961</v>
      </c>
      <c r="D152" s="3">
        <v>1</v>
      </c>
      <c r="E152" s="4" t="s">
        <v>1016</v>
      </c>
      <c r="F152" s="19" t="s">
        <v>78</v>
      </c>
      <c r="G152" s="5" t="s">
        <v>7</v>
      </c>
      <c r="H152" s="6">
        <v>550</v>
      </c>
    </row>
    <row r="153" spans="1:8" ht="20.100000000000001" customHeight="1" x14ac:dyDescent="0.25">
      <c r="A153" s="59"/>
      <c r="B153" s="2">
        <v>45176</v>
      </c>
      <c r="C153" s="3">
        <v>1515802142</v>
      </c>
      <c r="D153" s="3">
        <v>1</v>
      </c>
      <c r="E153" s="4" t="s">
        <v>1017</v>
      </c>
      <c r="F153" s="19" t="s">
        <v>58</v>
      </c>
      <c r="G153" s="5" t="s">
        <v>7</v>
      </c>
      <c r="H153" s="6">
        <v>450</v>
      </c>
    </row>
    <row r="154" spans="1:8" ht="20.100000000000001" customHeight="1" x14ac:dyDescent="0.25">
      <c r="A154" s="59"/>
      <c r="B154" s="2">
        <v>45177</v>
      </c>
      <c r="C154" s="3">
        <v>3847045664</v>
      </c>
      <c r="D154" s="3">
        <v>1</v>
      </c>
      <c r="E154" s="4" t="s">
        <v>1018</v>
      </c>
      <c r="F154" s="19" t="s">
        <v>542</v>
      </c>
      <c r="G154" s="5" t="s">
        <v>11</v>
      </c>
      <c r="H154" s="6">
        <v>380</v>
      </c>
    </row>
    <row r="155" spans="1:8" ht="20.100000000000001" customHeight="1" x14ac:dyDescent="0.25">
      <c r="A155" s="59"/>
      <c r="B155" s="2">
        <v>45177</v>
      </c>
      <c r="C155" s="3">
        <v>1671383102</v>
      </c>
      <c r="D155" s="3">
        <v>1</v>
      </c>
      <c r="E155" s="4" t="s">
        <v>1019</v>
      </c>
      <c r="F155" s="19" t="s">
        <v>1025</v>
      </c>
      <c r="G155" s="5" t="s">
        <v>6</v>
      </c>
      <c r="H155" s="6">
        <v>350</v>
      </c>
    </row>
    <row r="156" spans="1:8" ht="20.100000000000001" customHeight="1" x14ac:dyDescent="0.25">
      <c r="A156" s="59"/>
      <c r="B156" s="2">
        <v>45181</v>
      </c>
      <c r="C156" s="3">
        <v>3157937615</v>
      </c>
      <c r="D156" s="3">
        <v>1</v>
      </c>
      <c r="E156" s="4" t="s">
        <v>1020</v>
      </c>
      <c r="F156" s="19" t="s">
        <v>79</v>
      </c>
      <c r="G156" s="5" t="s">
        <v>14</v>
      </c>
      <c r="H156" s="6">
        <v>850</v>
      </c>
    </row>
    <row r="157" spans="1:8" ht="20.100000000000001" customHeight="1" x14ac:dyDescent="0.25">
      <c r="A157" s="59"/>
      <c r="B157" s="2">
        <v>45181</v>
      </c>
      <c r="C157" s="3">
        <v>1240350765</v>
      </c>
      <c r="D157" s="3">
        <v>1</v>
      </c>
      <c r="E157" s="4" t="s">
        <v>51</v>
      </c>
      <c r="F157" s="19" t="s">
        <v>58</v>
      </c>
      <c r="G157" s="5" t="s">
        <v>6</v>
      </c>
      <c r="H157" s="6">
        <v>450</v>
      </c>
    </row>
    <row r="158" spans="1:8" ht="20.100000000000001" customHeight="1" x14ac:dyDescent="0.25">
      <c r="A158" s="59"/>
      <c r="B158" s="2">
        <v>45181</v>
      </c>
      <c r="C158" s="3">
        <v>1240350765</v>
      </c>
      <c r="D158" s="3">
        <v>1</v>
      </c>
      <c r="E158" s="4" t="s">
        <v>51</v>
      </c>
      <c r="F158" s="19" t="s">
        <v>79</v>
      </c>
      <c r="G158" s="5" t="s">
        <v>6</v>
      </c>
      <c r="H158" s="6">
        <v>850</v>
      </c>
    </row>
    <row r="159" spans="1:8" ht="20.100000000000001" customHeight="1" x14ac:dyDescent="0.25">
      <c r="A159" s="59"/>
      <c r="B159" s="2">
        <v>45183</v>
      </c>
      <c r="C159" s="3">
        <v>3516417750</v>
      </c>
      <c r="D159" s="3">
        <v>1</v>
      </c>
      <c r="E159" s="4" t="s">
        <v>1021</v>
      </c>
      <c r="F159" s="19" t="s">
        <v>1026</v>
      </c>
      <c r="G159" s="5" t="s">
        <v>6</v>
      </c>
      <c r="H159" s="6">
        <v>850</v>
      </c>
    </row>
    <row r="160" spans="1:8" ht="20.100000000000001" customHeight="1" x14ac:dyDescent="0.25">
      <c r="A160" s="59"/>
      <c r="B160" s="2">
        <v>45191</v>
      </c>
      <c r="C160" s="3">
        <v>245712414</v>
      </c>
      <c r="D160" s="3">
        <v>1</v>
      </c>
      <c r="E160" s="4" t="s">
        <v>1022</v>
      </c>
      <c r="F160" s="19" t="s">
        <v>1027</v>
      </c>
      <c r="G160" s="5" t="s">
        <v>7</v>
      </c>
      <c r="H160" s="6">
        <v>1000</v>
      </c>
    </row>
    <row r="161" spans="1:8" ht="20.100000000000001" customHeight="1" x14ac:dyDescent="0.25">
      <c r="A161" s="59"/>
      <c r="B161" s="2">
        <v>45191</v>
      </c>
      <c r="C161" s="3">
        <v>245712414</v>
      </c>
      <c r="D161" s="3">
        <v>1</v>
      </c>
      <c r="E161" s="4" t="s">
        <v>1022</v>
      </c>
      <c r="F161" s="19" t="s">
        <v>1026</v>
      </c>
      <c r="G161" s="5" t="s">
        <v>7</v>
      </c>
      <c r="H161" s="6">
        <v>850</v>
      </c>
    </row>
    <row r="162" spans="1:8" ht="20.100000000000001" customHeight="1" x14ac:dyDescent="0.25">
      <c r="A162" s="59"/>
      <c r="B162" s="2">
        <v>45191</v>
      </c>
      <c r="C162" s="3">
        <v>245712414</v>
      </c>
      <c r="D162" s="3">
        <v>1</v>
      </c>
      <c r="E162" s="4" t="s">
        <v>1022</v>
      </c>
      <c r="F162" s="19" t="s">
        <v>78</v>
      </c>
      <c r="G162" s="5" t="s">
        <v>7</v>
      </c>
      <c r="H162" s="6">
        <v>550</v>
      </c>
    </row>
    <row r="163" spans="1:8" ht="20.100000000000001" customHeight="1" x14ac:dyDescent="0.25">
      <c r="A163" s="59"/>
      <c r="B163" s="2">
        <v>45198</v>
      </c>
      <c r="C163" s="3">
        <v>2400407331</v>
      </c>
      <c r="D163" s="3">
        <v>1</v>
      </c>
      <c r="E163" s="4" t="s">
        <v>1023</v>
      </c>
      <c r="F163" s="19" t="s">
        <v>78</v>
      </c>
      <c r="G163" s="5" t="s">
        <v>1032</v>
      </c>
      <c r="H163" s="6">
        <v>552.46</v>
      </c>
    </row>
    <row r="164" spans="1:8" ht="20.100000000000001" customHeight="1" x14ac:dyDescent="0.25">
      <c r="A164" s="59"/>
      <c r="B164" s="2">
        <v>45198</v>
      </c>
      <c r="C164" s="3">
        <v>2400407331</v>
      </c>
      <c r="D164" s="3">
        <v>1</v>
      </c>
      <c r="E164" s="4" t="s">
        <v>1023</v>
      </c>
      <c r="F164" s="19" t="s">
        <v>1028</v>
      </c>
      <c r="G164" s="5" t="s">
        <v>1032</v>
      </c>
      <c r="H164" s="6">
        <v>450</v>
      </c>
    </row>
    <row r="165" spans="1:8" ht="20.100000000000001" customHeight="1" x14ac:dyDescent="0.25">
      <c r="A165" s="59"/>
      <c r="B165" s="2">
        <v>45198</v>
      </c>
      <c r="C165" s="3">
        <v>1892896262</v>
      </c>
      <c r="D165" s="3">
        <v>1</v>
      </c>
      <c r="E165" s="4" t="s">
        <v>1024</v>
      </c>
      <c r="F165" s="19" t="s">
        <v>1027</v>
      </c>
      <c r="G165" s="5" t="s">
        <v>6</v>
      </c>
      <c r="H165" s="6">
        <v>1280</v>
      </c>
    </row>
    <row r="166" spans="1:8" ht="20.100000000000001" customHeight="1" x14ac:dyDescent="0.25">
      <c r="A166" s="59"/>
      <c r="B166" s="2">
        <v>45198</v>
      </c>
      <c r="C166" s="3">
        <v>1892896262</v>
      </c>
      <c r="D166" s="3">
        <v>1</v>
      </c>
      <c r="E166" s="4" t="s">
        <v>1024</v>
      </c>
      <c r="F166" s="19" t="s">
        <v>1026</v>
      </c>
      <c r="G166" s="5" t="s">
        <v>6</v>
      </c>
      <c r="H166" s="6">
        <v>1250</v>
      </c>
    </row>
    <row r="167" spans="1:8" ht="20.100000000000001" customHeight="1" x14ac:dyDescent="0.25">
      <c r="A167" s="59"/>
      <c r="B167" s="2">
        <v>45198</v>
      </c>
      <c r="C167" s="3">
        <v>1892896262</v>
      </c>
      <c r="D167" s="3">
        <v>1</v>
      </c>
      <c r="E167" s="4" t="s">
        <v>1024</v>
      </c>
      <c r="F167" s="19" t="s">
        <v>1029</v>
      </c>
      <c r="G167" s="5" t="s">
        <v>6</v>
      </c>
      <c r="H167" s="6">
        <v>900</v>
      </c>
    </row>
    <row r="168" spans="1:8" ht="20.100000000000001" customHeight="1" x14ac:dyDescent="0.25">
      <c r="A168" s="59"/>
      <c r="B168" s="2">
        <v>45198</v>
      </c>
      <c r="C168" s="3">
        <v>1892896262</v>
      </c>
      <c r="D168" s="3">
        <v>1</v>
      </c>
      <c r="E168" s="4" t="s">
        <v>1024</v>
      </c>
      <c r="F168" s="19" t="s">
        <v>1030</v>
      </c>
      <c r="G168" s="5" t="s">
        <v>6</v>
      </c>
      <c r="H168" s="6">
        <v>596</v>
      </c>
    </row>
    <row r="169" spans="1:8" ht="20.100000000000001" customHeight="1" x14ac:dyDescent="0.25">
      <c r="A169" s="59"/>
      <c r="B169" s="2">
        <v>45198</v>
      </c>
      <c r="C169" s="3">
        <v>1892896262</v>
      </c>
      <c r="D169" s="3">
        <v>1</v>
      </c>
      <c r="E169" s="4" t="s">
        <v>1024</v>
      </c>
      <c r="F169" s="19" t="s">
        <v>1031</v>
      </c>
      <c r="G169" s="5" t="s">
        <v>6</v>
      </c>
      <c r="H169" s="6">
        <v>602</v>
      </c>
    </row>
    <row r="170" spans="1:8" ht="20.100000000000001" customHeight="1" x14ac:dyDescent="0.25">
      <c r="A170" s="59"/>
      <c r="B170" s="2">
        <v>45203</v>
      </c>
      <c r="C170" s="3">
        <v>477907861</v>
      </c>
      <c r="D170" s="3">
        <v>1</v>
      </c>
      <c r="E170" s="4" t="s">
        <v>1120</v>
      </c>
      <c r="F170" s="19" t="s">
        <v>58</v>
      </c>
      <c r="G170" s="5" t="s">
        <v>28</v>
      </c>
      <c r="H170" s="6">
        <v>450</v>
      </c>
    </row>
    <row r="171" spans="1:8" ht="20.100000000000001" customHeight="1" x14ac:dyDescent="0.25">
      <c r="A171" s="59"/>
      <c r="B171" s="2">
        <v>45203</v>
      </c>
      <c r="C171" s="3">
        <v>477907861</v>
      </c>
      <c r="D171" s="3">
        <v>1</v>
      </c>
      <c r="E171" s="4" t="s">
        <v>1120</v>
      </c>
      <c r="F171" s="19" t="s">
        <v>1124</v>
      </c>
      <c r="G171" s="5" t="s">
        <v>28</v>
      </c>
      <c r="H171" s="6">
        <v>630</v>
      </c>
    </row>
    <row r="172" spans="1:8" ht="20.100000000000001" customHeight="1" x14ac:dyDescent="0.25">
      <c r="A172" s="59"/>
      <c r="B172" s="2">
        <v>45215</v>
      </c>
      <c r="C172" s="3">
        <v>261443085</v>
      </c>
      <c r="D172" s="3">
        <v>1</v>
      </c>
      <c r="E172" s="4" t="s">
        <v>1069</v>
      </c>
      <c r="F172" s="19" t="s">
        <v>1125</v>
      </c>
      <c r="G172" s="5" t="s">
        <v>7</v>
      </c>
      <c r="H172" s="6">
        <v>450</v>
      </c>
    </row>
    <row r="173" spans="1:8" ht="20.100000000000001" customHeight="1" x14ac:dyDescent="0.25">
      <c r="A173" s="59"/>
      <c r="B173" s="2">
        <v>45217</v>
      </c>
      <c r="C173" s="3">
        <v>1537166555</v>
      </c>
      <c r="D173" s="3">
        <v>1</v>
      </c>
      <c r="E173" s="4" t="s">
        <v>1121</v>
      </c>
      <c r="F173" s="19" t="s">
        <v>238</v>
      </c>
      <c r="G173" s="5" t="s">
        <v>7</v>
      </c>
      <c r="H173" s="6">
        <v>450</v>
      </c>
    </row>
    <row r="174" spans="1:8" ht="20.100000000000001" customHeight="1" x14ac:dyDescent="0.25">
      <c r="A174" s="59"/>
      <c r="B174" s="2">
        <v>45217</v>
      </c>
      <c r="C174" s="3">
        <v>1537166555</v>
      </c>
      <c r="D174" s="3">
        <v>1</v>
      </c>
      <c r="E174" s="4" t="s">
        <v>1121</v>
      </c>
      <c r="F174" s="19" t="s">
        <v>113</v>
      </c>
      <c r="G174" s="5" t="s">
        <v>7</v>
      </c>
      <c r="H174" s="6">
        <v>380</v>
      </c>
    </row>
    <row r="175" spans="1:8" ht="20.100000000000001" customHeight="1" x14ac:dyDescent="0.25">
      <c r="A175" s="59"/>
      <c r="B175" s="2">
        <v>45217</v>
      </c>
      <c r="C175" s="3">
        <v>1537166555</v>
      </c>
      <c r="D175" s="3">
        <v>1</v>
      </c>
      <c r="E175" s="4" t="s">
        <v>1121</v>
      </c>
      <c r="F175" s="19" t="s">
        <v>1126</v>
      </c>
      <c r="G175" s="5" t="s">
        <v>7</v>
      </c>
      <c r="H175" s="6">
        <v>2400</v>
      </c>
    </row>
    <row r="176" spans="1:8" ht="20.100000000000001" customHeight="1" x14ac:dyDescent="0.25">
      <c r="A176" s="59"/>
      <c r="B176" s="2">
        <v>45224</v>
      </c>
      <c r="C176" s="3">
        <v>2279293907</v>
      </c>
      <c r="D176" s="3">
        <v>1</v>
      </c>
      <c r="E176" s="4" t="s">
        <v>1122</v>
      </c>
      <c r="F176" s="19" t="s">
        <v>1127</v>
      </c>
      <c r="G176" s="5" t="s">
        <v>14</v>
      </c>
      <c r="H176" s="6">
        <v>850</v>
      </c>
    </row>
    <row r="177" spans="1:8" ht="20.100000000000001" customHeight="1" x14ac:dyDescent="0.25">
      <c r="A177" s="59"/>
      <c r="B177" s="2">
        <v>45224</v>
      </c>
      <c r="C177" s="3">
        <v>2279293907</v>
      </c>
      <c r="D177" s="3">
        <v>1</v>
      </c>
      <c r="E177" s="4" t="s">
        <v>1123</v>
      </c>
      <c r="F177" s="19" t="s">
        <v>1127</v>
      </c>
      <c r="G177" s="5" t="s">
        <v>14</v>
      </c>
      <c r="H177" s="6">
        <v>850</v>
      </c>
    </row>
    <row r="178" spans="1:8" ht="20.100000000000001" customHeight="1" x14ac:dyDescent="0.25">
      <c r="A178" s="59"/>
      <c r="B178" s="2">
        <v>45237</v>
      </c>
      <c r="C178" s="3">
        <v>1948272867</v>
      </c>
      <c r="D178" s="3">
        <v>1</v>
      </c>
      <c r="E178" s="4" t="s">
        <v>1201</v>
      </c>
      <c r="F178" s="19" t="s">
        <v>1127</v>
      </c>
      <c r="G178" s="5" t="s">
        <v>7</v>
      </c>
      <c r="H178" s="6">
        <v>850</v>
      </c>
    </row>
    <row r="179" spans="1:8" ht="20.100000000000001" customHeight="1" x14ac:dyDescent="0.25">
      <c r="A179" s="59"/>
      <c r="B179" s="2">
        <v>45237</v>
      </c>
      <c r="C179" s="3">
        <v>1948272867</v>
      </c>
      <c r="D179" s="3">
        <v>1</v>
      </c>
      <c r="E179" s="4" t="s">
        <v>1201</v>
      </c>
      <c r="F179" s="19" t="s">
        <v>1202</v>
      </c>
      <c r="G179" s="5" t="s">
        <v>7</v>
      </c>
      <c r="H179" s="6">
        <v>550</v>
      </c>
    </row>
    <row r="180" spans="1:8" ht="20.100000000000001" customHeight="1" x14ac:dyDescent="0.25">
      <c r="A180" s="59"/>
      <c r="B180" s="2">
        <v>45239</v>
      </c>
      <c r="C180" s="3">
        <v>2293188552</v>
      </c>
      <c r="D180" s="3">
        <v>1</v>
      </c>
      <c r="E180" s="4" t="s">
        <v>1203</v>
      </c>
      <c r="F180" s="19" t="s">
        <v>1204</v>
      </c>
      <c r="G180" s="5" t="s">
        <v>7</v>
      </c>
      <c r="H180" s="6">
        <v>450</v>
      </c>
    </row>
    <row r="181" spans="1:8" ht="20.100000000000001" customHeight="1" x14ac:dyDescent="0.25">
      <c r="A181" s="59"/>
      <c r="B181" s="2">
        <v>45239</v>
      </c>
      <c r="C181" s="3">
        <v>2293188552</v>
      </c>
      <c r="D181" s="3">
        <v>1</v>
      </c>
      <c r="E181" s="4" t="s">
        <v>1203</v>
      </c>
      <c r="F181" s="19" t="s">
        <v>1205</v>
      </c>
      <c r="G181" s="5" t="s">
        <v>7</v>
      </c>
      <c r="H181" s="6">
        <v>650</v>
      </c>
    </row>
    <row r="182" spans="1:8" ht="20.100000000000001" customHeight="1" x14ac:dyDescent="0.25">
      <c r="A182" s="59"/>
      <c r="B182" s="2">
        <v>45239</v>
      </c>
      <c r="C182" s="3">
        <v>2293188552</v>
      </c>
      <c r="D182" s="3">
        <v>1</v>
      </c>
      <c r="E182" s="4" t="s">
        <v>1203</v>
      </c>
      <c r="F182" s="19" t="s">
        <v>1127</v>
      </c>
      <c r="G182" s="5" t="s">
        <v>7</v>
      </c>
      <c r="H182" s="6">
        <v>850</v>
      </c>
    </row>
    <row r="183" spans="1:8" ht="20.100000000000001" customHeight="1" x14ac:dyDescent="0.25">
      <c r="A183" s="59"/>
      <c r="B183" s="2">
        <v>45239</v>
      </c>
      <c r="C183" s="3">
        <v>1497514584</v>
      </c>
      <c r="D183" s="3">
        <v>1</v>
      </c>
      <c r="E183" s="4" t="s">
        <v>1206</v>
      </c>
      <c r="F183" s="19" t="s">
        <v>1204</v>
      </c>
      <c r="G183" s="5" t="s">
        <v>7</v>
      </c>
      <c r="H183" s="6">
        <v>450</v>
      </c>
    </row>
    <row r="184" spans="1:8" ht="20.100000000000001" customHeight="1" x14ac:dyDescent="0.25">
      <c r="A184" s="59"/>
      <c r="B184" s="2">
        <v>45239</v>
      </c>
      <c r="C184" s="3">
        <v>453919099</v>
      </c>
      <c r="D184" s="3">
        <v>1</v>
      </c>
      <c r="E184" s="4" t="s">
        <v>1207</v>
      </c>
      <c r="F184" s="19" t="s">
        <v>1208</v>
      </c>
      <c r="G184" s="5" t="s">
        <v>7</v>
      </c>
      <c r="H184" s="6">
        <v>450</v>
      </c>
    </row>
    <row r="185" spans="1:8" ht="20.100000000000001" customHeight="1" x14ac:dyDescent="0.25">
      <c r="A185" s="59"/>
      <c r="B185" s="2">
        <v>45239</v>
      </c>
      <c r="C185" s="3">
        <v>453919099</v>
      </c>
      <c r="D185" s="3">
        <v>1</v>
      </c>
      <c r="E185" s="4" t="s">
        <v>1207</v>
      </c>
      <c r="F185" s="19" t="s">
        <v>1202</v>
      </c>
      <c r="G185" s="5" t="s">
        <v>7</v>
      </c>
      <c r="H185" s="6">
        <v>550</v>
      </c>
    </row>
    <row r="186" spans="1:8" ht="20.100000000000001" customHeight="1" x14ac:dyDescent="0.25">
      <c r="A186" s="59"/>
      <c r="B186" s="2">
        <v>45239</v>
      </c>
      <c r="C186" s="3">
        <v>453919099</v>
      </c>
      <c r="D186" s="3">
        <v>1</v>
      </c>
      <c r="E186" s="4" t="s">
        <v>1207</v>
      </c>
      <c r="F186" s="19" t="s">
        <v>1127</v>
      </c>
      <c r="G186" s="5" t="s">
        <v>7</v>
      </c>
      <c r="H186" s="6">
        <v>850</v>
      </c>
    </row>
    <row r="187" spans="1:8" ht="20.100000000000001" customHeight="1" x14ac:dyDescent="0.25">
      <c r="A187" s="59"/>
      <c r="B187" s="2">
        <v>45244</v>
      </c>
      <c r="C187" s="3">
        <v>868568185</v>
      </c>
      <c r="D187" s="3">
        <v>1</v>
      </c>
      <c r="E187" s="4" t="s">
        <v>1024</v>
      </c>
      <c r="F187" s="19" t="s">
        <v>1234</v>
      </c>
      <c r="G187" s="5" t="s">
        <v>14</v>
      </c>
      <c r="H187" s="6">
        <v>290</v>
      </c>
    </row>
    <row r="188" spans="1:8" ht="20.100000000000001" customHeight="1" x14ac:dyDescent="0.25">
      <c r="A188" s="59"/>
      <c r="B188" s="2">
        <v>45245</v>
      </c>
      <c r="C188" s="3">
        <v>2669300751</v>
      </c>
      <c r="D188" s="3">
        <v>1</v>
      </c>
      <c r="E188" s="4" t="s">
        <v>1235</v>
      </c>
      <c r="F188" s="19" t="s">
        <v>1202</v>
      </c>
      <c r="G188" s="5" t="s">
        <v>6</v>
      </c>
      <c r="H188" s="6">
        <v>550</v>
      </c>
    </row>
    <row r="189" spans="1:8" ht="20.100000000000001" customHeight="1" x14ac:dyDescent="0.25">
      <c r="A189" s="59"/>
      <c r="B189" s="2">
        <v>45246</v>
      </c>
      <c r="C189" s="3">
        <v>2718449919</v>
      </c>
      <c r="D189" s="3">
        <v>1</v>
      </c>
      <c r="E189" s="4" t="s">
        <v>1236</v>
      </c>
      <c r="F189" s="19" t="s">
        <v>1208</v>
      </c>
      <c r="G189" s="5" t="s">
        <v>28</v>
      </c>
      <c r="H189" s="6">
        <v>400</v>
      </c>
    </row>
    <row r="190" spans="1:8" ht="20.100000000000001" customHeight="1" x14ac:dyDescent="0.25">
      <c r="A190" s="59"/>
      <c r="B190" s="2">
        <v>45247</v>
      </c>
      <c r="C190" s="3">
        <v>706890736</v>
      </c>
      <c r="D190" s="3">
        <v>1</v>
      </c>
      <c r="E190" s="4" t="s">
        <v>1237</v>
      </c>
      <c r="F190" s="19" t="s">
        <v>1202</v>
      </c>
      <c r="G190" s="5" t="s">
        <v>11</v>
      </c>
      <c r="H190" s="6">
        <v>550</v>
      </c>
    </row>
    <row r="191" spans="1:8" ht="20.100000000000001" customHeight="1" x14ac:dyDescent="0.25">
      <c r="A191" s="59"/>
      <c r="B191" s="2">
        <v>45247</v>
      </c>
      <c r="C191" s="3">
        <v>706890736</v>
      </c>
      <c r="D191" s="3">
        <v>1</v>
      </c>
      <c r="E191" s="4" t="s">
        <v>1237</v>
      </c>
      <c r="F191" s="19" t="s">
        <v>1127</v>
      </c>
      <c r="G191" s="5" t="s">
        <v>11</v>
      </c>
      <c r="H191" s="6">
        <v>850</v>
      </c>
    </row>
    <row r="192" spans="1:8" ht="20.100000000000001" customHeight="1" x14ac:dyDescent="0.25">
      <c r="A192" s="59"/>
      <c r="B192" s="2">
        <v>45250</v>
      </c>
      <c r="C192" s="3">
        <v>2362525378</v>
      </c>
      <c r="D192" s="3">
        <v>1</v>
      </c>
      <c r="E192" s="4" t="s">
        <v>1238</v>
      </c>
      <c r="F192" s="19" t="s">
        <v>1239</v>
      </c>
      <c r="G192" s="5" t="s">
        <v>28</v>
      </c>
      <c r="H192" s="6">
        <v>850</v>
      </c>
    </row>
    <row r="193" spans="1:8" ht="20.100000000000001" customHeight="1" x14ac:dyDescent="0.25">
      <c r="A193" s="59"/>
      <c r="B193" s="2">
        <v>45250</v>
      </c>
      <c r="C193" s="3">
        <v>2203995018</v>
      </c>
      <c r="D193" s="3">
        <v>1</v>
      </c>
      <c r="E193" s="4" t="s">
        <v>1082</v>
      </c>
      <c r="F193" s="19" t="s">
        <v>1240</v>
      </c>
      <c r="G193" s="5" t="s">
        <v>7</v>
      </c>
      <c r="H193" s="6">
        <v>580</v>
      </c>
    </row>
    <row r="194" spans="1:8" ht="20.100000000000001" customHeight="1" x14ac:dyDescent="0.25">
      <c r="A194" s="59"/>
      <c r="B194" s="2">
        <v>45251</v>
      </c>
      <c r="C194" s="3">
        <v>2962639593</v>
      </c>
      <c r="D194" s="3">
        <v>1</v>
      </c>
      <c r="E194" s="4" t="s">
        <v>1172</v>
      </c>
      <c r="F194" s="19" t="s">
        <v>1241</v>
      </c>
      <c r="G194" s="5" t="s">
        <v>14</v>
      </c>
      <c r="H194" s="6">
        <v>380</v>
      </c>
    </row>
    <row r="195" spans="1:8" ht="20.100000000000001" customHeight="1" x14ac:dyDescent="0.25">
      <c r="A195" s="59"/>
      <c r="B195" s="2">
        <v>45251</v>
      </c>
      <c r="C195" s="3">
        <v>3206301846</v>
      </c>
      <c r="D195" s="3">
        <v>1</v>
      </c>
      <c r="E195" s="4" t="s">
        <v>1242</v>
      </c>
      <c r="F195" s="19" t="s">
        <v>544</v>
      </c>
      <c r="G195" s="5" t="s">
        <v>599</v>
      </c>
      <c r="H195" s="6">
        <v>640</v>
      </c>
    </row>
    <row r="196" spans="1:8" ht="20.100000000000001" customHeight="1" x14ac:dyDescent="0.25">
      <c r="A196" s="59"/>
      <c r="B196" s="2">
        <v>45251</v>
      </c>
      <c r="C196" s="3">
        <v>3206301846</v>
      </c>
      <c r="D196" s="3">
        <v>1</v>
      </c>
      <c r="E196" s="4" t="s">
        <v>1242</v>
      </c>
      <c r="F196" s="19" t="s">
        <v>1240</v>
      </c>
      <c r="G196" s="5" t="s">
        <v>599</v>
      </c>
      <c r="H196" s="6">
        <v>290</v>
      </c>
    </row>
    <row r="197" spans="1:8" ht="20.100000000000001" customHeight="1" x14ac:dyDescent="0.25">
      <c r="A197" s="59"/>
      <c r="B197" s="2">
        <v>45251</v>
      </c>
      <c r="C197" s="3">
        <v>1824017879</v>
      </c>
      <c r="D197" s="3">
        <v>1</v>
      </c>
      <c r="E197" s="4" t="s">
        <v>1242</v>
      </c>
      <c r="F197" s="19" t="s">
        <v>544</v>
      </c>
      <c r="G197" s="5" t="s">
        <v>599</v>
      </c>
      <c r="H197" s="6">
        <v>640</v>
      </c>
    </row>
    <row r="198" spans="1:8" ht="20.100000000000001" customHeight="1" x14ac:dyDescent="0.25">
      <c r="A198" s="59"/>
      <c r="B198" s="2">
        <v>45251</v>
      </c>
      <c r="C198" s="3">
        <v>1824017879</v>
      </c>
      <c r="D198" s="3">
        <v>1</v>
      </c>
      <c r="E198" s="4" t="s">
        <v>1242</v>
      </c>
      <c r="F198" s="19" t="s">
        <v>1240</v>
      </c>
      <c r="G198" s="5" t="s">
        <v>599</v>
      </c>
      <c r="H198" s="6">
        <v>290</v>
      </c>
    </row>
    <row r="199" spans="1:8" ht="20.100000000000001" customHeight="1" x14ac:dyDescent="0.25">
      <c r="A199" s="59"/>
      <c r="B199" s="2">
        <v>45252</v>
      </c>
      <c r="C199" s="3">
        <v>294342653</v>
      </c>
      <c r="D199" s="3">
        <v>1</v>
      </c>
      <c r="E199" s="4" t="s">
        <v>1243</v>
      </c>
      <c r="F199" s="19" t="s">
        <v>1244</v>
      </c>
      <c r="G199" s="5" t="s">
        <v>7</v>
      </c>
      <c r="H199" s="6">
        <v>480</v>
      </c>
    </row>
    <row r="200" spans="1:8" ht="20.100000000000001" customHeight="1" x14ac:dyDescent="0.25">
      <c r="A200" s="59"/>
      <c r="B200" s="2">
        <v>45253</v>
      </c>
      <c r="C200" s="3">
        <v>2194294972</v>
      </c>
      <c r="D200" s="3">
        <v>1</v>
      </c>
      <c r="E200" s="4" t="s">
        <v>1245</v>
      </c>
      <c r="F200" s="19" t="s">
        <v>1240</v>
      </c>
      <c r="G200" s="5" t="s">
        <v>6</v>
      </c>
      <c r="H200" s="6">
        <v>580</v>
      </c>
    </row>
    <row r="201" spans="1:8" ht="20.100000000000001" customHeight="1" x14ac:dyDescent="0.25">
      <c r="A201" s="59"/>
      <c r="B201" s="2">
        <v>45253</v>
      </c>
      <c r="C201" s="3">
        <v>2194294972</v>
      </c>
      <c r="D201" s="3">
        <v>1</v>
      </c>
      <c r="E201" s="4" t="s">
        <v>1245</v>
      </c>
      <c r="F201" s="19" t="s">
        <v>1246</v>
      </c>
      <c r="G201" s="5" t="s">
        <v>6</v>
      </c>
      <c r="H201" s="6">
        <v>1280</v>
      </c>
    </row>
    <row r="202" spans="1:8" ht="20.100000000000001" customHeight="1" x14ac:dyDescent="0.25">
      <c r="A202" s="59"/>
      <c r="B202" s="2">
        <v>45253</v>
      </c>
      <c r="C202" s="3">
        <v>1804749332</v>
      </c>
      <c r="D202" s="3">
        <v>1</v>
      </c>
      <c r="E202" s="4" t="s">
        <v>1247</v>
      </c>
      <c r="F202" s="19" t="s">
        <v>1240</v>
      </c>
      <c r="G202" s="5" t="s">
        <v>7</v>
      </c>
      <c r="H202" s="6">
        <v>580</v>
      </c>
    </row>
    <row r="203" spans="1:8" ht="20.100000000000001" customHeight="1" x14ac:dyDescent="0.25">
      <c r="A203" s="59"/>
      <c r="B203" s="2">
        <v>45254</v>
      </c>
      <c r="C203" s="3">
        <v>1835286531</v>
      </c>
      <c r="D203" s="3">
        <v>1</v>
      </c>
      <c r="E203" s="4" t="s">
        <v>1248</v>
      </c>
      <c r="F203" s="19" t="s">
        <v>1127</v>
      </c>
      <c r="G203" s="5" t="s">
        <v>7</v>
      </c>
      <c r="H203" s="6">
        <v>850</v>
      </c>
    </row>
    <row r="204" spans="1:8" ht="20.100000000000001" customHeight="1" x14ac:dyDescent="0.25">
      <c r="A204" s="59"/>
      <c r="B204" s="2">
        <v>45254</v>
      </c>
      <c r="C204" s="3">
        <v>1835286531</v>
      </c>
      <c r="D204" s="3">
        <v>1</v>
      </c>
      <c r="E204" s="4" t="s">
        <v>1248</v>
      </c>
      <c r="F204" s="19" t="s">
        <v>1202</v>
      </c>
      <c r="G204" s="5" t="s">
        <v>7</v>
      </c>
      <c r="H204" s="6">
        <v>550</v>
      </c>
    </row>
    <row r="205" spans="1:8" ht="20.100000000000001" customHeight="1" x14ac:dyDescent="0.25">
      <c r="A205" s="59"/>
      <c r="B205" s="2">
        <v>45254</v>
      </c>
      <c r="C205" s="3">
        <v>1835286531</v>
      </c>
      <c r="D205" s="3">
        <v>1</v>
      </c>
      <c r="E205" s="4" t="s">
        <v>1248</v>
      </c>
      <c r="F205" s="19" t="s">
        <v>1246</v>
      </c>
      <c r="G205" s="5" t="s">
        <v>7</v>
      </c>
      <c r="H205" s="6">
        <v>1280</v>
      </c>
    </row>
    <row r="206" spans="1:8" ht="20.100000000000001" customHeight="1" x14ac:dyDescent="0.25">
      <c r="A206" s="59"/>
      <c r="B206" s="2">
        <v>45254</v>
      </c>
      <c r="C206" s="3">
        <v>3809559995</v>
      </c>
      <c r="D206" s="3">
        <v>1</v>
      </c>
      <c r="E206" s="4" t="s">
        <v>1249</v>
      </c>
      <c r="F206" s="19" t="s">
        <v>1127</v>
      </c>
      <c r="G206" s="5" t="s">
        <v>7</v>
      </c>
      <c r="H206" s="6">
        <v>850</v>
      </c>
    </row>
    <row r="207" spans="1:8" ht="20.100000000000001" customHeight="1" x14ac:dyDescent="0.25">
      <c r="A207" s="59"/>
      <c r="B207" s="2">
        <v>45254</v>
      </c>
      <c r="C207" s="3">
        <v>3809559995</v>
      </c>
      <c r="D207" s="3">
        <v>1</v>
      </c>
      <c r="E207" s="4" t="s">
        <v>1249</v>
      </c>
      <c r="F207" s="19" t="s">
        <v>1202</v>
      </c>
      <c r="G207" s="5" t="s">
        <v>7</v>
      </c>
      <c r="H207" s="6">
        <v>550</v>
      </c>
    </row>
    <row r="208" spans="1:8" ht="20.100000000000001" customHeight="1" x14ac:dyDescent="0.25">
      <c r="A208" s="59"/>
      <c r="B208" s="2">
        <v>45257</v>
      </c>
      <c r="C208" s="3">
        <v>2368228657</v>
      </c>
      <c r="D208" s="3">
        <v>2</v>
      </c>
      <c r="E208" s="4" t="s">
        <v>1250</v>
      </c>
      <c r="F208" s="19" t="s">
        <v>1127</v>
      </c>
      <c r="G208" s="5" t="s">
        <v>14</v>
      </c>
      <c r="H208" s="6">
        <v>1700</v>
      </c>
    </row>
    <row r="209" spans="1:8" ht="20.100000000000001" customHeight="1" x14ac:dyDescent="0.25">
      <c r="A209" s="59"/>
      <c r="B209" s="2">
        <v>45257</v>
      </c>
      <c r="C209" s="3">
        <v>1737639267</v>
      </c>
      <c r="D209" s="3">
        <v>1</v>
      </c>
      <c r="E209" s="4" t="s">
        <v>1250</v>
      </c>
      <c r="F209" s="19" t="s">
        <v>332</v>
      </c>
      <c r="G209" s="5" t="s">
        <v>14</v>
      </c>
      <c r="H209" s="6">
        <v>680</v>
      </c>
    </row>
    <row r="210" spans="1:8" ht="20.100000000000001" customHeight="1" x14ac:dyDescent="0.25">
      <c r="A210" s="59"/>
      <c r="B210" s="2">
        <v>45257</v>
      </c>
      <c r="C210" s="3">
        <v>1737639267</v>
      </c>
      <c r="D210" s="3">
        <v>1</v>
      </c>
      <c r="E210" s="4" t="s">
        <v>1250</v>
      </c>
      <c r="F210" s="19" t="s">
        <v>1246</v>
      </c>
      <c r="G210" s="5" t="s">
        <v>14</v>
      </c>
      <c r="H210" s="6">
        <v>1280</v>
      </c>
    </row>
    <row r="211" spans="1:8" ht="20.100000000000001" customHeight="1" x14ac:dyDescent="0.25">
      <c r="A211" s="59"/>
      <c r="B211" s="2">
        <v>45259</v>
      </c>
      <c r="C211" s="3">
        <v>2806598054</v>
      </c>
      <c r="D211" s="3">
        <v>1</v>
      </c>
      <c r="E211" s="4" t="s">
        <v>1217</v>
      </c>
      <c r="F211" s="19" t="s">
        <v>1251</v>
      </c>
      <c r="G211" s="5" t="s">
        <v>11</v>
      </c>
      <c r="H211" s="6">
        <v>1800</v>
      </c>
    </row>
    <row r="212" spans="1:8" ht="20.100000000000001" customHeight="1" x14ac:dyDescent="0.25">
      <c r="A212" s="59"/>
      <c r="B212" s="2">
        <v>45260</v>
      </c>
      <c r="C212" s="3">
        <v>2920631479</v>
      </c>
      <c r="D212" s="3">
        <v>1</v>
      </c>
      <c r="E212" s="4" t="s">
        <v>1257</v>
      </c>
      <c r="F212" s="19" t="s">
        <v>1240</v>
      </c>
      <c r="G212" s="5" t="s">
        <v>14</v>
      </c>
      <c r="H212" s="6">
        <v>580</v>
      </c>
    </row>
    <row r="213" spans="1:8" ht="20.100000000000001" customHeight="1" x14ac:dyDescent="0.25">
      <c r="A213" s="59"/>
      <c r="B213" s="2">
        <v>45261</v>
      </c>
      <c r="C213" s="3">
        <v>3967110382</v>
      </c>
      <c r="D213" s="3">
        <v>1</v>
      </c>
      <c r="E213" s="4" t="s">
        <v>1401</v>
      </c>
      <c r="F213" s="19" t="s">
        <v>1403</v>
      </c>
      <c r="G213" s="5" t="s">
        <v>14</v>
      </c>
      <c r="H213" s="6">
        <v>550</v>
      </c>
    </row>
    <row r="214" spans="1:8" ht="20.100000000000001" customHeight="1" x14ac:dyDescent="0.25">
      <c r="A214" s="59"/>
      <c r="B214" s="2">
        <v>45261</v>
      </c>
      <c r="C214" s="3">
        <v>2725134539</v>
      </c>
      <c r="D214" s="3">
        <v>1</v>
      </c>
      <c r="E214" s="4" t="s">
        <v>1402</v>
      </c>
      <c r="F214" s="19" t="s">
        <v>1404</v>
      </c>
      <c r="G214" s="5" t="s">
        <v>11</v>
      </c>
      <c r="H214" s="6">
        <v>1280</v>
      </c>
    </row>
    <row r="215" spans="1:8" ht="20.100000000000001" customHeight="1" x14ac:dyDescent="0.25">
      <c r="A215" s="59"/>
      <c r="B215" s="2">
        <v>45261</v>
      </c>
      <c r="C215" s="3">
        <v>3492302088</v>
      </c>
      <c r="D215" s="3">
        <v>1</v>
      </c>
      <c r="E215" s="4" t="s">
        <v>89</v>
      </c>
      <c r="F215" s="19" t="s">
        <v>1405</v>
      </c>
      <c r="G215" s="5" t="s">
        <v>14</v>
      </c>
      <c r="H215" s="6">
        <v>320</v>
      </c>
    </row>
    <row r="216" spans="1:8" ht="20.100000000000001" customHeight="1" x14ac:dyDescent="0.25">
      <c r="A216" s="59"/>
      <c r="B216" s="2">
        <v>45264</v>
      </c>
      <c r="C216" s="3">
        <v>1343507743</v>
      </c>
      <c r="D216" s="3">
        <v>1</v>
      </c>
      <c r="E216" s="4" t="s">
        <v>1406</v>
      </c>
      <c r="F216" s="19" t="s">
        <v>1403</v>
      </c>
      <c r="G216" s="5" t="s">
        <v>6</v>
      </c>
      <c r="H216" s="6">
        <v>550</v>
      </c>
    </row>
    <row r="217" spans="1:8" ht="20.100000000000001" customHeight="1" x14ac:dyDescent="0.25">
      <c r="A217" s="59"/>
      <c r="B217" s="2">
        <v>45266</v>
      </c>
      <c r="C217" s="3">
        <v>4227222578</v>
      </c>
      <c r="D217" s="3">
        <v>1</v>
      </c>
      <c r="E217" s="4" t="s">
        <v>1407</v>
      </c>
      <c r="F217" s="19" t="s">
        <v>1408</v>
      </c>
      <c r="G217" s="5" t="s">
        <v>6</v>
      </c>
      <c r="H217" s="6">
        <v>889</v>
      </c>
    </row>
    <row r="218" spans="1:8" ht="20.100000000000001" customHeight="1" x14ac:dyDescent="0.25">
      <c r="A218" s="59"/>
      <c r="B218" s="2">
        <v>45266</v>
      </c>
      <c r="C218" s="3">
        <v>4227222578</v>
      </c>
      <c r="D218" s="3">
        <v>1</v>
      </c>
      <c r="E218" s="4" t="s">
        <v>1407</v>
      </c>
      <c r="F218" s="19" t="s">
        <v>1409</v>
      </c>
      <c r="G218" s="5" t="s">
        <v>6</v>
      </c>
      <c r="H218" s="6">
        <v>396</v>
      </c>
    </row>
    <row r="219" spans="1:8" ht="20.100000000000001" customHeight="1" x14ac:dyDescent="0.25">
      <c r="A219" s="59"/>
      <c r="B219" s="2">
        <v>45266</v>
      </c>
      <c r="C219" s="3">
        <v>1776177091</v>
      </c>
      <c r="D219" s="3">
        <v>1</v>
      </c>
      <c r="E219" s="4" t="s">
        <v>90</v>
      </c>
      <c r="F219" s="19" t="s">
        <v>1240</v>
      </c>
      <c r="G219" s="5" t="s">
        <v>6</v>
      </c>
      <c r="H219" s="6">
        <v>580</v>
      </c>
    </row>
    <row r="220" spans="1:8" ht="20.100000000000001" customHeight="1" x14ac:dyDescent="0.25">
      <c r="A220" s="59"/>
      <c r="B220" s="2">
        <v>45266</v>
      </c>
      <c r="C220" s="3">
        <v>1776177091</v>
      </c>
      <c r="D220" s="3">
        <v>1</v>
      </c>
      <c r="E220" s="4" t="s">
        <v>90</v>
      </c>
      <c r="F220" s="19" t="s">
        <v>1408</v>
      </c>
      <c r="G220" s="5" t="s">
        <v>6</v>
      </c>
      <c r="H220" s="6">
        <v>889</v>
      </c>
    </row>
    <row r="221" spans="1:8" ht="20.100000000000001" customHeight="1" x14ac:dyDescent="0.25">
      <c r="A221" s="59"/>
      <c r="B221" s="2">
        <v>45268</v>
      </c>
      <c r="C221" s="3">
        <v>2321237925</v>
      </c>
      <c r="D221" s="3">
        <v>1</v>
      </c>
      <c r="E221" s="4" t="s">
        <v>1410</v>
      </c>
      <c r="F221" s="19" t="s">
        <v>1127</v>
      </c>
      <c r="G221" s="5" t="s">
        <v>14</v>
      </c>
      <c r="H221" s="6">
        <v>850</v>
      </c>
    </row>
    <row r="222" spans="1:8" ht="20.100000000000001" customHeight="1" x14ac:dyDescent="0.25">
      <c r="A222" s="59"/>
      <c r="B222" s="2">
        <v>45271</v>
      </c>
      <c r="C222" s="3">
        <v>521948852</v>
      </c>
      <c r="D222" s="3">
        <v>1</v>
      </c>
      <c r="E222" s="4" t="s">
        <v>345</v>
      </c>
      <c r="F222" s="19" t="s">
        <v>79</v>
      </c>
      <c r="G222" s="5" t="s">
        <v>11</v>
      </c>
      <c r="H222" s="6">
        <v>850</v>
      </c>
    </row>
    <row r="223" spans="1:8" ht="20.100000000000001" customHeight="1" x14ac:dyDescent="0.25">
      <c r="A223" s="59"/>
      <c r="B223" s="2">
        <v>45272</v>
      </c>
      <c r="C223" s="3">
        <v>3084339942</v>
      </c>
      <c r="D223" s="3">
        <v>1</v>
      </c>
      <c r="E223" s="4" t="s">
        <v>1411</v>
      </c>
      <c r="F223" s="19" t="s">
        <v>1405</v>
      </c>
      <c r="G223" s="5" t="s">
        <v>7</v>
      </c>
      <c r="H223" s="6">
        <v>320</v>
      </c>
    </row>
    <row r="224" spans="1:8" ht="20.100000000000001" customHeight="1" x14ac:dyDescent="0.25">
      <c r="A224" s="59"/>
      <c r="B224" s="2">
        <v>45272</v>
      </c>
      <c r="C224" s="3">
        <v>3084339942</v>
      </c>
      <c r="D224" s="3">
        <v>1</v>
      </c>
      <c r="E224" s="4" t="s">
        <v>1411</v>
      </c>
      <c r="F224" s="19" t="s">
        <v>331</v>
      </c>
      <c r="G224" s="5" t="s">
        <v>7</v>
      </c>
      <c r="H224" s="6">
        <v>250</v>
      </c>
    </row>
    <row r="225" spans="1:8" ht="20.100000000000001" customHeight="1" x14ac:dyDescent="0.25">
      <c r="A225" s="59"/>
      <c r="B225" s="2">
        <v>45272</v>
      </c>
      <c r="C225" s="3">
        <v>2775270813</v>
      </c>
      <c r="D225" s="3">
        <v>1</v>
      </c>
      <c r="E225" s="4" t="s">
        <v>1412</v>
      </c>
      <c r="F225" s="19" t="s">
        <v>542</v>
      </c>
      <c r="G225" s="5" t="s">
        <v>6</v>
      </c>
      <c r="H225" s="6">
        <v>380</v>
      </c>
    </row>
    <row r="226" spans="1:8" ht="20.100000000000001" customHeight="1" x14ac:dyDescent="0.25">
      <c r="A226" s="59"/>
      <c r="B226" s="2">
        <v>45272</v>
      </c>
      <c r="C226" s="3">
        <v>233915177</v>
      </c>
      <c r="D226" s="3">
        <v>1</v>
      </c>
      <c r="E226" s="4" t="s">
        <v>1413</v>
      </c>
      <c r="F226" s="19" t="s">
        <v>1404</v>
      </c>
      <c r="G226" s="5" t="s">
        <v>7</v>
      </c>
      <c r="H226" s="6">
        <v>1280</v>
      </c>
    </row>
    <row r="227" spans="1:8" ht="20.100000000000001" customHeight="1" x14ac:dyDescent="0.25">
      <c r="A227" s="59"/>
      <c r="B227" s="2">
        <v>45272</v>
      </c>
      <c r="C227" s="3">
        <v>233915177</v>
      </c>
      <c r="D227" s="3">
        <v>1</v>
      </c>
      <c r="E227" s="4" t="s">
        <v>1413</v>
      </c>
      <c r="F227" s="19" t="s">
        <v>1414</v>
      </c>
      <c r="G227" s="5" t="s">
        <v>7</v>
      </c>
      <c r="H227" s="6">
        <v>650</v>
      </c>
    </row>
    <row r="228" spans="1:8" ht="20.100000000000001" customHeight="1" x14ac:dyDescent="0.25">
      <c r="A228" s="59"/>
      <c r="B228" s="2">
        <v>45273</v>
      </c>
      <c r="C228" s="3">
        <v>217466879</v>
      </c>
      <c r="D228" s="3">
        <v>2</v>
      </c>
      <c r="E228" s="4" t="s">
        <v>614</v>
      </c>
      <c r="F228" s="19" t="s">
        <v>1127</v>
      </c>
      <c r="G228" s="5" t="s">
        <v>7</v>
      </c>
      <c r="H228" s="6">
        <v>1700</v>
      </c>
    </row>
    <row r="229" spans="1:8" ht="20.100000000000001" customHeight="1" x14ac:dyDescent="0.25">
      <c r="A229" s="59"/>
      <c r="B229" s="2">
        <v>45273</v>
      </c>
      <c r="C229" s="3">
        <v>217466879</v>
      </c>
      <c r="D229" s="3">
        <v>2</v>
      </c>
      <c r="E229" s="4" t="s">
        <v>614</v>
      </c>
      <c r="F229" s="19" t="s">
        <v>113</v>
      </c>
      <c r="G229" s="5" t="s">
        <v>7</v>
      </c>
      <c r="H229" s="6">
        <v>760</v>
      </c>
    </row>
    <row r="230" spans="1:8" ht="20.100000000000001" customHeight="1" x14ac:dyDescent="0.25">
      <c r="A230" s="59"/>
      <c r="B230" s="2">
        <v>45273</v>
      </c>
      <c r="C230" s="3">
        <v>2754954234</v>
      </c>
      <c r="D230" s="3">
        <v>1</v>
      </c>
      <c r="E230" s="4" t="s">
        <v>1415</v>
      </c>
      <c r="F230" s="19" t="s">
        <v>1416</v>
      </c>
      <c r="G230" s="5" t="s">
        <v>28</v>
      </c>
      <c r="H230" s="6">
        <v>420</v>
      </c>
    </row>
    <row r="231" spans="1:8" ht="20.100000000000001" customHeight="1" x14ac:dyDescent="0.25">
      <c r="A231" s="59"/>
      <c r="B231" s="2">
        <v>45275</v>
      </c>
      <c r="C231" s="3">
        <v>1031294821</v>
      </c>
      <c r="D231" s="3">
        <v>1</v>
      </c>
      <c r="E231" s="4" t="s">
        <v>705</v>
      </c>
      <c r="F231" s="19" t="s">
        <v>1240</v>
      </c>
      <c r="G231" s="5" t="s">
        <v>14</v>
      </c>
      <c r="H231" s="6">
        <v>580</v>
      </c>
    </row>
    <row r="232" spans="1:8" ht="20.100000000000001" customHeight="1" x14ac:dyDescent="0.25">
      <c r="A232" s="60"/>
      <c r="B232" s="13"/>
      <c r="C232" s="14"/>
      <c r="D232" s="14"/>
      <c r="E232" s="14" t="s">
        <v>5</v>
      </c>
      <c r="F232" s="15"/>
      <c r="G232" s="16"/>
      <c r="H232" s="17">
        <f>SUM(H3:H231)</f>
        <v>152315.01</v>
      </c>
    </row>
    <row r="233" spans="1:8" ht="20.100000000000001" customHeight="1" x14ac:dyDescent="0.25">
      <c r="A233" s="7"/>
      <c r="B233" s="8"/>
      <c r="C233" s="8"/>
      <c r="D233" s="8"/>
      <c r="E233" s="8"/>
      <c r="F233" s="12"/>
      <c r="G233" s="8"/>
      <c r="H233" s="9"/>
    </row>
  </sheetData>
  <autoFilter ref="B1:H232" xr:uid="{00000000-0009-0000-0000-000001000000}"/>
  <mergeCells count="8">
    <mergeCell ref="A1:A232"/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topLeftCell="A6" workbookViewId="0">
      <selection activeCell="G17" sqref="G17"/>
    </sheetView>
  </sheetViews>
  <sheetFormatPr baseColWidth="10" defaultColWidth="9.140625" defaultRowHeight="15" x14ac:dyDescent="0.25"/>
  <cols>
    <col min="1" max="1" width="20.57031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0.140625" style="1" bestFit="1" customWidth="1"/>
    <col min="7" max="7" width="16.140625" customWidth="1"/>
    <col min="8" max="8" width="14.28515625" bestFit="1" customWidth="1"/>
  </cols>
  <sheetData>
    <row r="1" spans="1:8" x14ac:dyDescent="0.25">
      <c r="A1" s="58" t="s">
        <v>9</v>
      </c>
      <c r="B1" s="71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x14ac:dyDescent="0.25">
      <c r="A2" s="59"/>
      <c r="B2" s="65"/>
      <c r="C2" s="67"/>
      <c r="D2" s="67"/>
      <c r="E2" s="67"/>
      <c r="F2" s="67"/>
      <c r="G2" s="61"/>
      <c r="H2" s="63"/>
    </row>
    <row r="3" spans="1:8" ht="15.75" x14ac:dyDescent="0.25">
      <c r="A3" s="59"/>
      <c r="B3" s="2">
        <v>45076</v>
      </c>
      <c r="C3" s="3">
        <v>2420588771</v>
      </c>
      <c r="D3" s="3">
        <v>1</v>
      </c>
      <c r="E3" s="4" t="s">
        <v>619</v>
      </c>
      <c r="F3" s="19" t="s">
        <v>620</v>
      </c>
      <c r="G3" s="5" t="s">
        <v>11</v>
      </c>
      <c r="H3" s="6">
        <v>2700</v>
      </c>
    </row>
    <row r="4" spans="1:8" ht="15.75" x14ac:dyDescent="0.25">
      <c r="A4" s="59"/>
      <c r="B4" s="2">
        <v>45146</v>
      </c>
      <c r="C4" s="3">
        <v>539969771</v>
      </c>
      <c r="D4" s="3">
        <v>1</v>
      </c>
      <c r="E4" s="4" t="s">
        <v>954</v>
      </c>
      <c r="F4" s="19" t="s">
        <v>955</v>
      </c>
      <c r="G4" s="5" t="s">
        <v>7</v>
      </c>
      <c r="H4" s="6">
        <v>2800</v>
      </c>
    </row>
    <row r="5" spans="1:8" ht="20.100000000000001" customHeight="1" x14ac:dyDescent="0.25">
      <c r="A5" s="59"/>
      <c r="B5" s="2">
        <v>45146</v>
      </c>
      <c r="C5" s="3">
        <v>539969771</v>
      </c>
      <c r="D5" s="3">
        <v>1</v>
      </c>
      <c r="E5" s="4" t="s">
        <v>954</v>
      </c>
      <c r="F5" s="19" t="s">
        <v>955</v>
      </c>
      <c r="G5" s="5" t="s">
        <v>7</v>
      </c>
      <c r="H5" s="6">
        <v>3500</v>
      </c>
    </row>
    <row r="6" spans="1:8" ht="20.100000000000001" customHeight="1" x14ac:dyDescent="0.25">
      <c r="A6" s="59"/>
      <c r="B6" s="2">
        <v>45223</v>
      </c>
      <c r="C6" s="3">
        <v>3094757961</v>
      </c>
      <c r="D6" s="3">
        <v>1</v>
      </c>
      <c r="E6" s="4" t="s">
        <v>1128</v>
      </c>
      <c r="F6" s="19" t="s">
        <v>1129</v>
      </c>
      <c r="G6" s="5" t="s">
        <v>11</v>
      </c>
      <c r="H6" s="6">
        <v>2800</v>
      </c>
    </row>
    <row r="7" spans="1:8" ht="20.100000000000001" customHeight="1" x14ac:dyDescent="0.25">
      <c r="A7" s="59"/>
      <c r="B7" s="2">
        <v>45244</v>
      </c>
      <c r="C7" s="3">
        <v>953174132</v>
      </c>
      <c r="D7" s="3">
        <v>1</v>
      </c>
      <c r="E7" s="4" t="s">
        <v>1203</v>
      </c>
      <c r="F7" s="19" t="s">
        <v>1129</v>
      </c>
      <c r="G7" s="5" t="s">
        <v>6</v>
      </c>
      <c r="H7" s="6">
        <v>2000</v>
      </c>
    </row>
    <row r="8" spans="1:8" ht="20.100000000000001" customHeight="1" x14ac:dyDescent="0.25">
      <c r="A8" s="59"/>
      <c r="B8" s="2">
        <v>45250</v>
      </c>
      <c r="C8" s="3">
        <v>882855121</v>
      </c>
      <c r="D8" s="3">
        <v>1</v>
      </c>
      <c r="E8" s="4" t="s">
        <v>1252</v>
      </c>
      <c r="F8" s="19" t="s">
        <v>1253</v>
      </c>
      <c r="G8" s="5" t="s">
        <v>11</v>
      </c>
      <c r="H8" s="6">
        <v>2000</v>
      </c>
    </row>
    <row r="9" spans="1:8" ht="20.100000000000001" customHeight="1" x14ac:dyDescent="0.25">
      <c r="A9" s="59"/>
      <c r="B9" s="2">
        <v>45250</v>
      </c>
      <c r="C9" s="3">
        <v>2203995018</v>
      </c>
      <c r="D9" s="3">
        <v>1</v>
      </c>
      <c r="E9" s="4" t="s">
        <v>1082</v>
      </c>
      <c r="F9" s="19" t="s">
        <v>1254</v>
      </c>
      <c r="G9" s="5" t="s">
        <v>7</v>
      </c>
      <c r="H9" s="6">
        <v>2800</v>
      </c>
    </row>
    <row r="10" spans="1:8" ht="20.100000000000001" customHeight="1" x14ac:dyDescent="0.25">
      <c r="A10" s="59"/>
      <c r="B10" s="2">
        <v>45251</v>
      </c>
      <c r="C10" s="3">
        <v>1582253869</v>
      </c>
      <c r="D10" s="3">
        <v>1</v>
      </c>
      <c r="E10" s="4" t="s">
        <v>633</v>
      </c>
      <c r="F10" s="19" t="s">
        <v>1255</v>
      </c>
      <c r="G10" s="5" t="s">
        <v>7</v>
      </c>
      <c r="H10" s="6">
        <v>2000</v>
      </c>
    </row>
    <row r="11" spans="1:8" ht="20.100000000000001" customHeight="1" x14ac:dyDescent="0.25">
      <c r="A11" s="59"/>
      <c r="B11" s="2">
        <v>45251</v>
      </c>
      <c r="C11" s="3">
        <v>3206301846</v>
      </c>
      <c r="D11" s="3">
        <v>1</v>
      </c>
      <c r="E11" s="4" t="s">
        <v>1242</v>
      </c>
      <c r="F11" s="19" t="s">
        <v>1129</v>
      </c>
      <c r="G11" s="5" t="s">
        <v>599</v>
      </c>
      <c r="H11" s="6">
        <v>1000</v>
      </c>
    </row>
    <row r="12" spans="1:8" ht="20.100000000000001" customHeight="1" x14ac:dyDescent="0.25">
      <c r="A12" s="59"/>
      <c r="B12" s="2">
        <v>45251</v>
      </c>
      <c r="C12" s="3">
        <v>1824017879</v>
      </c>
      <c r="D12" s="3">
        <v>1</v>
      </c>
      <c r="E12" s="4" t="s">
        <v>1242</v>
      </c>
      <c r="F12" s="19" t="s">
        <v>1129</v>
      </c>
      <c r="G12" s="5" t="s">
        <v>599</v>
      </c>
      <c r="H12" s="6">
        <v>1000</v>
      </c>
    </row>
    <row r="13" spans="1:8" ht="20.100000000000001" customHeight="1" x14ac:dyDescent="0.25">
      <c r="A13" s="59"/>
      <c r="B13" s="2">
        <v>45252</v>
      </c>
      <c r="C13" s="3">
        <v>3799663895</v>
      </c>
      <c r="D13" s="3">
        <v>1</v>
      </c>
      <c r="E13" s="4" t="s">
        <v>1256</v>
      </c>
      <c r="F13" s="19" t="s">
        <v>1255</v>
      </c>
      <c r="G13" s="5" t="s">
        <v>6</v>
      </c>
      <c r="H13" s="6">
        <v>2000</v>
      </c>
    </row>
    <row r="14" spans="1:8" ht="20.100000000000001" customHeight="1" x14ac:dyDescent="0.25">
      <c r="A14" s="59"/>
      <c r="B14" s="2">
        <v>45252</v>
      </c>
      <c r="C14" s="3">
        <v>3799663895</v>
      </c>
      <c r="D14" s="3">
        <v>1</v>
      </c>
      <c r="E14" s="4" t="s">
        <v>1256</v>
      </c>
      <c r="F14" s="19" t="s">
        <v>1254</v>
      </c>
      <c r="G14" s="5" t="s">
        <v>6</v>
      </c>
      <c r="H14" s="6">
        <v>2700</v>
      </c>
    </row>
    <row r="15" spans="1:8" ht="20.100000000000001" customHeight="1" x14ac:dyDescent="0.25">
      <c r="A15" s="59"/>
      <c r="B15" s="2">
        <v>45252</v>
      </c>
      <c r="C15" s="3">
        <v>2203339523</v>
      </c>
      <c r="D15" s="3">
        <v>1</v>
      </c>
      <c r="E15" s="4" t="s">
        <v>1257</v>
      </c>
      <c r="F15" s="19" t="s">
        <v>1255</v>
      </c>
      <c r="G15" s="5" t="s">
        <v>7</v>
      </c>
      <c r="H15" s="6">
        <v>2000</v>
      </c>
    </row>
    <row r="16" spans="1:8" ht="20.100000000000001" customHeight="1" x14ac:dyDescent="0.25">
      <c r="A16" s="59"/>
      <c r="B16" s="2">
        <v>45252</v>
      </c>
      <c r="C16" s="3">
        <v>2203339523</v>
      </c>
      <c r="D16" s="3">
        <v>1</v>
      </c>
      <c r="E16" s="4" t="s">
        <v>1257</v>
      </c>
      <c r="F16" s="19" t="s">
        <v>1258</v>
      </c>
      <c r="G16" s="5" t="s">
        <v>7</v>
      </c>
      <c r="H16" s="6">
        <v>2500</v>
      </c>
    </row>
    <row r="17" spans="1:8" ht="20.100000000000001" customHeight="1" x14ac:dyDescent="0.25">
      <c r="A17" s="59"/>
      <c r="B17" s="2">
        <v>45252</v>
      </c>
      <c r="C17" s="3">
        <v>1649692515</v>
      </c>
      <c r="D17" s="3">
        <v>1</v>
      </c>
      <c r="E17" s="4" t="s">
        <v>1247</v>
      </c>
      <c r="F17" s="19" t="s">
        <v>1255</v>
      </c>
      <c r="G17" s="5" t="s">
        <v>6</v>
      </c>
      <c r="H17" s="6">
        <v>2000</v>
      </c>
    </row>
    <row r="18" spans="1:8" ht="20.100000000000001" customHeight="1" x14ac:dyDescent="0.25">
      <c r="A18" s="59"/>
      <c r="B18" s="2">
        <v>45252</v>
      </c>
      <c r="C18" s="3">
        <v>294342653</v>
      </c>
      <c r="D18" s="3">
        <v>1</v>
      </c>
      <c r="E18" s="4" t="s">
        <v>1243</v>
      </c>
      <c r="F18" s="19" t="s">
        <v>1129</v>
      </c>
      <c r="G18" s="5" t="s">
        <v>7</v>
      </c>
      <c r="H18" s="6">
        <v>2000</v>
      </c>
    </row>
    <row r="19" spans="1:8" ht="20.100000000000001" customHeight="1" x14ac:dyDescent="0.25">
      <c r="A19" s="59"/>
      <c r="B19" s="2">
        <v>45259</v>
      </c>
      <c r="C19" s="3">
        <v>288771312</v>
      </c>
      <c r="D19" s="3">
        <v>1</v>
      </c>
      <c r="E19" s="4" t="s">
        <v>1259</v>
      </c>
      <c r="F19" s="19" t="s">
        <v>1260</v>
      </c>
      <c r="G19" s="5" t="s">
        <v>7</v>
      </c>
      <c r="H19" s="6">
        <v>3000</v>
      </c>
    </row>
    <row r="20" spans="1:8" ht="20.100000000000001" customHeight="1" x14ac:dyDescent="0.25">
      <c r="A20" s="59"/>
      <c r="B20" s="2">
        <v>45259</v>
      </c>
      <c r="C20" s="3">
        <v>2320253027</v>
      </c>
      <c r="D20" s="3">
        <v>1</v>
      </c>
      <c r="E20" s="4" t="s">
        <v>1261</v>
      </c>
      <c r="F20" s="19" t="s">
        <v>1262</v>
      </c>
      <c r="G20" s="5" t="s">
        <v>7</v>
      </c>
      <c r="H20" s="6">
        <v>2000</v>
      </c>
    </row>
    <row r="21" spans="1:8" ht="20.100000000000001" customHeight="1" x14ac:dyDescent="0.25">
      <c r="A21" s="59"/>
      <c r="B21" s="2">
        <v>45259</v>
      </c>
      <c r="C21" s="3">
        <v>121914065</v>
      </c>
      <c r="D21" s="3">
        <v>1</v>
      </c>
      <c r="E21" s="4" t="s">
        <v>1263</v>
      </c>
      <c r="F21" s="19" t="s">
        <v>1264</v>
      </c>
      <c r="G21" s="5" t="s">
        <v>6</v>
      </c>
      <c r="H21" s="6">
        <v>5000</v>
      </c>
    </row>
    <row r="22" spans="1:8" ht="20.100000000000001" customHeight="1" x14ac:dyDescent="0.25">
      <c r="A22" s="59"/>
      <c r="B22" s="2">
        <v>45260</v>
      </c>
      <c r="C22" s="3">
        <v>4150873882</v>
      </c>
      <c r="D22" s="3">
        <v>1</v>
      </c>
      <c r="E22" s="4" t="s">
        <v>1365</v>
      </c>
      <c r="F22" s="19" t="s">
        <v>1260</v>
      </c>
      <c r="G22" s="5" t="s">
        <v>7</v>
      </c>
      <c r="H22" s="6">
        <v>3000</v>
      </c>
    </row>
    <row r="23" spans="1:8" ht="20.100000000000001" customHeight="1" x14ac:dyDescent="0.25">
      <c r="A23" s="59"/>
      <c r="B23" s="2">
        <v>45260</v>
      </c>
      <c r="C23" s="3">
        <v>4150873882</v>
      </c>
      <c r="D23" s="3">
        <v>1</v>
      </c>
      <c r="E23" s="4" t="s">
        <v>1365</v>
      </c>
      <c r="F23" s="19" t="s">
        <v>1366</v>
      </c>
      <c r="G23" s="5" t="s">
        <v>7</v>
      </c>
      <c r="H23" s="6">
        <v>5000</v>
      </c>
    </row>
    <row r="24" spans="1:8" ht="20.100000000000001" customHeight="1" x14ac:dyDescent="0.25">
      <c r="A24" s="59"/>
      <c r="B24" s="2">
        <v>45278</v>
      </c>
      <c r="C24" s="3">
        <v>2469939754</v>
      </c>
      <c r="D24" s="3">
        <v>1</v>
      </c>
      <c r="E24" s="4" t="s">
        <v>1417</v>
      </c>
      <c r="F24" s="19" t="s">
        <v>1418</v>
      </c>
      <c r="G24" s="5" t="s">
        <v>7</v>
      </c>
      <c r="H24" s="6">
        <v>2800</v>
      </c>
    </row>
    <row r="25" spans="1:8" ht="20.100000000000001" customHeight="1" x14ac:dyDescent="0.25">
      <c r="A25" s="59"/>
      <c r="B25" s="2">
        <v>45280</v>
      </c>
      <c r="C25" s="3">
        <v>2469150969</v>
      </c>
      <c r="D25" s="3">
        <v>1</v>
      </c>
      <c r="E25" s="4" t="s">
        <v>1419</v>
      </c>
      <c r="F25" s="19" t="s">
        <v>1420</v>
      </c>
      <c r="G25" s="5" t="s">
        <v>6</v>
      </c>
      <c r="H25" s="6">
        <v>3000</v>
      </c>
    </row>
    <row r="26" spans="1:8" ht="20.100000000000001" customHeight="1" x14ac:dyDescent="0.25">
      <c r="A26" s="60"/>
      <c r="B26" s="13"/>
      <c r="C26" s="14"/>
      <c r="D26" s="14"/>
      <c r="E26" s="18" t="s">
        <v>5</v>
      </c>
      <c r="F26" s="15"/>
      <c r="G26" s="16"/>
      <c r="H26" s="17">
        <f>SUM(H3:H25)</f>
        <v>59600</v>
      </c>
    </row>
  </sheetData>
  <mergeCells count="8">
    <mergeCell ref="A1:A26"/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4"/>
  <sheetViews>
    <sheetView topLeftCell="A125" workbookViewId="0">
      <selection activeCell="E143" sqref="E143"/>
    </sheetView>
  </sheetViews>
  <sheetFormatPr baseColWidth="10" defaultColWidth="9.140625" defaultRowHeight="15" x14ac:dyDescent="0.25"/>
  <cols>
    <col min="1" max="1" width="13.57031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3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15</v>
      </c>
      <c r="B1" s="71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4"/>
      <c r="B2" s="65"/>
      <c r="C2" s="67"/>
      <c r="D2" s="67"/>
      <c r="E2" s="67"/>
      <c r="F2" s="67"/>
      <c r="G2" s="61"/>
      <c r="H2" s="63"/>
    </row>
    <row r="3" spans="1:8" ht="20.100000000000001" customHeight="1" x14ac:dyDescent="0.25">
      <c r="A3" s="74"/>
      <c r="B3" s="2">
        <v>44930</v>
      </c>
      <c r="C3" s="3">
        <v>2650292592</v>
      </c>
      <c r="D3" s="3">
        <v>4</v>
      </c>
      <c r="E3" s="4" t="s">
        <v>151</v>
      </c>
      <c r="F3" s="4" t="s">
        <v>17</v>
      </c>
      <c r="G3" s="5" t="s">
        <v>28</v>
      </c>
      <c r="H3" s="6">
        <v>925</v>
      </c>
    </row>
    <row r="4" spans="1:8" ht="20.100000000000001" customHeight="1" x14ac:dyDescent="0.25">
      <c r="A4" s="74"/>
      <c r="B4" s="2">
        <v>44935</v>
      </c>
      <c r="C4" s="3">
        <v>2105886131</v>
      </c>
      <c r="D4" s="3">
        <v>4</v>
      </c>
      <c r="E4" s="4" t="s">
        <v>152</v>
      </c>
      <c r="F4" s="4" t="s">
        <v>12</v>
      </c>
      <c r="G4" s="5" t="s">
        <v>6</v>
      </c>
      <c r="H4" s="6">
        <v>700</v>
      </c>
    </row>
    <row r="5" spans="1:8" ht="20.100000000000001" customHeight="1" x14ac:dyDescent="0.25">
      <c r="A5" s="74"/>
      <c r="B5" s="2">
        <v>44935</v>
      </c>
      <c r="C5" s="3">
        <v>2105886131</v>
      </c>
      <c r="D5" s="3">
        <v>4</v>
      </c>
      <c r="E5" s="4" t="s">
        <v>152</v>
      </c>
      <c r="F5" s="4" t="s">
        <v>75</v>
      </c>
      <c r="G5" s="5" t="s">
        <v>6</v>
      </c>
      <c r="H5" s="6">
        <v>500</v>
      </c>
    </row>
    <row r="6" spans="1:8" ht="20.100000000000001" customHeight="1" x14ac:dyDescent="0.25">
      <c r="A6" s="74"/>
      <c r="B6" s="2">
        <v>44938</v>
      </c>
      <c r="C6" s="3">
        <v>2590655824</v>
      </c>
      <c r="D6" s="3">
        <v>4</v>
      </c>
      <c r="E6" s="4" t="s">
        <v>153</v>
      </c>
      <c r="F6" s="4" t="s">
        <v>12</v>
      </c>
      <c r="G6" s="5" t="s">
        <v>7</v>
      </c>
      <c r="H6" s="6">
        <v>700</v>
      </c>
    </row>
    <row r="7" spans="1:8" ht="20.100000000000001" customHeight="1" x14ac:dyDescent="0.25">
      <c r="A7" s="74"/>
      <c r="B7" s="2">
        <v>44938</v>
      </c>
      <c r="C7" s="3">
        <v>2590655824</v>
      </c>
      <c r="D7" s="3">
        <v>4</v>
      </c>
      <c r="E7" s="4" t="s">
        <v>153</v>
      </c>
      <c r="F7" s="4" t="s">
        <v>10</v>
      </c>
      <c r="G7" s="5" t="s">
        <v>7</v>
      </c>
      <c r="H7" s="6">
        <v>925</v>
      </c>
    </row>
    <row r="8" spans="1:8" ht="20.100000000000001" customHeight="1" x14ac:dyDescent="0.25">
      <c r="A8" s="74"/>
      <c r="B8" s="2">
        <v>44939</v>
      </c>
      <c r="C8" s="3">
        <v>322626027</v>
      </c>
      <c r="D8" s="3">
        <v>4</v>
      </c>
      <c r="E8" s="4" t="s">
        <v>92</v>
      </c>
      <c r="F8" s="4" t="s">
        <v>10</v>
      </c>
      <c r="G8" s="5" t="s">
        <v>14</v>
      </c>
      <c r="H8" s="6">
        <v>925</v>
      </c>
    </row>
    <row r="9" spans="1:8" ht="20.100000000000001" customHeight="1" x14ac:dyDescent="0.25">
      <c r="A9" s="74"/>
      <c r="B9" s="2">
        <v>44939</v>
      </c>
      <c r="C9" s="3">
        <v>322626027</v>
      </c>
      <c r="D9" s="3">
        <v>4</v>
      </c>
      <c r="E9" s="4" t="s">
        <v>92</v>
      </c>
      <c r="F9" s="4" t="s">
        <v>12</v>
      </c>
      <c r="G9" s="5" t="s">
        <v>14</v>
      </c>
      <c r="H9" s="6">
        <v>700</v>
      </c>
    </row>
    <row r="10" spans="1:8" ht="20.100000000000001" customHeight="1" x14ac:dyDescent="0.25">
      <c r="A10" s="74"/>
      <c r="B10" s="2">
        <v>44943</v>
      </c>
      <c r="C10" s="3" t="s">
        <v>13</v>
      </c>
      <c r="D10" s="3">
        <v>1</v>
      </c>
      <c r="E10" s="4" t="s">
        <v>116</v>
      </c>
      <c r="F10" s="4" t="s">
        <v>10</v>
      </c>
      <c r="G10" s="5" t="s">
        <v>14</v>
      </c>
      <c r="H10" s="6">
        <v>50</v>
      </c>
    </row>
    <row r="11" spans="1:8" ht="20.100000000000001" customHeight="1" x14ac:dyDescent="0.25">
      <c r="A11" s="74"/>
      <c r="B11" s="2">
        <v>44944</v>
      </c>
      <c r="C11" s="3">
        <v>1712474995</v>
      </c>
      <c r="D11" s="3">
        <v>1</v>
      </c>
      <c r="E11" s="4" t="s">
        <v>154</v>
      </c>
      <c r="F11" s="4" t="s">
        <v>10</v>
      </c>
      <c r="G11" s="5" t="s">
        <v>6</v>
      </c>
      <c r="H11" s="6">
        <v>231.25</v>
      </c>
    </row>
    <row r="12" spans="1:8" ht="20.100000000000001" customHeight="1" x14ac:dyDescent="0.25">
      <c r="A12" s="74"/>
      <c r="B12" s="2">
        <v>44944</v>
      </c>
      <c r="C12" s="3">
        <v>2637121956</v>
      </c>
      <c r="D12" s="3">
        <v>1</v>
      </c>
      <c r="E12" s="4" t="s">
        <v>155</v>
      </c>
      <c r="F12" s="4" t="s">
        <v>12</v>
      </c>
      <c r="G12" s="5" t="s">
        <v>6</v>
      </c>
      <c r="H12" s="6">
        <v>175</v>
      </c>
    </row>
    <row r="13" spans="1:8" ht="20.100000000000001" customHeight="1" x14ac:dyDescent="0.25">
      <c r="A13" s="74"/>
      <c r="B13" s="2">
        <v>44946</v>
      </c>
      <c r="C13" s="3" t="s">
        <v>13</v>
      </c>
      <c r="D13" s="3">
        <v>1</v>
      </c>
      <c r="E13" s="4" t="s">
        <v>117</v>
      </c>
      <c r="F13" s="4" t="s">
        <v>10</v>
      </c>
      <c r="G13" s="5" t="s">
        <v>14</v>
      </c>
      <c r="H13" s="6">
        <v>50</v>
      </c>
    </row>
    <row r="14" spans="1:8" ht="20.100000000000001" customHeight="1" x14ac:dyDescent="0.25">
      <c r="A14" s="74"/>
      <c r="B14" s="2">
        <v>44946</v>
      </c>
      <c r="C14" s="3" t="s">
        <v>13</v>
      </c>
      <c r="D14" s="3">
        <v>1</v>
      </c>
      <c r="E14" s="4" t="s">
        <v>117</v>
      </c>
      <c r="F14" s="4" t="s">
        <v>75</v>
      </c>
      <c r="G14" s="5" t="s">
        <v>14</v>
      </c>
      <c r="H14" s="6">
        <v>50</v>
      </c>
    </row>
    <row r="15" spans="1:8" ht="20.100000000000001" customHeight="1" x14ac:dyDescent="0.25">
      <c r="A15" s="74"/>
      <c r="B15" s="2">
        <v>44946</v>
      </c>
      <c r="C15" s="3" t="s">
        <v>13</v>
      </c>
      <c r="D15" s="3">
        <v>1</v>
      </c>
      <c r="E15" s="4" t="s">
        <v>117</v>
      </c>
      <c r="F15" s="4" t="s">
        <v>12</v>
      </c>
      <c r="G15" s="5" t="s">
        <v>14</v>
      </c>
      <c r="H15" s="6">
        <v>50</v>
      </c>
    </row>
    <row r="16" spans="1:8" ht="20.100000000000001" customHeight="1" x14ac:dyDescent="0.25">
      <c r="A16" s="74"/>
      <c r="B16" s="2">
        <v>44951</v>
      </c>
      <c r="C16" s="3">
        <v>2698856826</v>
      </c>
      <c r="D16" s="3">
        <v>1</v>
      </c>
      <c r="E16" s="4" t="s">
        <v>155</v>
      </c>
      <c r="F16" s="4" t="s">
        <v>10</v>
      </c>
      <c r="G16" s="5" t="s">
        <v>6</v>
      </c>
      <c r="H16" s="6">
        <v>231.25</v>
      </c>
    </row>
    <row r="17" spans="1:8" ht="20.100000000000001" customHeight="1" x14ac:dyDescent="0.25">
      <c r="A17" s="74"/>
      <c r="B17" s="2">
        <v>44960</v>
      </c>
      <c r="C17" s="3">
        <v>2463973448</v>
      </c>
      <c r="D17" s="3">
        <v>4</v>
      </c>
      <c r="E17" s="4" t="s">
        <v>244</v>
      </c>
      <c r="F17" s="4" t="s">
        <v>17</v>
      </c>
      <c r="G17" s="5" t="s">
        <v>6</v>
      </c>
      <c r="H17" s="6">
        <v>1200</v>
      </c>
    </row>
    <row r="18" spans="1:8" ht="20.100000000000001" customHeight="1" x14ac:dyDescent="0.25">
      <c r="A18" s="74"/>
      <c r="B18" s="2">
        <v>44965</v>
      </c>
      <c r="C18" s="3">
        <v>1255358974</v>
      </c>
      <c r="D18" s="3">
        <v>4</v>
      </c>
      <c r="E18" s="4" t="s">
        <v>245</v>
      </c>
      <c r="F18" s="4" t="s">
        <v>17</v>
      </c>
      <c r="G18" s="5" t="s">
        <v>28</v>
      </c>
      <c r="H18" s="6">
        <v>925</v>
      </c>
    </row>
    <row r="19" spans="1:8" ht="20.100000000000001" customHeight="1" x14ac:dyDescent="0.25">
      <c r="A19" s="74"/>
      <c r="B19" s="2">
        <v>44977</v>
      </c>
      <c r="C19" s="3">
        <v>32523008433</v>
      </c>
      <c r="D19" s="3">
        <v>4</v>
      </c>
      <c r="E19" s="4" t="s">
        <v>246</v>
      </c>
      <c r="F19" s="4" t="s">
        <v>10</v>
      </c>
      <c r="G19" s="5" t="s">
        <v>7</v>
      </c>
      <c r="H19" s="6">
        <v>925</v>
      </c>
    </row>
    <row r="20" spans="1:8" ht="20.100000000000001" customHeight="1" x14ac:dyDescent="0.25">
      <c r="A20" s="74"/>
      <c r="B20" s="2">
        <v>44977</v>
      </c>
      <c r="C20" s="3">
        <v>32523008433</v>
      </c>
      <c r="D20" s="3">
        <v>4</v>
      </c>
      <c r="E20" s="4" t="s">
        <v>246</v>
      </c>
      <c r="F20" s="4" t="s">
        <v>12</v>
      </c>
      <c r="G20" s="5" t="s">
        <v>7</v>
      </c>
      <c r="H20" s="6">
        <v>700</v>
      </c>
    </row>
    <row r="21" spans="1:8" ht="20.100000000000001" customHeight="1" x14ac:dyDescent="0.25">
      <c r="A21" s="74"/>
      <c r="B21" s="2">
        <v>44985</v>
      </c>
      <c r="C21" s="3" t="s">
        <v>13</v>
      </c>
      <c r="D21" s="3">
        <v>1</v>
      </c>
      <c r="E21" s="4" t="s">
        <v>116</v>
      </c>
      <c r="F21" s="4" t="s">
        <v>10</v>
      </c>
      <c r="G21" s="5" t="s">
        <v>14</v>
      </c>
      <c r="H21" s="6">
        <v>50</v>
      </c>
    </row>
    <row r="22" spans="1:8" ht="20.100000000000001" customHeight="1" x14ac:dyDescent="0.25">
      <c r="A22" s="74"/>
      <c r="B22" s="2">
        <v>44985</v>
      </c>
      <c r="C22" s="3" t="s">
        <v>13</v>
      </c>
      <c r="D22" s="3">
        <v>1</v>
      </c>
      <c r="E22" s="4" t="s">
        <v>117</v>
      </c>
      <c r="F22" s="4" t="s">
        <v>10</v>
      </c>
      <c r="G22" s="5" t="s">
        <v>14</v>
      </c>
      <c r="H22" s="6">
        <v>50</v>
      </c>
    </row>
    <row r="23" spans="1:8" ht="20.100000000000001" customHeight="1" x14ac:dyDescent="0.25">
      <c r="A23" s="74"/>
      <c r="B23" s="2">
        <v>44985</v>
      </c>
      <c r="C23" s="3" t="s">
        <v>13</v>
      </c>
      <c r="D23" s="3">
        <v>1</v>
      </c>
      <c r="E23" s="4" t="s">
        <v>117</v>
      </c>
      <c r="F23" s="4" t="s">
        <v>12</v>
      </c>
      <c r="G23" s="5" t="s">
        <v>14</v>
      </c>
      <c r="H23" s="6">
        <v>50</v>
      </c>
    </row>
    <row r="24" spans="1:8" ht="20.100000000000001" customHeight="1" x14ac:dyDescent="0.25">
      <c r="A24" s="74"/>
      <c r="B24" s="2">
        <v>44985</v>
      </c>
      <c r="C24" s="3" t="s">
        <v>13</v>
      </c>
      <c r="D24" s="3">
        <v>1</v>
      </c>
      <c r="E24" s="4" t="s">
        <v>117</v>
      </c>
      <c r="F24" s="4" t="s">
        <v>75</v>
      </c>
      <c r="G24" s="5" t="s">
        <v>14</v>
      </c>
      <c r="H24" s="6">
        <v>50</v>
      </c>
    </row>
    <row r="25" spans="1:8" ht="20.100000000000001" customHeight="1" x14ac:dyDescent="0.25">
      <c r="A25" s="74"/>
      <c r="B25" s="2">
        <v>44986</v>
      </c>
      <c r="C25" s="3">
        <v>676678220</v>
      </c>
      <c r="D25" s="3">
        <v>1</v>
      </c>
      <c r="E25" s="4" t="s">
        <v>264</v>
      </c>
      <c r="F25" s="4" t="s">
        <v>12</v>
      </c>
      <c r="G25" s="5" t="s">
        <v>7</v>
      </c>
      <c r="H25" s="6">
        <v>175</v>
      </c>
    </row>
    <row r="26" spans="1:8" ht="20.100000000000001" customHeight="1" x14ac:dyDescent="0.25">
      <c r="A26" s="74"/>
      <c r="B26" s="2">
        <v>44986</v>
      </c>
      <c r="C26" s="3">
        <v>483411296</v>
      </c>
      <c r="D26" s="3">
        <v>2</v>
      </c>
      <c r="E26" s="4" t="s">
        <v>357</v>
      </c>
      <c r="F26" s="4" t="s">
        <v>358</v>
      </c>
      <c r="G26" s="5" t="s">
        <v>6</v>
      </c>
      <c r="H26" s="6">
        <v>900</v>
      </c>
    </row>
    <row r="27" spans="1:8" ht="45" x14ac:dyDescent="0.25">
      <c r="A27" s="74"/>
      <c r="B27" s="2">
        <v>44992</v>
      </c>
      <c r="C27" s="3">
        <v>935936691</v>
      </c>
      <c r="D27" s="3">
        <v>4</v>
      </c>
      <c r="E27" s="4" t="s">
        <v>359</v>
      </c>
      <c r="F27" s="4" t="s">
        <v>360</v>
      </c>
      <c r="G27" s="5" t="s">
        <v>28</v>
      </c>
      <c r="H27" s="6">
        <v>960</v>
      </c>
    </row>
    <row r="28" spans="1:8" ht="20.100000000000001" customHeight="1" x14ac:dyDescent="0.25">
      <c r="A28" s="74"/>
      <c r="B28" s="2">
        <v>44993</v>
      </c>
      <c r="C28" s="3">
        <v>3919724872</v>
      </c>
      <c r="D28" s="3">
        <v>1</v>
      </c>
      <c r="E28" s="4" t="s">
        <v>264</v>
      </c>
      <c r="F28" s="4" t="s">
        <v>10</v>
      </c>
      <c r="G28" s="5" t="s">
        <v>6</v>
      </c>
      <c r="H28" s="6">
        <v>231.25</v>
      </c>
    </row>
    <row r="29" spans="1:8" ht="20.100000000000001" customHeight="1" x14ac:dyDescent="0.25">
      <c r="A29" s="74"/>
      <c r="B29" s="2">
        <v>45000</v>
      </c>
      <c r="C29" s="3">
        <v>2113880679</v>
      </c>
      <c r="D29" s="3">
        <v>2</v>
      </c>
      <c r="E29" s="4" t="s">
        <v>361</v>
      </c>
      <c r="F29" s="4" t="s">
        <v>362</v>
      </c>
      <c r="G29" s="5" t="s">
        <v>6</v>
      </c>
      <c r="H29" s="6">
        <v>760</v>
      </c>
    </row>
    <row r="30" spans="1:8" ht="20.100000000000001" customHeight="1" x14ac:dyDescent="0.25">
      <c r="A30" s="74"/>
      <c r="B30" s="2">
        <v>45007</v>
      </c>
      <c r="C30" s="3">
        <v>226118147</v>
      </c>
      <c r="D30" s="3">
        <v>4</v>
      </c>
      <c r="E30" s="4" t="s">
        <v>363</v>
      </c>
      <c r="F30" s="4" t="s">
        <v>17</v>
      </c>
      <c r="G30" s="5" t="s">
        <v>7</v>
      </c>
      <c r="H30" s="6">
        <v>900</v>
      </c>
    </row>
    <row r="31" spans="1:8" ht="20.100000000000001" customHeight="1" x14ac:dyDescent="0.25">
      <c r="A31" s="74"/>
      <c r="B31" s="2">
        <v>45008</v>
      </c>
      <c r="C31" s="3">
        <v>670256428</v>
      </c>
      <c r="D31" s="3">
        <v>1</v>
      </c>
      <c r="E31" s="4" t="s">
        <v>364</v>
      </c>
      <c r="F31" s="4" t="s">
        <v>10</v>
      </c>
      <c r="G31" s="5" t="s">
        <v>6</v>
      </c>
      <c r="H31" s="6">
        <v>264.5</v>
      </c>
    </row>
    <row r="32" spans="1:8" ht="20.100000000000001" customHeight="1" x14ac:dyDescent="0.25">
      <c r="A32" s="74"/>
      <c r="B32" s="2">
        <v>45008</v>
      </c>
      <c r="C32" s="3">
        <v>670256428</v>
      </c>
      <c r="D32" s="3">
        <v>1</v>
      </c>
      <c r="E32" s="4" t="s">
        <v>364</v>
      </c>
      <c r="F32" s="4" t="s">
        <v>12</v>
      </c>
      <c r="G32" s="5" t="s">
        <v>6</v>
      </c>
      <c r="H32" s="6">
        <v>264.5</v>
      </c>
    </row>
    <row r="33" spans="1:8" ht="20.100000000000001" customHeight="1" x14ac:dyDescent="0.25">
      <c r="A33" s="74"/>
      <c r="B33" s="2">
        <v>45013</v>
      </c>
      <c r="C33" s="3">
        <v>806895864</v>
      </c>
      <c r="D33" s="3">
        <v>4</v>
      </c>
      <c r="E33" s="4" t="s">
        <v>365</v>
      </c>
      <c r="F33" s="4" t="s">
        <v>17</v>
      </c>
      <c r="G33" s="5" t="s">
        <v>7</v>
      </c>
      <c r="H33" s="6">
        <v>1000</v>
      </c>
    </row>
    <row r="34" spans="1:8" ht="20.100000000000001" customHeight="1" x14ac:dyDescent="0.25">
      <c r="A34" s="74"/>
      <c r="B34" s="2">
        <v>45016</v>
      </c>
      <c r="C34" s="3" t="s">
        <v>13</v>
      </c>
      <c r="D34" s="3">
        <v>1</v>
      </c>
      <c r="E34" s="4" t="s">
        <v>117</v>
      </c>
      <c r="F34" s="4" t="s">
        <v>12</v>
      </c>
      <c r="G34" s="5" t="s">
        <v>14</v>
      </c>
      <c r="H34" s="6">
        <v>50</v>
      </c>
    </row>
    <row r="35" spans="1:8" ht="15.75" x14ac:dyDescent="0.25">
      <c r="A35" s="74"/>
      <c r="B35" s="2">
        <v>45016</v>
      </c>
      <c r="C35" s="3" t="s">
        <v>13</v>
      </c>
      <c r="D35" s="3">
        <v>1</v>
      </c>
      <c r="E35" s="4" t="s">
        <v>117</v>
      </c>
      <c r="F35" s="4" t="s">
        <v>75</v>
      </c>
      <c r="G35" s="5" t="s">
        <v>14</v>
      </c>
      <c r="H35" s="6">
        <v>50</v>
      </c>
    </row>
    <row r="36" spans="1:8" ht="20.100000000000001" customHeight="1" x14ac:dyDescent="0.25">
      <c r="A36" s="74"/>
      <c r="B36" s="2">
        <v>45016</v>
      </c>
      <c r="C36" s="3" t="s">
        <v>13</v>
      </c>
      <c r="D36" s="3">
        <v>1</v>
      </c>
      <c r="E36" s="4" t="s">
        <v>117</v>
      </c>
      <c r="F36" s="4" t="s">
        <v>10</v>
      </c>
      <c r="G36" s="5" t="s">
        <v>14</v>
      </c>
      <c r="H36" s="6">
        <v>50</v>
      </c>
    </row>
    <row r="37" spans="1:8" ht="20.100000000000001" customHeight="1" x14ac:dyDescent="0.25">
      <c r="A37" s="74"/>
      <c r="B37" s="2">
        <v>45033</v>
      </c>
      <c r="C37" s="3">
        <v>822560300</v>
      </c>
      <c r="D37" s="3">
        <v>4</v>
      </c>
      <c r="E37" s="4" t="s">
        <v>547</v>
      </c>
      <c r="F37" s="4" t="s">
        <v>548</v>
      </c>
      <c r="G37" s="5" t="s">
        <v>6</v>
      </c>
      <c r="H37" s="6">
        <v>700</v>
      </c>
    </row>
    <row r="38" spans="1:8" ht="20.100000000000001" customHeight="1" x14ac:dyDescent="0.25">
      <c r="A38" s="74"/>
      <c r="B38" s="2">
        <v>45033</v>
      </c>
      <c r="C38" s="3">
        <v>822560300</v>
      </c>
      <c r="D38" s="3">
        <v>2</v>
      </c>
      <c r="E38" s="4" t="s">
        <v>547</v>
      </c>
      <c r="F38" s="4" t="s">
        <v>10</v>
      </c>
      <c r="G38" s="5" t="s">
        <v>6</v>
      </c>
      <c r="H38" s="6">
        <v>462.5</v>
      </c>
    </row>
    <row r="39" spans="1:8" ht="20.100000000000001" customHeight="1" x14ac:dyDescent="0.25">
      <c r="A39" s="74"/>
      <c r="B39" s="2">
        <v>45042</v>
      </c>
      <c r="C39" s="3">
        <v>1737247359</v>
      </c>
      <c r="D39" s="3">
        <v>4</v>
      </c>
      <c r="E39" s="4" t="s">
        <v>246</v>
      </c>
      <c r="F39" s="4" t="s">
        <v>549</v>
      </c>
      <c r="G39" s="5" t="s">
        <v>6</v>
      </c>
      <c r="H39" s="6">
        <v>1250</v>
      </c>
    </row>
    <row r="40" spans="1:8" ht="20.100000000000001" customHeight="1" x14ac:dyDescent="0.25">
      <c r="A40" s="74"/>
      <c r="B40" s="2">
        <v>45048</v>
      </c>
      <c r="C40" s="3">
        <v>319441993</v>
      </c>
      <c r="D40" s="3">
        <v>2</v>
      </c>
      <c r="E40" s="4" t="s">
        <v>621</v>
      </c>
      <c r="F40" s="4" t="s">
        <v>622</v>
      </c>
      <c r="G40" s="5" t="s">
        <v>28</v>
      </c>
      <c r="H40" s="6">
        <v>432</v>
      </c>
    </row>
    <row r="41" spans="1:8" ht="20.100000000000001" customHeight="1" x14ac:dyDescent="0.25">
      <c r="A41" s="74"/>
      <c r="B41" s="2">
        <v>45048</v>
      </c>
      <c r="C41" s="3">
        <v>319441993</v>
      </c>
      <c r="D41" s="3">
        <v>1</v>
      </c>
      <c r="E41" s="4" t="s">
        <v>621</v>
      </c>
      <c r="F41" s="4" t="s">
        <v>622</v>
      </c>
      <c r="G41" s="5" t="s">
        <v>28</v>
      </c>
      <c r="H41" s="6">
        <v>218</v>
      </c>
    </row>
    <row r="42" spans="1:8" ht="20.100000000000001" customHeight="1" x14ac:dyDescent="0.25">
      <c r="A42" s="74"/>
      <c r="B42" s="2">
        <v>45049</v>
      </c>
      <c r="C42" s="3">
        <v>3489680614</v>
      </c>
      <c r="D42" s="3">
        <v>1</v>
      </c>
      <c r="E42" s="4" t="s">
        <v>264</v>
      </c>
      <c r="F42" s="4" t="s">
        <v>622</v>
      </c>
      <c r="G42" s="5" t="s">
        <v>6</v>
      </c>
      <c r="H42" s="6">
        <v>231.25</v>
      </c>
    </row>
    <row r="43" spans="1:8" ht="20.100000000000001" customHeight="1" x14ac:dyDescent="0.25">
      <c r="A43" s="74"/>
      <c r="B43" s="2">
        <v>45049</v>
      </c>
      <c r="C43" s="3">
        <v>3489680614</v>
      </c>
      <c r="D43" s="3">
        <v>1</v>
      </c>
      <c r="E43" s="4" t="s">
        <v>264</v>
      </c>
      <c r="F43" s="4" t="s">
        <v>12</v>
      </c>
      <c r="G43" s="5" t="s">
        <v>6</v>
      </c>
      <c r="H43" s="6">
        <v>175</v>
      </c>
    </row>
    <row r="44" spans="1:8" ht="20.100000000000001" customHeight="1" x14ac:dyDescent="0.25">
      <c r="A44" s="74"/>
      <c r="B44" s="2">
        <v>45051</v>
      </c>
      <c r="C44" s="3" t="s">
        <v>13</v>
      </c>
      <c r="D44" s="3">
        <v>1</v>
      </c>
      <c r="E44" s="4" t="s">
        <v>117</v>
      </c>
      <c r="F44" s="4" t="s">
        <v>10</v>
      </c>
      <c r="G44" s="5" t="s">
        <v>14</v>
      </c>
      <c r="H44" s="6">
        <v>50</v>
      </c>
    </row>
    <row r="45" spans="1:8" ht="20.100000000000001" customHeight="1" x14ac:dyDescent="0.25">
      <c r="A45" s="74"/>
      <c r="B45" s="2">
        <v>45051</v>
      </c>
      <c r="C45" s="3" t="s">
        <v>13</v>
      </c>
      <c r="D45" s="3">
        <v>1</v>
      </c>
      <c r="E45" s="4" t="s">
        <v>117</v>
      </c>
      <c r="F45" s="4" t="s">
        <v>75</v>
      </c>
      <c r="G45" s="5" t="s">
        <v>14</v>
      </c>
      <c r="H45" s="6">
        <v>50</v>
      </c>
    </row>
    <row r="46" spans="1:8" ht="20.100000000000001" customHeight="1" x14ac:dyDescent="0.25">
      <c r="A46" s="74"/>
      <c r="B46" s="2">
        <v>45051</v>
      </c>
      <c r="C46" s="3" t="s">
        <v>13</v>
      </c>
      <c r="D46" s="3">
        <v>1</v>
      </c>
      <c r="E46" s="4" t="s">
        <v>117</v>
      </c>
      <c r="F46" s="4" t="s">
        <v>12</v>
      </c>
      <c r="G46" s="5" t="s">
        <v>14</v>
      </c>
      <c r="H46" s="6">
        <v>50</v>
      </c>
    </row>
    <row r="47" spans="1:8" ht="20.100000000000001" customHeight="1" x14ac:dyDescent="0.25">
      <c r="A47" s="74"/>
      <c r="B47" s="2">
        <v>45054</v>
      </c>
      <c r="C47" s="3">
        <v>1747340940</v>
      </c>
      <c r="D47" s="3">
        <v>4</v>
      </c>
      <c r="E47" s="4" t="s">
        <v>153</v>
      </c>
      <c r="F47" s="4" t="s">
        <v>623</v>
      </c>
      <c r="G47" s="5" t="s">
        <v>7</v>
      </c>
      <c r="H47" s="6">
        <v>925</v>
      </c>
    </row>
    <row r="48" spans="1:8" ht="20.100000000000001" customHeight="1" x14ac:dyDescent="0.25">
      <c r="A48" s="74"/>
      <c r="B48" s="2">
        <v>45057</v>
      </c>
      <c r="C48" s="3">
        <v>383402356</v>
      </c>
      <c r="D48" s="3">
        <v>1</v>
      </c>
      <c r="E48" s="4" t="s">
        <v>624</v>
      </c>
      <c r="F48" s="4" t="s">
        <v>17</v>
      </c>
      <c r="G48" s="5" t="s">
        <v>28</v>
      </c>
      <c r="H48" s="6">
        <v>180</v>
      </c>
    </row>
    <row r="49" spans="1:8" ht="20.100000000000001" customHeight="1" x14ac:dyDescent="0.25">
      <c r="A49" s="74"/>
      <c r="B49" s="2">
        <v>45078</v>
      </c>
      <c r="C49" s="3">
        <v>57298259</v>
      </c>
      <c r="D49" s="3">
        <v>4</v>
      </c>
      <c r="E49" s="4" t="s">
        <v>708</v>
      </c>
      <c r="F49" s="4" t="s">
        <v>10</v>
      </c>
      <c r="G49" s="5" t="s">
        <v>7</v>
      </c>
      <c r="H49" s="6">
        <v>925</v>
      </c>
    </row>
    <row r="50" spans="1:8" ht="20.100000000000001" customHeight="1" x14ac:dyDescent="0.25">
      <c r="A50" s="74"/>
      <c r="B50" s="2">
        <v>45079</v>
      </c>
      <c r="C50" s="3">
        <v>3773713778</v>
      </c>
      <c r="D50" s="3">
        <v>1</v>
      </c>
      <c r="E50" s="4" t="s">
        <v>364</v>
      </c>
      <c r="F50" s="4" t="s">
        <v>10</v>
      </c>
      <c r="G50" s="5" t="s">
        <v>6</v>
      </c>
      <c r="H50" s="6">
        <v>264.5</v>
      </c>
    </row>
    <row r="51" spans="1:8" ht="20.100000000000001" customHeight="1" x14ac:dyDescent="0.25">
      <c r="A51" s="74"/>
      <c r="B51" s="2">
        <v>45079</v>
      </c>
      <c r="C51" s="3">
        <v>3773713778</v>
      </c>
      <c r="D51" s="3">
        <v>1</v>
      </c>
      <c r="E51" s="4" t="s">
        <v>364</v>
      </c>
      <c r="F51" s="4" t="s">
        <v>12</v>
      </c>
      <c r="G51" s="5" t="s">
        <v>6</v>
      </c>
      <c r="H51" s="6">
        <v>264.5</v>
      </c>
    </row>
    <row r="52" spans="1:8" ht="20.100000000000001" customHeight="1" x14ac:dyDescent="0.25">
      <c r="A52" s="74"/>
      <c r="B52" s="2">
        <v>45079</v>
      </c>
      <c r="C52" s="3" t="s">
        <v>13</v>
      </c>
      <c r="D52" s="3">
        <v>1</v>
      </c>
      <c r="E52" s="4" t="s">
        <v>117</v>
      </c>
      <c r="F52" s="4" t="s">
        <v>12</v>
      </c>
      <c r="G52" s="5" t="s">
        <v>14</v>
      </c>
      <c r="H52" s="6">
        <v>50</v>
      </c>
    </row>
    <row r="53" spans="1:8" ht="20.100000000000001" customHeight="1" x14ac:dyDescent="0.25">
      <c r="A53" s="74"/>
      <c r="B53" s="2">
        <v>45079</v>
      </c>
      <c r="C53" s="3" t="s">
        <v>13</v>
      </c>
      <c r="D53" s="3">
        <v>1</v>
      </c>
      <c r="E53" s="4" t="s">
        <v>117</v>
      </c>
      <c r="F53" s="4" t="s">
        <v>75</v>
      </c>
      <c r="G53" s="5" t="s">
        <v>14</v>
      </c>
      <c r="H53" s="6">
        <v>50</v>
      </c>
    </row>
    <row r="54" spans="1:8" ht="20.100000000000001" customHeight="1" x14ac:dyDescent="0.25">
      <c r="A54" s="74"/>
      <c r="B54" s="2">
        <v>45079</v>
      </c>
      <c r="C54" s="3" t="s">
        <v>13</v>
      </c>
      <c r="D54" s="3">
        <v>1</v>
      </c>
      <c r="E54" s="4" t="s">
        <v>117</v>
      </c>
      <c r="F54" s="4" t="s">
        <v>10</v>
      </c>
      <c r="G54" s="5" t="s">
        <v>14</v>
      </c>
      <c r="H54" s="6">
        <v>50</v>
      </c>
    </row>
    <row r="55" spans="1:8" ht="20.100000000000001" customHeight="1" x14ac:dyDescent="0.25">
      <c r="A55" s="74"/>
      <c r="B55" s="2">
        <v>45091</v>
      </c>
      <c r="C55" s="3">
        <v>986728906</v>
      </c>
      <c r="D55" s="3">
        <v>1</v>
      </c>
      <c r="E55" s="4" t="s">
        <v>264</v>
      </c>
      <c r="F55" s="4" t="s">
        <v>10</v>
      </c>
      <c r="G55" s="5" t="s">
        <v>6</v>
      </c>
      <c r="H55" s="6">
        <v>231.25</v>
      </c>
    </row>
    <row r="56" spans="1:8" ht="20.100000000000001" customHeight="1" x14ac:dyDescent="0.25">
      <c r="A56" s="74"/>
      <c r="B56" s="2">
        <v>45091</v>
      </c>
      <c r="C56" s="3">
        <v>986728906</v>
      </c>
      <c r="D56" s="3">
        <v>1</v>
      </c>
      <c r="E56" s="4" t="s">
        <v>264</v>
      </c>
      <c r="F56" s="4" t="s">
        <v>12</v>
      </c>
      <c r="G56" s="5" t="s">
        <v>6</v>
      </c>
      <c r="H56" s="6">
        <v>175</v>
      </c>
    </row>
    <row r="57" spans="1:8" ht="20.100000000000001" customHeight="1" x14ac:dyDescent="0.25">
      <c r="A57" s="74"/>
      <c r="B57" s="2">
        <v>45091</v>
      </c>
      <c r="C57" s="3">
        <v>3030207969</v>
      </c>
      <c r="D57" s="3">
        <v>2</v>
      </c>
      <c r="E57" s="4" t="s">
        <v>709</v>
      </c>
      <c r="F57" s="4" t="s">
        <v>549</v>
      </c>
      <c r="G57" s="5" t="s">
        <v>7</v>
      </c>
      <c r="H57" s="6">
        <v>625</v>
      </c>
    </row>
    <row r="58" spans="1:8" ht="20.100000000000001" customHeight="1" x14ac:dyDescent="0.25">
      <c r="A58" s="74"/>
      <c r="B58" s="2">
        <v>45091</v>
      </c>
      <c r="C58" s="3">
        <v>3030207969</v>
      </c>
      <c r="D58" s="3">
        <v>2</v>
      </c>
      <c r="E58" s="4" t="s">
        <v>709</v>
      </c>
      <c r="F58" s="4" t="s">
        <v>10</v>
      </c>
      <c r="G58" s="5" t="s">
        <v>7</v>
      </c>
      <c r="H58" s="6">
        <v>462.5</v>
      </c>
    </row>
    <row r="59" spans="1:8" ht="20.100000000000001" customHeight="1" x14ac:dyDescent="0.25">
      <c r="A59" s="74"/>
      <c r="B59" s="2">
        <v>45091</v>
      </c>
      <c r="C59" s="3">
        <v>3030207969</v>
      </c>
      <c r="D59" s="3">
        <v>2</v>
      </c>
      <c r="E59" s="4" t="s">
        <v>709</v>
      </c>
      <c r="F59" s="4" t="s">
        <v>623</v>
      </c>
      <c r="G59" s="5" t="s">
        <v>7</v>
      </c>
      <c r="H59" s="6">
        <v>550</v>
      </c>
    </row>
    <row r="60" spans="1:8" ht="20.100000000000001" customHeight="1" x14ac:dyDescent="0.25">
      <c r="A60" s="74"/>
      <c r="B60" s="2">
        <v>45092</v>
      </c>
      <c r="C60" s="3">
        <v>1484473755</v>
      </c>
      <c r="D60" s="3">
        <v>3</v>
      </c>
      <c r="E60" s="4" t="s">
        <v>710</v>
      </c>
      <c r="F60" s="4" t="s">
        <v>10</v>
      </c>
      <c r="G60" s="5" t="s">
        <v>28</v>
      </c>
      <c r="H60" s="6">
        <v>693.75</v>
      </c>
    </row>
    <row r="61" spans="1:8" ht="20.100000000000001" customHeight="1" x14ac:dyDescent="0.25">
      <c r="A61" s="74"/>
      <c r="B61" s="2">
        <v>45093</v>
      </c>
      <c r="C61" s="3">
        <v>1940147782</v>
      </c>
      <c r="D61" s="3">
        <v>4</v>
      </c>
      <c r="E61" s="4" t="s">
        <v>711</v>
      </c>
      <c r="F61" s="4" t="s">
        <v>12</v>
      </c>
      <c r="G61" s="5" t="s">
        <v>28</v>
      </c>
      <c r="H61" s="6">
        <v>700</v>
      </c>
    </row>
    <row r="62" spans="1:8" ht="20.100000000000001" customHeight="1" x14ac:dyDescent="0.25">
      <c r="A62" s="74"/>
      <c r="B62" s="2">
        <v>45093</v>
      </c>
      <c r="C62" s="3">
        <v>1940147782</v>
      </c>
      <c r="D62" s="3">
        <v>7</v>
      </c>
      <c r="E62" s="4" t="s">
        <v>711</v>
      </c>
      <c r="F62" s="4" t="s">
        <v>549</v>
      </c>
      <c r="G62" s="5" t="s">
        <v>28</v>
      </c>
      <c r="H62" s="6">
        <v>1638</v>
      </c>
    </row>
    <row r="63" spans="1:8" ht="20.100000000000001" customHeight="1" x14ac:dyDescent="0.25">
      <c r="A63" s="74"/>
      <c r="B63" s="2">
        <v>45093</v>
      </c>
      <c r="C63" s="3">
        <v>1940147782</v>
      </c>
      <c r="D63" s="3">
        <v>1</v>
      </c>
      <c r="E63" s="4" t="s">
        <v>711</v>
      </c>
      <c r="F63" s="4" t="s">
        <v>549</v>
      </c>
      <c r="G63" s="5" t="s">
        <v>28</v>
      </c>
      <c r="H63" s="6">
        <v>237</v>
      </c>
    </row>
    <row r="64" spans="1:8" ht="20.100000000000001" customHeight="1" x14ac:dyDescent="0.25">
      <c r="A64" s="74"/>
      <c r="B64" s="2">
        <v>45105</v>
      </c>
      <c r="C64" s="3">
        <v>1554073056</v>
      </c>
      <c r="D64" s="3">
        <v>2</v>
      </c>
      <c r="E64" s="4" t="s">
        <v>357</v>
      </c>
      <c r="F64" s="4" t="s">
        <v>12</v>
      </c>
      <c r="G64" s="5" t="s">
        <v>6</v>
      </c>
      <c r="H64" s="6">
        <v>350</v>
      </c>
    </row>
    <row r="65" spans="1:8" ht="20.100000000000001" customHeight="1" x14ac:dyDescent="0.25">
      <c r="A65" s="74"/>
      <c r="B65" s="2">
        <v>45106</v>
      </c>
      <c r="C65" s="3">
        <v>967591809</v>
      </c>
      <c r="D65" s="3">
        <v>4</v>
      </c>
      <c r="E65" s="4" t="s">
        <v>712</v>
      </c>
      <c r="F65" s="4" t="s">
        <v>713</v>
      </c>
      <c r="G65" s="5" t="s">
        <v>7</v>
      </c>
      <c r="H65" s="6">
        <v>850</v>
      </c>
    </row>
    <row r="66" spans="1:8" ht="20.100000000000001" customHeight="1" x14ac:dyDescent="0.25">
      <c r="A66" s="74"/>
      <c r="B66" s="2">
        <v>45111</v>
      </c>
      <c r="C66" s="3">
        <v>134762245</v>
      </c>
      <c r="D66" s="3">
        <v>3</v>
      </c>
      <c r="E66" s="4" t="s">
        <v>803</v>
      </c>
      <c r="F66" s="4" t="s">
        <v>10</v>
      </c>
      <c r="G66" s="5" t="s">
        <v>28</v>
      </c>
      <c r="H66" s="6">
        <v>693.75</v>
      </c>
    </row>
    <row r="67" spans="1:8" ht="20.100000000000001" customHeight="1" x14ac:dyDescent="0.25">
      <c r="A67" s="74"/>
      <c r="B67" s="2">
        <v>45114</v>
      </c>
      <c r="C67" s="3" t="s">
        <v>13</v>
      </c>
      <c r="D67" s="3">
        <v>1</v>
      </c>
      <c r="E67" s="4" t="s">
        <v>117</v>
      </c>
      <c r="F67" s="4" t="s">
        <v>10</v>
      </c>
      <c r="G67" s="5" t="s">
        <v>14</v>
      </c>
      <c r="H67" s="6">
        <v>50</v>
      </c>
    </row>
    <row r="68" spans="1:8" ht="20.100000000000001" customHeight="1" x14ac:dyDescent="0.25">
      <c r="A68" s="74"/>
      <c r="B68" s="2">
        <v>45114</v>
      </c>
      <c r="C68" s="3" t="s">
        <v>13</v>
      </c>
      <c r="D68" s="3">
        <v>1</v>
      </c>
      <c r="E68" s="4" t="s">
        <v>117</v>
      </c>
      <c r="F68" s="4" t="s">
        <v>12</v>
      </c>
      <c r="G68" s="5" t="s">
        <v>14</v>
      </c>
      <c r="H68" s="6">
        <v>50</v>
      </c>
    </row>
    <row r="69" spans="1:8" ht="20.100000000000001" customHeight="1" x14ac:dyDescent="0.25">
      <c r="A69" s="74"/>
      <c r="B69" s="2">
        <v>45114</v>
      </c>
      <c r="C69" s="3" t="s">
        <v>13</v>
      </c>
      <c r="D69" s="3">
        <v>1</v>
      </c>
      <c r="E69" s="4" t="s">
        <v>117</v>
      </c>
      <c r="F69" s="4" t="s">
        <v>75</v>
      </c>
      <c r="G69" s="5" t="s">
        <v>14</v>
      </c>
      <c r="H69" s="6">
        <v>50</v>
      </c>
    </row>
    <row r="70" spans="1:8" ht="20.100000000000001" customHeight="1" x14ac:dyDescent="0.25">
      <c r="A70" s="74"/>
      <c r="B70" s="2">
        <v>45117</v>
      </c>
      <c r="C70" s="3">
        <v>2305114772</v>
      </c>
      <c r="D70" s="3">
        <v>4</v>
      </c>
      <c r="E70" s="4" t="s">
        <v>804</v>
      </c>
      <c r="F70" s="4" t="s">
        <v>713</v>
      </c>
      <c r="G70" s="5" t="s">
        <v>7</v>
      </c>
      <c r="H70" s="6">
        <v>850</v>
      </c>
    </row>
    <row r="71" spans="1:8" ht="20.100000000000001" customHeight="1" x14ac:dyDescent="0.25">
      <c r="A71" s="74"/>
      <c r="B71" s="2">
        <v>45117</v>
      </c>
      <c r="C71" s="3">
        <v>2305114772</v>
      </c>
      <c r="D71" s="3">
        <v>4</v>
      </c>
      <c r="E71" s="4" t="s">
        <v>805</v>
      </c>
      <c r="F71" s="4" t="s">
        <v>806</v>
      </c>
      <c r="G71" s="5" t="s">
        <v>7</v>
      </c>
      <c r="H71" s="6">
        <v>1000</v>
      </c>
    </row>
    <row r="72" spans="1:8" ht="20.100000000000001" customHeight="1" x14ac:dyDescent="0.25">
      <c r="A72" s="74"/>
      <c r="B72" s="2">
        <v>45119</v>
      </c>
      <c r="C72" s="3">
        <v>3642902293</v>
      </c>
      <c r="D72" s="3">
        <v>4</v>
      </c>
      <c r="E72" s="4" t="s">
        <v>807</v>
      </c>
      <c r="F72" s="4" t="s">
        <v>549</v>
      </c>
      <c r="G72" s="5" t="s">
        <v>6</v>
      </c>
      <c r="H72" s="6">
        <v>1250</v>
      </c>
    </row>
    <row r="73" spans="1:8" ht="20.100000000000001" customHeight="1" x14ac:dyDescent="0.25">
      <c r="A73" s="74"/>
      <c r="B73" s="2">
        <v>45119</v>
      </c>
      <c r="C73" s="3">
        <v>3642902293</v>
      </c>
      <c r="D73" s="3">
        <v>4</v>
      </c>
      <c r="E73" s="4" t="s">
        <v>807</v>
      </c>
      <c r="F73" s="4" t="s">
        <v>10</v>
      </c>
      <c r="G73" s="5" t="s">
        <v>6</v>
      </c>
      <c r="H73" s="6">
        <v>925</v>
      </c>
    </row>
    <row r="74" spans="1:8" ht="20.100000000000001" customHeight="1" x14ac:dyDescent="0.25">
      <c r="A74" s="74"/>
      <c r="B74" s="2">
        <v>45119</v>
      </c>
      <c r="C74" s="3">
        <v>3642902293</v>
      </c>
      <c r="D74" s="3">
        <v>4</v>
      </c>
      <c r="E74" s="4" t="s">
        <v>807</v>
      </c>
      <c r="F74" s="4" t="s">
        <v>808</v>
      </c>
      <c r="G74" s="5" t="s">
        <v>6</v>
      </c>
      <c r="H74" s="6">
        <v>700</v>
      </c>
    </row>
    <row r="75" spans="1:8" ht="20.100000000000001" customHeight="1" x14ac:dyDescent="0.25">
      <c r="A75" s="74"/>
      <c r="B75" s="2">
        <v>45126</v>
      </c>
      <c r="C75" s="3">
        <v>3241168669</v>
      </c>
      <c r="D75" s="3">
        <v>4</v>
      </c>
      <c r="E75" s="4" t="s">
        <v>809</v>
      </c>
      <c r="F75" s="4" t="s">
        <v>810</v>
      </c>
      <c r="G75" s="5" t="s">
        <v>7</v>
      </c>
      <c r="H75" s="6">
        <v>550</v>
      </c>
    </row>
    <row r="76" spans="1:8" ht="20.100000000000001" customHeight="1" x14ac:dyDescent="0.25">
      <c r="A76" s="74"/>
      <c r="B76" s="2">
        <v>45126</v>
      </c>
      <c r="C76" s="3">
        <v>3241168669</v>
      </c>
      <c r="D76" s="3">
        <v>4</v>
      </c>
      <c r="E76" s="4" t="s">
        <v>809</v>
      </c>
      <c r="F76" s="4" t="s">
        <v>12</v>
      </c>
      <c r="G76" s="5" t="s">
        <v>7</v>
      </c>
      <c r="H76" s="6">
        <v>700</v>
      </c>
    </row>
    <row r="77" spans="1:8" ht="20.100000000000001" customHeight="1" x14ac:dyDescent="0.25">
      <c r="A77" s="74"/>
      <c r="B77" s="2">
        <v>45126</v>
      </c>
      <c r="C77" s="3">
        <v>3241168669</v>
      </c>
      <c r="D77" s="3">
        <v>4</v>
      </c>
      <c r="E77" s="4" t="s">
        <v>809</v>
      </c>
      <c r="F77" s="4" t="s">
        <v>806</v>
      </c>
      <c r="G77" s="5" t="s">
        <v>7</v>
      </c>
      <c r="H77" s="6">
        <v>975</v>
      </c>
    </row>
    <row r="78" spans="1:8" ht="20.100000000000001" customHeight="1" x14ac:dyDescent="0.25">
      <c r="A78" s="74"/>
      <c r="B78" s="2">
        <v>45128</v>
      </c>
      <c r="C78" s="3">
        <v>4130555284</v>
      </c>
      <c r="D78" s="3">
        <v>4</v>
      </c>
      <c r="E78" s="4" t="s">
        <v>811</v>
      </c>
      <c r="F78" s="4" t="s">
        <v>17</v>
      </c>
      <c r="G78" s="5" t="s">
        <v>28</v>
      </c>
      <c r="H78" s="6">
        <v>780</v>
      </c>
    </row>
    <row r="79" spans="1:8" ht="20.100000000000001" customHeight="1" x14ac:dyDescent="0.25">
      <c r="A79" s="74"/>
      <c r="B79" s="2">
        <v>45128</v>
      </c>
      <c r="C79" s="3">
        <v>4130555284</v>
      </c>
      <c r="D79" s="3">
        <v>4</v>
      </c>
      <c r="E79" s="4" t="s">
        <v>811</v>
      </c>
      <c r="F79" s="4" t="s">
        <v>549</v>
      </c>
      <c r="G79" s="5" t="s">
        <v>28</v>
      </c>
      <c r="H79" s="6">
        <v>1250</v>
      </c>
    </row>
    <row r="80" spans="1:8" ht="20.100000000000001" customHeight="1" x14ac:dyDescent="0.25">
      <c r="A80" s="74"/>
      <c r="B80" s="2">
        <v>45128</v>
      </c>
      <c r="C80" s="3">
        <v>4130555284</v>
      </c>
      <c r="D80" s="3">
        <v>4</v>
      </c>
      <c r="E80" s="4" t="s">
        <v>811</v>
      </c>
      <c r="F80" s="4" t="s">
        <v>12</v>
      </c>
      <c r="G80" s="5" t="s">
        <v>28</v>
      </c>
      <c r="H80" s="6">
        <v>700</v>
      </c>
    </row>
    <row r="81" spans="1:8" ht="20.100000000000001" customHeight="1" x14ac:dyDescent="0.25">
      <c r="A81" s="74"/>
      <c r="B81" s="2">
        <v>45128</v>
      </c>
      <c r="C81" s="3">
        <v>4130555284</v>
      </c>
      <c r="D81" s="3">
        <v>4</v>
      </c>
      <c r="E81" s="4" t="s">
        <v>811</v>
      </c>
      <c r="F81" s="4" t="s">
        <v>623</v>
      </c>
      <c r="G81" s="5" t="s">
        <v>28</v>
      </c>
      <c r="H81" s="6">
        <v>1000</v>
      </c>
    </row>
    <row r="82" spans="1:8" ht="15.75" x14ac:dyDescent="0.25">
      <c r="A82" s="74"/>
      <c r="B82" s="2">
        <v>45128</v>
      </c>
      <c r="C82" s="3">
        <v>4130555284</v>
      </c>
      <c r="D82" s="3">
        <v>4</v>
      </c>
      <c r="E82" s="4" t="s">
        <v>811</v>
      </c>
      <c r="F82" s="4" t="s">
        <v>10</v>
      </c>
      <c r="G82" s="5" t="s">
        <v>28</v>
      </c>
      <c r="H82" s="6">
        <v>925</v>
      </c>
    </row>
    <row r="83" spans="1:8" ht="20.100000000000001" customHeight="1" x14ac:dyDescent="0.25">
      <c r="A83" s="74"/>
      <c r="B83" s="2">
        <v>45133</v>
      </c>
      <c r="C83" s="3">
        <v>4099622341</v>
      </c>
      <c r="D83" s="3">
        <v>2</v>
      </c>
      <c r="E83" s="4" t="s">
        <v>357</v>
      </c>
      <c r="F83" s="4" t="s">
        <v>806</v>
      </c>
      <c r="G83" s="5" t="s">
        <v>7</v>
      </c>
      <c r="H83" s="6">
        <v>480</v>
      </c>
    </row>
    <row r="84" spans="1:8" ht="20.100000000000001" customHeight="1" x14ac:dyDescent="0.25">
      <c r="A84" s="74"/>
      <c r="B84" s="2">
        <v>45147</v>
      </c>
      <c r="C84" s="3">
        <v>4044178983</v>
      </c>
      <c r="D84" s="3">
        <v>1</v>
      </c>
      <c r="E84" s="4" t="s">
        <v>264</v>
      </c>
      <c r="F84" s="4" t="s">
        <v>12</v>
      </c>
      <c r="G84" s="5" t="s">
        <v>6</v>
      </c>
      <c r="H84" s="6">
        <v>175</v>
      </c>
    </row>
    <row r="85" spans="1:8" ht="20.100000000000001" customHeight="1" x14ac:dyDescent="0.25">
      <c r="A85" s="74"/>
      <c r="B85" s="2">
        <v>45156</v>
      </c>
      <c r="C85" s="3" t="s">
        <v>13</v>
      </c>
      <c r="D85" s="3">
        <v>1</v>
      </c>
      <c r="E85" s="4" t="s">
        <v>117</v>
      </c>
      <c r="F85" s="4" t="s">
        <v>10</v>
      </c>
      <c r="G85" s="5" t="s">
        <v>14</v>
      </c>
      <c r="H85" s="6">
        <v>50</v>
      </c>
    </row>
    <row r="86" spans="1:8" ht="20.100000000000001" customHeight="1" x14ac:dyDescent="0.25">
      <c r="A86" s="74"/>
      <c r="B86" s="2">
        <v>45156</v>
      </c>
      <c r="C86" s="3" t="s">
        <v>13</v>
      </c>
      <c r="D86" s="3">
        <v>1</v>
      </c>
      <c r="E86" s="4" t="s">
        <v>117</v>
      </c>
      <c r="F86" s="4" t="s">
        <v>12</v>
      </c>
      <c r="G86" s="5" t="s">
        <v>14</v>
      </c>
      <c r="H86" s="6">
        <v>50</v>
      </c>
    </row>
    <row r="87" spans="1:8" ht="20.100000000000001" customHeight="1" x14ac:dyDescent="0.25">
      <c r="A87" s="74"/>
      <c r="B87" s="2">
        <v>45156</v>
      </c>
      <c r="C87" s="3" t="s">
        <v>13</v>
      </c>
      <c r="D87" s="3">
        <v>1</v>
      </c>
      <c r="E87" s="4" t="s">
        <v>117</v>
      </c>
      <c r="F87" s="4" t="s">
        <v>75</v>
      </c>
      <c r="G87" s="5" t="s">
        <v>14</v>
      </c>
      <c r="H87" s="6">
        <v>50</v>
      </c>
    </row>
    <row r="88" spans="1:8" ht="20.100000000000001" customHeight="1" x14ac:dyDescent="0.25">
      <c r="A88" s="74"/>
      <c r="B88" s="2">
        <v>45159</v>
      </c>
      <c r="C88" s="3">
        <v>1710833804</v>
      </c>
      <c r="D88" s="3">
        <v>4</v>
      </c>
      <c r="E88" s="4" t="s">
        <v>956</v>
      </c>
      <c r="F88" s="4" t="s">
        <v>12</v>
      </c>
      <c r="G88" s="5" t="s">
        <v>28</v>
      </c>
      <c r="H88" s="6">
        <v>700</v>
      </c>
    </row>
    <row r="89" spans="1:8" ht="20.100000000000001" customHeight="1" x14ac:dyDescent="0.25">
      <c r="A89" s="74"/>
      <c r="B89" s="2">
        <v>45159</v>
      </c>
      <c r="C89" s="3">
        <v>1710833804</v>
      </c>
      <c r="D89" s="3">
        <v>4</v>
      </c>
      <c r="E89" s="4" t="s">
        <v>956</v>
      </c>
      <c r="F89" s="4" t="s">
        <v>957</v>
      </c>
      <c r="G89" s="5" t="s">
        <v>28</v>
      </c>
      <c r="H89" s="6">
        <v>500</v>
      </c>
    </row>
    <row r="90" spans="1:8" ht="20.100000000000001" customHeight="1" x14ac:dyDescent="0.25">
      <c r="A90" s="74"/>
      <c r="B90" s="2">
        <v>45161</v>
      </c>
      <c r="C90" s="3">
        <v>763053002</v>
      </c>
      <c r="D90" s="3">
        <v>1</v>
      </c>
      <c r="E90" s="4" t="s">
        <v>264</v>
      </c>
      <c r="F90" s="4" t="s">
        <v>10</v>
      </c>
      <c r="G90" s="5" t="s">
        <v>6</v>
      </c>
      <c r="H90" s="6">
        <v>231.25</v>
      </c>
    </row>
    <row r="91" spans="1:8" ht="20.100000000000001" customHeight="1" x14ac:dyDescent="0.25">
      <c r="A91" s="74"/>
      <c r="B91" s="2">
        <v>45168</v>
      </c>
      <c r="C91" s="3">
        <v>3956296714</v>
      </c>
      <c r="D91" s="3">
        <v>4</v>
      </c>
      <c r="E91" s="4" t="s">
        <v>958</v>
      </c>
      <c r="F91" s="4" t="s">
        <v>959</v>
      </c>
      <c r="G91" s="5" t="s">
        <v>7</v>
      </c>
      <c r="H91" s="6">
        <v>600</v>
      </c>
    </row>
    <row r="92" spans="1:8" ht="20.100000000000001" customHeight="1" x14ac:dyDescent="0.25">
      <c r="A92" s="74"/>
      <c r="B92" s="2">
        <v>45169</v>
      </c>
      <c r="C92" s="3">
        <v>3386526172</v>
      </c>
      <c r="D92" s="3">
        <v>4</v>
      </c>
      <c r="E92" s="4" t="s">
        <v>960</v>
      </c>
      <c r="F92" s="4" t="s">
        <v>961</v>
      </c>
      <c r="G92" s="5" t="s">
        <v>7</v>
      </c>
      <c r="H92" s="6">
        <v>950</v>
      </c>
    </row>
    <row r="93" spans="1:8" ht="20.100000000000001" customHeight="1" x14ac:dyDescent="0.25">
      <c r="A93" s="74"/>
      <c r="B93" s="2">
        <v>45169</v>
      </c>
      <c r="C93" s="3">
        <v>3386526172</v>
      </c>
      <c r="D93" s="3">
        <v>4</v>
      </c>
      <c r="E93" s="4" t="s">
        <v>960</v>
      </c>
      <c r="F93" s="4" t="s">
        <v>962</v>
      </c>
      <c r="G93" s="5" t="s">
        <v>7</v>
      </c>
      <c r="H93" s="6">
        <v>700</v>
      </c>
    </row>
    <row r="94" spans="1:8" ht="20.100000000000001" customHeight="1" x14ac:dyDescent="0.25">
      <c r="A94" s="74"/>
      <c r="B94" s="2"/>
      <c r="C94" s="3"/>
      <c r="D94" s="3"/>
      <c r="E94" s="4"/>
      <c r="F94" s="4"/>
      <c r="G94" s="5"/>
      <c r="H94" s="6"/>
    </row>
    <row r="95" spans="1:8" ht="20.100000000000001" customHeight="1" x14ac:dyDescent="0.25">
      <c r="A95" s="74"/>
      <c r="B95" s="2"/>
      <c r="C95" s="3"/>
      <c r="D95" s="3"/>
      <c r="E95" s="4"/>
      <c r="F95" s="4"/>
      <c r="G95" s="5"/>
      <c r="H95" s="6"/>
    </row>
    <row r="96" spans="1:8" ht="20.100000000000001" customHeight="1" x14ac:dyDescent="0.25">
      <c r="A96" s="74"/>
      <c r="B96" s="2"/>
      <c r="C96" s="3"/>
      <c r="D96" s="3"/>
      <c r="E96" s="4"/>
      <c r="F96" s="4"/>
      <c r="G96" s="5"/>
      <c r="H96" s="6"/>
    </row>
    <row r="97" spans="1:8" ht="20.100000000000001" customHeight="1" x14ac:dyDescent="0.25">
      <c r="A97" s="74"/>
      <c r="B97" s="2"/>
      <c r="C97" s="3"/>
      <c r="D97" s="3"/>
      <c r="E97" s="4"/>
      <c r="F97" s="4"/>
      <c r="G97" s="5"/>
      <c r="H97" s="6"/>
    </row>
    <row r="98" spans="1:8" ht="20.100000000000001" customHeight="1" x14ac:dyDescent="0.25">
      <c r="A98" s="74"/>
      <c r="B98" s="2">
        <v>45176</v>
      </c>
      <c r="C98" s="3">
        <v>591152173</v>
      </c>
      <c r="D98" s="3">
        <v>4</v>
      </c>
      <c r="E98" s="4" t="s">
        <v>1037</v>
      </c>
      <c r="F98" s="4" t="s">
        <v>10</v>
      </c>
      <c r="G98" s="5" t="s">
        <v>7</v>
      </c>
      <c r="H98" s="6">
        <v>925</v>
      </c>
    </row>
    <row r="99" spans="1:8" ht="20.100000000000001" customHeight="1" x14ac:dyDescent="0.25">
      <c r="A99" s="74"/>
      <c r="B99" s="2">
        <v>45182</v>
      </c>
      <c r="C99" s="3">
        <v>3396158071</v>
      </c>
      <c r="D99" s="3">
        <v>1</v>
      </c>
      <c r="E99" s="4" t="s">
        <v>1038</v>
      </c>
      <c r="F99" s="4" t="s">
        <v>1039</v>
      </c>
      <c r="G99" s="5" t="s">
        <v>6</v>
      </c>
      <c r="H99" s="6">
        <v>175</v>
      </c>
    </row>
    <row r="100" spans="1:8" ht="20.100000000000001" customHeight="1" x14ac:dyDescent="0.25">
      <c r="A100" s="74"/>
      <c r="B100" s="2">
        <v>45190</v>
      </c>
      <c r="C100" s="3">
        <v>4263986259</v>
      </c>
      <c r="D100" s="3">
        <v>2</v>
      </c>
      <c r="E100" s="4" t="s">
        <v>1040</v>
      </c>
      <c r="F100" s="4" t="s">
        <v>962</v>
      </c>
      <c r="G100" s="5" t="s">
        <v>7</v>
      </c>
      <c r="H100" s="6">
        <v>350</v>
      </c>
    </row>
    <row r="101" spans="1:8" ht="20.100000000000001" customHeight="1" x14ac:dyDescent="0.25">
      <c r="A101" s="74"/>
      <c r="B101" s="2">
        <v>45190</v>
      </c>
      <c r="C101" s="3">
        <v>4263986259</v>
      </c>
      <c r="D101" s="3">
        <v>2</v>
      </c>
      <c r="E101" s="4" t="s">
        <v>1040</v>
      </c>
      <c r="F101" s="4" t="s">
        <v>1041</v>
      </c>
      <c r="G101" s="5" t="s">
        <v>7</v>
      </c>
      <c r="H101" s="6">
        <v>625</v>
      </c>
    </row>
    <row r="102" spans="1:8" ht="20.100000000000001" customHeight="1" x14ac:dyDescent="0.25">
      <c r="A102" s="74"/>
      <c r="B102" s="2">
        <v>45190</v>
      </c>
      <c r="C102" s="3">
        <v>4263986259</v>
      </c>
      <c r="D102" s="3">
        <v>2</v>
      </c>
      <c r="E102" s="4" t="s">
        <v>1040</v>
      </c>
      <c r="F102" s="4" t="s">
        <v>10</v>
      </c>
      <c r="G102" s="5" t="s">
        <v>7</v>
      </c>
      <c r="H102" s="6">
        <v>462.5</v>
      </c>
    </row>
    <row r="103" spans="1:8" ht="20.100000000000001" customHeight="1" x14ac:dyDescent="0.25">
      <c r="A103" s="74"/>
      <c r="B103" s="2">
        <v>45195</v>
      </c>
      <c r="C103" s="3">
        <v>2847885920</v>
      </c>
      <c r="D103" s="3">
        <v>2</v>
      </c>
      <c r="E103" s="4" t="s">
        <v>1042</v>
      </c>
      <c r="F103" s="4" t="s">
        <v>962</v>
      </c>
      <c r="G103" s="5" t="s">
        <v>28</v>
      </c>
      <c r="H103" s="6">
        <v>350</v>
      </c>
    </row>
    <row r="104" spans="1:8" ht="20.100000000000001" customHeight="1" x14ac:dyDescent="0.25">
      <c r="A104" s="74"/>
      <c r="B104" s="2">
        <v>45195</v>
      </c>
      <c r="C104" s="3">
        <v>2847885920</v>
      </c>
      <c r="D104" s="3">
        <v>2</v>
      </c>
      <c r="E104" s="4" t="s">
        <v>1042</v>
      </c>
      <c r="F104" s="4" t="s">
        <v>10</v>
      </c>
      <c r="G104" s="5" t="s">
        <v>28</v>
      </c>
      <c r="H104" s="6">
        <v>462.5</v>
      </c>
    </row>
    <row r="105" spans="1:8" ht="20.100000000000001" customHeight="1" x14ac:dyDescent="0.25">
      <c r="A105" s="74"/>
      <c r="B105" s="2">
        <v>45195</v>
      </c>
      <c r="C105" s="3">
        <v>2847885920</v>
      </c>
      <c r="D105" s="3">
        <v>2</v>
      </c>
      <c r="E105" s="4" t="s">
        <v>1042</v>
      </c>
      <c r="F105" s="4" t="s">
        <v>75</v>
      </c>
      <c r="G105" s="5" t="s">
        <v>28</v>
      </c>
      <c r="H105" s="6">
        <v>300</v>
      </c>
    </row>
    <row r="106" spans="1:8" ht="20.100000000000001" customHeight="1" x14ac:dyDescent="0.25">
      <c r="A106" s="74"/>
      <c r="B106" s="2">
        <v>45195</v>
      </c>
      <c r="C106" s="3">
        <v>2847885920</v>
      </c>
      <c r="D106" s="3">
        <v>2</v>
      </c>
      <c r="E106" s="4" t="s">
        <v>1042</v>
      </c>
      <c r="F106" s="4" t="s">
        <v>1041</v>
      </c>
      <c r="G106" s="5" t="s">
        <v>28</v>
      </c>
      <c r="H106" s="6">
        <v>500</v>
      </c>
    </row>
    <row r="107" spans="1:8" ht="20.100000000000001" customHeight="1" x14ac:dyDescent="0.25">
      <c r="A107" s="74"/>
      <c r="B107" s="2">
        <v>45195</v>
      </c>
      <c r="C107" s="3">
        <v>2815049985</v>
      </c>
      <c r="D107" s="3">
        <v>1</v>
      </c>
      <c r="E107" s="4" t="s">
        <v>1043</v>
      </c>
      <c r="F107" s="4" t="s">
        <v>10</v>
      </c>
      <c r="G107" s="5" t="s">
        <v>6</v>
      </c>
      <c r="H107" s="6">
        <v>264.5</v>
      </c>
    </row>
    <row r="108" spans="1:8" ht="20.100000000000001" customHeight="1" x14ac:dyDescent="0.25">
      <c r="A108" s="74"/>
      <c r="B108" s="2">
        <v>45195</v>
      </c>
      <c r="C108" s="3">
        <v>2815049985</v>
      </c>
      <c r="D108" s="3">
        <v>1</v>
      </c>
      <c r="E108" s="4" t="s">
        <v>1043</v>
      </c>
      <c r="F108" s="4" t="s">
        <v>962</v>
      </c>
      <c r="G108" s="5" t="s">
        <v>6</v>
      </c>
      <c r="H108" s="6">
        <v>264.5</v>
      </c>
    </row>
    <row r="109" spans="1:8" ht="20.100000000000001" customHeight="1" x14ac:dyDescent="0.25">
      <c r="A109" s="74"/>
      <c r="B109" s="2">
        <v>45196</v>
      </c>
      <c r="C109" s="3">
        <v>2906803208</v>
      </c>
      <c r="D109" s="3">
        <v>4</v>
      </c>
      <c r="E109" s="4" t="s">
        <v>1019</v>
      </c>
      <c r="F109" s="4" t="s">
        <v>1044</v>
      </c>
      <c r="G109" s="5" t="s">
        <v>7</v>
      </c>
      <c r="H109" s="6">
        <v>925</v>
      </c>
    </row>
    <row r="110" spans="1:8" ht="20.100000000000001" customHeight="1" x14ac:dyDescent="0.25">
      <c r="A110" s="74"/>
      <c r="B110" s="2">
        <v>45204</v>
      </c>
      <c r="C110" s="3">
        <v>3897115408</v>
      </c>
      <c r="D110" s="3">
        <v>8</v>
      </c>
      <c r="E110" s="4" t="s">
        <v>1130</v>
      </c>
      <c r="F110" s="4" t="s">
        <v>1135</v>
      </c>
      <c r="G110" s="5" t="s">
        <v>7</v>
      </c>
      <c r="H110" s="6">
        <v>1250</v>
      </c>
    </row>
    <row r="111" spans="1:8" ht="20.100000000000001" customHeight="1" x14ac:dyDescent="0.25">
      <c r="A111" s="74"/>
      <c r="B111" s="2">
        <v>45205</v>
      </c>
      <c r="C111" s="3">
        <v>2904575503</v>
      </c>
      <c r="D111" s="3">
        <v>4</v>
      </c>
      <c r="E111" s="4" t="s">
        <v>1131</v>
      </c>
      <c r="F111" s="4" t="s">
        <v>1136</v>
      </c>
      <c r="G111" s="5" t="s">
        <v>28</v>
      </c>
      <c r="H111" s="6">
        <v>1000</v>
      </c>
    </row>
    <row r="112" spans="1:8" ht="20.100000000000001" customHeight="1" x14ac:dyDescent="0.25">
      <c r="A112" s="74"/>
      <c r="B112" s="2">
        <v>45216</v>
      </c>
      <c r="C112" s="3">
        <v>376062546</v>
      </c>
      <c r="D112" s="3">
        <v>1</v>
      </c>
      <c r="E112" s="4" t="s">
        <v>1132</v>
      </c>
      <c r="F112" s="4" t="s">
        <v>1137</v>
      </c>
      <c r="G112" s="5" t="s">
        <v>6</v>
      </c>
      <c r="H112" s="6">
        <v>175</v>
      </c>
    </row>
    <row r="113" spans="1:8" ht="20.100000000000001" customHeight="1" x14ac:dyDescent="0.25">
      <c r="A113" s="74"/>
      <c r="B113" s="2">
        <v>45216</v>
      </c>
      <c r="C113" s="3">
        <v>376062546</v>
      </c>
      <c r="D113" s="3">
        <v>1</v>
      </c>
      <c r="E113" s="4" t="s">
        <v>1132</v>
      </c>
      <c r="F113" s="4" t="s">
        <v>1138</v>
      </c>
      <c r="G113" s="5" t="s">
        <v>6</v>
      </c>
      <c r="H113" s="6">
        <v>231.25</v>
      </c>
    </row>
    <row r="114" spans="1:8" ht="20.100000000000001" customHeight="1" x14ac:dyDescent="0.25">
      <c r="A114" s="74"/>
      <c r="B114" s="2">
        <v>45218</v>
      </c>
      <c r="C114" s="3">
        <v>2789951382</v>
      </c>
      <c r="D114" s="3">
        <v>4</v>
      </c>
      <c r="E114" s="4" t="s">
        <v>1133</v>
      </c>
      <c r="F114" s="4" t="s">
        <v>75</v>
      </c>
      <c r="G114" s="5" t="s">
        <v>28</v>
      </c>
      <c r="H114" s="6">
        <v>700</v>
      </c>
    </row>
    <row r="115" spans="1:8" ht="20.100000000000001" customHeight="1" x14ac:dyDescent="0.25">
      <c r="A115" s="74"/>
      <c r="B115" s="2">
        <v>45218</v>
      </c>
      <c r="C115" s="3">
        <v>2789951382</v>
      </c>
      <c r="D115" s="3">
        <v>5</v>
      </c>
      <c r="E115" s="4" t="s">
        <v>1133</v>
      </c>
      <c r="F115" s="4" t="s">
        <v>962</v>
      </c>
      <c r="G115" s="5" t="s">
        <v>28</v>
      </c>
      <c r="H115" s="6">
        <v>830</v>
      </c>
    </row>
    <row r="116" spans="1:8" ht="20.100000000000001" customHeight="1" x14ac:dyDescent="0.25">
      <c r="A116" s="74"/>
      <c r="B116" s="2">
        <v>45218</v>
      </c>
      <c r="C116" s="3">
        <v>2789951382</v>
      </c>
      <c r="D116" s="3">
        <v>1</v>
      </c>
      <c r="E116" s="4" t="s">
        <v>1133</v>
      </c>
      <c r="F116" s="4" t="s">
        <v>962</v>
      </c>
      <c r="G116" s="5" t="s">
        <v>28</v>
      </c>
      <c r="H116" s="6">
        <v>170</v>
      </c>
    </row>
    <row r="117" spans="1:8" ht="20.100000000000001" customHeight="1" x14ac:dyDescent="0.25">
      <c r="A117" s="74"/>
      <c r="B117" s="2">
        <v>45218</v>
      </c>
      <c r="C117" s="3">
        <v>2789951382</v>
      </c>
      <c r="D117" s="3">
        <v>5</v>
      </c>
      <c r="E117" s="4" t="s">
        <v>1133</v>
      </c>
      <c r="F117" s="4" t="s">
        <v>1139</v>
      </c>
      <c r="G117" s="5" t="s">
        <v>28</v>
      </c>
      <c r="H117" s="6">
        <v>1315</v>
      </c>
    </row>
    <row r="118" spans="1:8" ht="20.100000000000001" customHeight="1" x14ac:dyDescent="0.25">
      <c r="A118" s="74"/>
      <c r="B118" s="2">
        <v>45218</v>
      </c>
      <c r="C118" s="3">
        <v>2789951382</v>
      </c>
      <c r="D118" s="3">
        <v>1</v>
      </c>
      <c r="E118" s="4" t="s">
        <v>1133</v>
      </c>
      <c r="F118" s="4" t="s">
        <v>1139</v>
      </c>
      <c r="G118" s="5" t="s">
        <v>28</v>
      </c>
      <c r="H118" s="6">
        <v>265</v>
      </c>
    </row>
    <row r="119" spans="1:8" ht="15.75" x14ac:dyDescent="0.25">
      <c r="A119" s="74"/>
      <c r="B119" s="2">
        <v>45224</v>
      </c>
      <c r="C119" s="3">
        <v>2279293907</v>
      </c>
      <c r="D119" s="3">
        <v>8</v>
      </c>
      <c r="E119" s="4" t="s">
        <v>1122</v>
      </c>
      <c r="F119" s="4" t="s">
        <v>10</v>
      </c>
      <c r="G119" s="5" t="s">
        <v>14</v>
      </c>
      <c r="H119" s="6">
        <v>1300</v>
      </c>
    </row>
    <row r="120" spans="1:8" ht="21.75" customHeight="1" x14ac:dyDescent="0.25">
      <c r="A120" s="74"/>
      <c r="B120" s="2">
        <v>45224</v>
      </c>
      <c r="C120" s="3">
        <v>2279293907</v>
      </c>
      <c r="D120" s="3">
        <v>8</v>
      </c>
      <c r="E120" s="4" t="s">
        <v>1122</v>
      </c>
      <c r="F120" s="4" t="s">
        <v>962</v>
      </c>
      <c r="G120" s="5" t="s">
        <v>14</v>
      </c>
      <c r="H120" s="6">
        <v>1280</v>
      </c>
    </row>
    <row r="121" spans="1:8" ht="20.100000000000001" customHeight="1" x14ac:dyDescent="0.25">
      <c r="A121" s="74"/>
      <c r="B121" s="2">
        <v>45224</v>
      </c>
      <c r="C121" s="3">
        <v>2279293907</v>
      </c>
      <c r="D121" s="3">
        <v>8</v>
      </c>
      <c r="E121" s="4" t="s">
        <v>1123</v>
      </c>
      <c r="F121" s="4" t="s">
        <v>10</v>
      </c>
      <c r="G121" s="5" t="s">
        <v>14</v>
      </c>
      <c r="H121" s="6">
        <v>1300</v>
      </c>
    </row>
    <row r="122" spans="1:8" ht="20.100000000000001" customHeight="1" x14ac:dyDescent="0.25">
      <c r="A122" s="74"/>
      <c r="B122" s="2">
        <v>45224</v>
      </c>
      <c r="C122" s="3">
        <v>2279293907</v>
      </c>
      <c r="D122" s="3">
        <v>8</v>
      </c>
      <c r="E122" s="4" t="s">
        <v>1123</v>
      </c>
      <c r="F122" s="4" t="s">
        <v>962</v>
      </c>
      <c r="G122" s="5" t="s">
        <v>14</v>
      </c>
      <c r="H122" s="6">
        <v>1280</v>
      </c>
    </row>
    <row r="123" spans="1:8" ht="20.100000000000001" customHeight="1" x14ac:dyDescent="0.25">
      <c r="A123" s="74"/>
      <c r="B123" s="2">
        <v>45229</v>
      </c>
      <c r="C123" s="3">
        <v>1425753197</v>
      </c>
      <c r="D123" s="3">
        <v>5</v>
      </c>
      <c r="E123" s="4" t="s">
        <v>1134</v>
      </c>
      <c r="F123" s="4" t="s">
        <v>1139</v>
      </c>
      <c r="G123" s="5" t="s">
        <v>11</v>
      </c>
      <c r="H123" s="6">
        <v>1125</v>
      </c>
    </row>
    <row r="124" spans="1:8" ht="20.100000000000001" customHeight="1" x14ac:dyDescent="0.25">
      <c r="A124" s="74"/>
      <c r="B124" s="2">
        <v>45229</v>
      </c>
      <c r="C124" s="3">
        <v>1425753197</v>
      </c>
      <c r="D124" s="3">
        <v>5</v>
      </c>
      <c r="E124" s="4" t="s">
        <v>1134</v>
      </c>
      <c r="F124" s="4" t="s">
        <v>962</v>
      </c>
      <c r="G124" s="5" t="s">
        <v>11</v>
      </c>
      <c r="H124" s="6">
        <v>1000</v>
      </c>
    </row>
    <row r="125" spans="1:8" ht="20.100000000000001" customHeight="1" x14ac:dyDescent="0.25">
      <c r="A125" s="74"/>
      <c r="B125" s="2">
        <v>45230</v>
      </c>
      <c r="C125" s="3">
        <v>434261012</v>
      </c>
      <c r="D125" s="3">
        <v>4</v>
      </c>
      <c r="E125" s="4" t="s">
        <v>1134</v>
      </c>
      <c r="F125" s="4" t="s">
        <v>1140</v>
      </c>
      <c r="G125" s="5" t="s">
        <v>6</v>
      </c>
      <c r="H125" s="6">
        <v>500</v>
      </c>
    </row>
    <row r="126" spans="1:8" ht="20.100000000000001" customHeight="1" x14ac:dyDescent="0.25">
      <c r="A126" s="74"/>
      <c r="B126" s="2">
        <v>45240</v>
      </c>
      <c r="C126" s="3">
        <v>3903341860</v>
      </c>
      <c r="D126" s="3">
        <v>8</v>
      </c>
      <c r="E126" s="4" t="s">
        <v>1101</v>
      </c>
      <c r="F126" s="4" t="s">
        <v>1210</v>
      </c>
      <c r="G126" s="5" t="s">
        <v>7</v>
      </c>
      <c r="H126" s="6">
        <v>1200</v>
      </c>
    </row>
    <row r="127" spans="1:8" ht="20.100000000000001" customHeight="1" x14ac:dyDescent="0.25">
      <c r="A127" s="74"/>
      <c r="B127" s="2">
        <v>45250</v>
      </c>
      <c r="C127" s="3">
        <v>3581954301</v>
      </c>
      <c r="D127" s="3">
        <v>4</v>
      </c>
      <c r="E127" s="4" t="s">
        <v>1265</v>
      </c>
      <c r="F127" s="4" t="s">
        <v>1041</v>
      </c>
      <c r="G127" s="5" t="s">
        <v>14</v>
      </c>
      <c r="H127" s="6">
        <v>1250</v>
      </c>
    </row>
    <row r="128" spans="1:8" ht="20.100000000000001" customHeight="1" x14ac:dyDescent="0.25">
      <c r="A128" s="74"/>
      <c r="B128" s="2">
        <v>45250</v>
      </c>
      <c r="C128" s="3">
        <v>3581954301</v>
      </c>
      <c r="D128" s="3">
        <v>1</v>
      </c>
      <c r="E128" s="4" t="s">
        <v>1265</v>
      </c>
      <c r="F128" s="4" t="s">
        <v>1266</v>
      </c>
      <c r="G128" s="5" t="s">
        <v>14</v>
      </c>
      <c r="H128" s="6">
        <v>250</v>
      </c>
    </row>
    <row r="129" spans="1:8" ht="20.100000000000001" customHeight="1" x14ac:dyDescent="0.25">
      <c r="A129" s="74"/>
      <c r="B129" s="2">
        <v>45250</v>
      </c>
      <c r="C129" s="3">
        <v>3581954301</v>
      </c>
      <c r="D129" s="3">
        <v>3</v>
      </c>
      <c r="E129" s="4" t="s">
        <v>1265</v>
      </c>
      <c r="F129" s="4" t="s">
        <v>1267</v>
      </c>
      <c r="G129" s="5" t="s">
        <v>7</v>
      </c>
      <c r="H129" s="6">
        <v>450</v>
      </c>
    </row>
    <row r="130" spans="1:8" ht="20.100000000000001" customHeight="1" x14ac:dyDescent="0.25">
      <c r="A130" s="74"/>
      <c r="B130" s="2">
        <v>45252</v>
      </c>
      <c r="C130" s="3">
        <v>1293111077</v>
      </c>
      <c r="D130" s="3">
        <v>4</v>
      </c>
      <c r="E130" s="4" t="s">
        <v>1268</v>
      </c>
      <c r="F130" s="4" t="s">
        <v>1269</v>
      </c>
      <c r="G130" s="5" t="s">
        <v>14</v>
      </c>
      <c r="H130" s="6">
        <v>700</v>
      </c>
    </row>
    <row r="131" spans="1:8" ht="20.100000000000001" customHeight="1" x14ac:dyDescent="0.25">
      <c r="A131" s="74"/>
      <c r="B131" s="2">
        <v>45252</v>
      </c>
      <c r="C131" s="3">
        <v>3655028453</v>
      </c>
      <c r="D131" s="3">
        <v>1</v>
      </c>
      <c r="E131" s="4" t="s">
        <v>1270</v>
      </c>
      <c r="F131" s="4" t="s">
        <v>10</v>
      </c>
      <c r="G131" s="5" t="s">
        <v>6</v>
      </c>
      <c r="H131" s="6">
        <v>231.25</v>
      </c>
    </row>
    <row r="132" spans="1:8" ht="20.100000000000001" customHeight="1" x14ac:dyDescent="0.25">
      <c r="A132" s="74"/>
      <c r="B132" s="2">
        <v>45252</v>
      </c>
      <c r="C132" s="3">
        <v>3655028453</v>
      </c>
      <c r="D132" s="3">
        <v>1</v>
      </c>
      <c r="E132" s="4" t="s">
        <v>1270</v>
      </c>
      <c r="F132" s="4" t="s">
        <v>962</v>
      </c>
      <c r="G132" s="5" t="s">
        <v>6</v>
      </c>
      <c r="H132" s="6">
        <v>175</v>
      </c>
    </row>
    <row r="133" spans="1:8" ht="20.100000000000001" customHeight="1" x14ac:dyDescent="0.25">
      <c r="A133" s="74"/>
      <c r="B133" s="2">
        <v>45253</v>
      </c>
      <c r="C133" s="3">
        <v>3058519391</v>
      </c>
      <c r="D133" s="3">
        <v>4</v>
      </c>
      <c r="E133" s="4" t="s">
        <v>1271</v>
      </c>
      <c r="F133" s="4" t="s">
        <v>1272</v>
      </c>
      <c r="G133" s="5" t="s">
        <v>14</v>
      </c>
      <c r="H133" s="6">
        <v>925</v>
      </c>
    </row>
    <row r="134" spans="1:8" ht="20.100000000000001" customHeight="1" x14ac:dyDescent="0.25">
      <c r="A134" s="74"/>
      <c r="B134" s="2">
        <v>45253</v>
      </c>
      <c r="C134" s="3">
        <v>1788954712</v>
      </c>
      <c r="D134" s="3">
        <v>4</v>
      </c>
      <c r="E134" s="4" t="s">
        <v>1273</v>
      </c>
      <c r="F134" s="4" t="s">
        <v>1274</v>
      </c>
      <c r="G134" s="5" t="s">
        <v>6</v>
      </c>
      <c r="H134" s="6">
        <v>680</v>
      </c>
    </row>
    <row r="135" spans="1:8" ht="30" x14ac:dyDescent="0.25">
      <c r="A135" s="74"/>
      <c r="B135" s="2">
        <v>45264</v>
      </c>
      <c r="C135" s="3">
        <v>2305182285</v>
      </c>
      <c r="D135" s="3">
        <v>2</v>
      </c>
      <c r="E135" s="4" t="s">
        <v>1421</v>
      </c>
      <c r="F135" s="4" t="s">
        <v>12</v>
      </c>
      <c r="G135" s="5" t="s">
        <v>14</v>
      </c>
      <c r="H135" s="6">
        <v>350</v>
      </c>
    </row>
    <row r="136" spans="1:8" ht="20.100000000000001" customHeight="1" x14ac:dyDescent="0.25">
      <c r="A136" s="74"/>
      <c r="B136" s="2">
        <v>45264</v>
      </c>
      <c r="C136" s="3">
        <v>2337555487</v>
      </c>
      <c r="D136" s="3">
        <v>4</v>
      </c>
      <c r="E136" s="4" t="s">
        <v>1422</v>
      </c>
      <c r="F136" s="4" t="s">
        <v>1423</v>
      </c>
      <c r="G136" s="5" t="s">
        <v>28</v>
      </c>
      <c r="H136" s="6">
        <v>800</v>
      </c>
    </row>
    <row r="137" spans="1:8" ht="20.100000000000001" customHeight="1" x14ac:dyDescent="0.25">
      <c r="A137" s="74"/>
      <c r="B137" s="2">
        <v>45268</v>
      </c>
      <c r="C137" s="3" t="s">
        <v>13</v>
      </c>
      <c r="D137" s="3">
        <v>1</v>
      </c>
      <c r="E137" s="4" t="s">
        <v>117</v>
      </c>
      <c r="F137" s="4" t="s">
        <v>12</v>
      </c>
      <c r="G137" s="5" t="s">
        <v>14</v>
      </c>
      <c r="H137" s="6">
        <v>50</v>
      </c>
    </row>
    <row r="138" spans="1:8" ht="20.100000000000001" customHeight="1" x14ac:dyDescent="0.25">
      <c r="A138" s="74"/>
      <c r="B138" s="2">
        <v>45268</v>
      </c>
      <c r="C138" s="3" t="s">
        <v>13</v>
      </c>
      <c r="D138" s="3">
        <v>1</v>
      </c>
      <c r="E138" s="4" t="s">
        <v>117</v>
      </c>
      <c r="F138" s="4" t="s">
        <v>10</v>
      </c>
      <c r="G138" s="5" t="s">
        <v>14</v>
      </c>
      <c r="H138" s="6">
        <v>50</v>
      </c>
    </row>
    <row r="139" spans="1:8" ht="20.100000000000001" customHeight="1" x14ac:dyDescent="0.25">
      <c r="A139" s="74"/>
      <c r="B139" s="2">
        <v>45268</v>
      </c>
      <c r="C139" s="3" t="s">
        <v>13</v>
      </c>
      <c r="D139" s="3">
        <v>1</v>
      </c>
      <c r="E139" s="4" t="s">
        <v>117</v>
      </c>
      <c r="F139" s="4" t="s">
        <v>75</v>
      </c>
      <c r="G139" s="5" t="s">
        <v>14</v>
      </c>
      <c r="H139" s="6">
        <v>50</v>
      </c>
    </row>
    <row r="140" spans="1:8" ht="20.100000000000001" customHeight="1" x14ac:dyDescent="0.25">
      <c r="A140" s="74"/>
      <c r="B140" s="2">
        <v>45273</v>
      </c>
      <c r="C140" s="3">
        <v>1723877502</v>
      </c>
      <c r="D140" s="3">
        <v>1</v>
      </c>
      <c r="E140" s="4" t="s">
        <v>1424</v>
      </c>
      <c r="F140" s="4" t="s">
        <v>10</v>
      </c>
      <c r="G140" s="5" t="s">
        <v>6</v>
      </c>
      <c r="H140" s="6">
        <v>264.5</v>
      </c>
    </row>
    <row r="141" spans="1:8" ht="20.100000000000001" customHeight="1" x14ac:dyDescent="0.25">
      <c r="A141" s="74"/>
      <c r="B141" s="2">
        <v>45273</v>
      </c>
      <c r="C141" s="3">
        <v>1723877502</v>
      </c>
      <c r="D141" s="3">
        <v>1</v>
      </c>
      <c r="E141" s="4" t="s">
        <v>1424</v>
      </c>
      <c r="F141" s="4" t="s">
        <v>12</v>
      </c>
      <c r="G141" s="5" t="s">
        <v>6</v>
      </c>
      <c r="H141" s="6">
        <v>264.5</v>
      </c>
    </row>
    <row r="142" spans="1:8" ht="20.100000000000001" customHeight="1" x14ac:dyDescent="0.25">
      <c r="A142" s="74"/>
      <c r="B142" s="2">
        <v>45279</v>
      </c>
      <c r="C142" s="3">
        <v>2017149752</v>
      </c>
      <c r="D142" s="3">
        <v>4</v>
      </c>
      <c r="E142" s="4" t="s">
        <v>555</v>
      </c>
      <c r="F142" s="4" t="s">
        <v>10</v>
      </c>
      <c r="G142" s="5" t="s">
        <v>14</v>
      </c>
      <c r="H142" s="6">
        <v>925</v>
      </c>
    </row>
    <row r="143" spans="1:8" ht="20.100000000000001" customHeight="1" x14ac:dyDescent="0.25">
      <c r="A143" s="74"/>
      <c r="B143" s="2">
        <v>45280</v>
      </c>
      <c r="C143" s="3">
        <v>1480279327</v>
      </c>
      <c r="D143" s="3">
        <v>4</v>
      </c>
      <c r="E143" s="4" t="s">
        <v>1425</v>
      </c>
      <c r="F143" s="4" t="s">
        <v>1426</v>
      </c>
      <c r="G143" s="5" t="s">
        <v>7</v>
      </c>
      <c r="H143" s="6">
        <v>1100</v>
      </c>
    </row>
    <row r="144" spans="1:8" ht="15.75" x14ac:dyDescent="0.25">
      <c r="A144" s="75"/>
      <c r="B144" s="20"/>
      <c r="C144" s="18"/>
      <c r="D144" s="18"/>
      <c r="E144" s="18" t="s">
        <v>5</v>
      </c>
      <c r="F144" s="18"/>
      <c r="G144" s="21"/>
      <c r="H144" s="22">
        <f>SUM(H3:H143)</f>
        <v>74583.5</v>
      </c>
    </row>
  </sheetData>
  <autoFilter ref="A1:H144" xr:uid="{00000000-0009-0000-0000-000003000000}"/>
  <mergeCells count="8">
    <mergeCell ref="A1:A144"/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topLeftCell="A8" workbookViewId="0">
      <selection activeCell="H21" sqref="H21"/>
    </sheetView>
  </sheetViews>
  <sheetFormatPr baseColWidth="10" defaultColWidth="9.140625" defaultRowHeight="15" x14ac:dyDescent="0.25"/>
  <cols>
    <col min="1" max="1" width="13.5703125" bestFit="1" customWidth="1"/>
    <col min="2" max="2" width="12.7109375" bestFit="1" customWidth="1"/>
    <col min="3" max="3" width="18.140625" customWidth="1"/>
    <col min="4" max="4" width="11" customWidth="1"/>
    <col min="5" max="5" width="32.42578125" bestFit="1" customWidth="1"/>
    <col min="6" max="6" width="48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18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6"/>
      <c r="B2" s="66"/>
      <c r="C2" s="68"/>
      <c r="D2" s="68"/>
      <c r="E2" s="68"/>
      <c r="F2" s="68"/>
      <c r="G2" s="62"/>
      <c r="H2" s="64"/>
    </row>
    <row r="3" spans="1:8" ht="20.100000000000001" customHeight="1" x14ac:dyDescent="0.25">
      <c r="A3" s="76"/>
      <c r="B3" s="2">
        <v>44931</v>
      </c>
      <c r="C3" s="3">
        <v>8077385</v>
      </c>
      <c r="D3" s="3">
        <v>4</v>
      </c>
      <c r="E3" s="4" t="s">
        <v>21</v>
      </c>
      <c r="F3" s="19" t="s">
        <v>19</v>
      </c>
      <c r="G3" s="5" t="s">
        <v>7</v>
      </c>
      <c r="H3" s="6">
        <v>9000</v>
      </c>
    </row>
    <row r="4" spans="1:8" ht="20.100000000000001" customHeight="1" x14ac:dyDescent="0.25">
      <c r="A4" s="76"/>
      <c r="B4" s="2">
        <v>44974</v>
      </c>
      <c r="C4" s="3">
        <v>3501213210</v>
      </c>
      <c r="D4" s="3">
        <v>3</v>
      </c>
      <c r="E4" s="4" t="s">
        <v>247</v>
      </c>
      <c r="F4" s="19" t="s">
        <v>19</v>
      </c>
      <c r="G4" s="5" t="s">
        <v>7</v>
      </c>
      <c r="H4" s="6">
        <v>6750</v>
      </c>
    </row>
    <row r="5" spans="1:8" ht="20.100000000000001" customHeight="1" x14ac:dyDescent="0.25">
      <c r="A5" s="76"/>
      <c r="B5" s="2">
        <v>45001</v>
      </c>
      <c r="C5" s="3">
        <v>1605652076</v>
      </c>
      <c r="D5" s="3">
        <v>3</v>
      </c>
      <c r="E5" s="4" t="s">
        <v>253</v>
      </c>
      <c r="F5" s="19" t="s">
        <v>366</v>
      </c>
      <c r="G5" s="5" t="s">
        <v>28</v>
      </c>
      <c r="H5" s="6">
        <v>6750</v>
      </c>
    </row>
    <row r="6" spans="1:8" ht="20.100000000000001" customHeight="1" x14ac:dyDescent="0.25">
      <c r="A6" s="76"/>
      <c r="B6" s="2">
        <v>45042</v>
      </c>
      <c r="C6" s="3">
        <v>148586966</v>
      </c>
      <c r="D6" s="3">
        <v>2</v>
      </c>
      <c r="E6" s="4" t="s">
        <v>550</v>
      </c>
      <c r="F6" s="19" t="s">
        <v>551</v>
      </c>
      <c r="G6" s="5" t="s">
        <v>6</v>
      </c>
      <c r="H6" s="6">
        <v>5958</v>
      </c>
    </row>
    <row r="7" spans="1:8" ht="20.100000000000001" customHeight="1" x14ac:dyDescent="0.25">
      <c r="A7" s="76"/>
      <c r="B7" s="2">
        <v>45042</v>
      </c>
      <c r="C7" s="3">
        <v>148586966</v>
      </c>
      <c r="D7" s="3">
        <v>1</v>
      </c>
      <c r="E7" s="4" t="s">
        <v>550</v>
      </c>
      <c r="F7" s="19" t="s">
        <v>552</v>
      </c>
      <c r="G7" s="5" t="s">
        <v>36</v>
      </c>
      <c r="H7" s="6">
        <v>792</v>
      </c>
    </row>
    <row r="8" spans="1:8" ht="20.100000000000001" customHeight="1" x14ac:dyDescent="0.25">
      <c r="A8" s="76"/>
      <c r="B8" s="2">
        <v>45051</v>
      </c>
      <c r="C8" s="3">
        <v>2861254121</v>
      </c>
      <c r="D8" s="3">
        <v>3</v>
      </c>
      <c r="E8" s="4" t="s">
        <v>625</v>
      </c>
      <c r="F8" s="19" t="s">
        <v>19</v>
      </c>
      <c r="G8" s="5" t="s">
        <v>6</v>
      </c>
      <c r="H8" s="6">
        <v>6750</v>
      </c>
    </row>
    <row r="9" spans="1:8" ht="20.100000000000001" customHeight="1" x14ac:dyDescent="0.25">
      <c r="A9" s="76"/>
      <c r="B9" s="2">
        <v>45062</v>
      </c>
      <c r="C9" s="3">
        <v>2313700579</v>
      </c>
      <c r="D9" s="3">
        <v>3</v>
      </c>
      <c r="E9" s="4" t="s">
        <v>626</v>
      </c>
      <c r="F9" s="19" t="s">
        <v>627</v>
      </c>
      <c r="G9" s="5" t="s">
        <v>7</v>
      </c>
      <c r="H9" s="6">
        <v>6750</v>
      </c>
    </row>
    <row r="10" spans="1:8" ht="20.100000000000001" customHeight="1" x14ac:dyDescent="0.25">
      <c r="A10" s="76"/>
      <c r="B10" s="2">
        <v>45148</v>
      </c>
      <c r="C10" s="3">
        <v>1342522360</v>
      </c>
      <c r="D10" s="3">
        <v>3</v>
      </c>
      <c r="E10" s="4" t="s">
        <v>963</v>
      </c>
      <c r="F10" s="19" t="s">
        <v>19</v>
      </c>
      <c r="G10" s="5" t="s">
        <v>7</v>
      </c>
      <c r="H10" s="6">
        <v>6750</v>
      </c>
    </row>
    <row r="11" spans="1:8" ht="20.100000000000001" customHeight="1" x14ac:dyDescent="0.25">
      <c r="A11" s="76"/>
      <c r="B11" s="2">
        <v>45174</v>
      </c>
      <c r="C11" s="3">
        <v>3648736166</v>
      </c>
      <c r="D11" s="3">
        <v>3</v>
      </c>
      <c r="E11" s="4" t="s">
        <v>1015</v>
      </c>
      <c r="F11" s="4" t="s">
        <v>19</v>
      </c>
      <c r="G11" s="5" t="s">
        <v>7</v>
      </c>
      <c r="H11" s="6">
        <v>6750</v>
      </c>
    </row>
    <row r="12" spans="1:8" ht="20.100000000000001" customHeight="1" x14ac:dyDescent="0.25">
      <c r="A12" s="76"/>
      <c r="B12" s="2">
        <v>45194</v>
      </c>
      <c r="C12" s="3">
        <v>1860976643</v>
      </c>
      <c r="D12" s="3">
        <v>3</v>
      </c>
      <c r="E12" s="4" t="s">
        <v>1045</v>
      </c>
      <c r="F12" s="4" t="s">
        <v>19</v>
      </c>
      <c r="G12" s="5" t="s">
        <v>28</v>
      </c>
      <c r="H12" s="6">
        <v>6750</v>
      </c>
    </row>
    <row r="13" spans="1:8" ht="20.100000000000001" customHeight="1" x14ac:dyDescent="0.25">
      <c r="A13" s="76"/>
      <c r="B13" s="2">
        <v>45194</v>
      </c>
      <c r="C13" s="3">
        <v>2102086755</v>
      </c>
      <c r="D13" s="3">
        <v>2</v>
      </c>
      <c r="E13" s="4" t="s">
        <v>745</v>
      </c>
      <c r="F13" s="19" t="s">
        <v>1105</v>
      </c>
      <c r="G13" s="5" t="s">
        <v>11</v>
      </c>
      <c r="H13" s="6">
        <v>6500</v>
      </c>
    </row>
    <row r="14" spans="1:8" ht="20.100000000000001" customHeight="1" x14ac:dyDescent="0.25">
      <c r="A14" s="76"/>
      <c r="B14" s="2">
        <v>45194</v>
      </c>
      <c r="C14" s="3">
        <v>2102086755</v>
      </c>
      <c r="D14" s="3">
        <v>1</v>
      </c>
      <c r="E14" s="4" t="s">
        <v>745</v>
      </c>
      <c r="F14" s="19" t="s">
        <v>1472</v>
      </c>
      <c r="G14" s="5" t="s">
        <v>28</v>
      </c>
      <c r="H14" s="6">
        <v>250</v>
      </c>
    </row>
    <row r="15" spans="1:8" ht="20.100000000000001" customHeight="1" x14ac:dyDescent="0.25">
      <c r="A15" s="76"/>
      <c r="B15" s="2">
        <v>45201</v>
      </c>
      <c r="C15" s="3">
        <v>2984788208</v>
      </c>
      <c r="D15" s="3">
        <v>4</v>
      </c>
      <c r="E15" s="4" t="s">
        <v>1141</v>
      </c>
      <c r="F15" s="4" t="s">
        <v>1142</v>
      </c>
      <c r="G15" s="5" t="s">
        <v>6</v>
      </c>
      <c r="H15" s="6">
        <v>6750</v>
      </c>
    </row>
    <row r="16" spans="1:8" ht="20.100000000000001" customHeight="1" x14ac:dyDescent="0.25">
      <c r="A16" s="76"/>
      <c r="B16" s="2">
        <v>45238</v>
      </c>
      <c r="C16" s="3">
        <v>3851898111</v>
      </c>
      <c r="D16" s="3">
        <v>3</v>
      </c>
      <c r="E16" s="4" t="s">
        <v>1074</v>
      </c>
      <c r="F16" s="4" t="s">
        <v>1142</v>
      </c>
      <c r="G16" s="5" t="s">
        <v>16</v>
      </c>
      <c r="H16" s="6">
        <v>6750</v>
      </c>
    </row>
    <row r="17" spans="1:8" ht="20.100000000000001" customHeight="1" x14ac:dyDescent="0.25">
      <c r="A17" s="76"/>
      <c r="B17" s="2">
        <v>45238</v>
      </c>
      <c r="C17" s="3">
        <v>3851898111</v>
      </c>
      <c r="D17" s="3">
        <v>1</v>
      </c>
      <c r="E17" s="4" t="s">
        <v>1074</v>
      </c>
      <c r="F17" s="4" t="s">
        <v>1363</v>
      </c>
      <c r="G17" s="5" t="s">
        <v>16</v>
      </c>
      <c r="H17" s="6">
        <v>750</v>
      </c>
    </row>
    <row r="18" spans="1:8" ht="20.100000000000001" customHeight="1" x14ac:dyDescent="0.25">
      <c r="A18" s="76"/>
      <c r="B18" s="2">
        <v>45245</v>
      </c>
      <c r="C18" s="3">
        <v>1323386904</v>
      </c>
      <c r="D18" s="3">
        <v>1</v>
      </c>
      <c r="E18" s="4" t="s">
        <v>1074</v>
      </c>
      <c r="F18" s="4" t="s">
        <v>1470</v>
      </c>
      <c r="G18" s="5" t="s">
        <v>6</v>
      </c>
      <c r="H18" s="6">
        <v>1500</v>
      </c>
    </row>
    <row r="19" spans="1:8" ht="20.100000000000001" customHeight="1" x14ac:dyDescent="0.25">
      <c r="A19" s="76"/>
      <c r="B19" s="2">
        <v>45257</v>
      </c>
      <c r="C19" s="3">
        <v>1690910786</v>
      </c>
      <c r="D19" s="3">
        <v>1</v>
      </c>
      <c r="E19" s="4" t="s">
        <v>1250</v>
      </c>
      <c r="F19" s="4" t="s">
        <v>1363</v>
      </c>
      <c r="G19" s="5" t="s">
        <v>14</v>
      </c>
      <c r="H19" s="6">
        <v>2000</v>
      </c>
    </row>
    <row r="20" spans="1:8" ht="20.100000000000001" customHeight="1" x14ac:dyDescent="0.25">
      <c r="A20" s="76"/>
      <c r="B20" s="2">
        <v>45258</v>
      </c>
      <c r="C20" s="3">
        <v>779896202</v>
      </c>
      <c r="D20" s="3">
        <v>3</v>
      </c>
      <c r="E20" s="4" t="s">
        <v>600</v>
      </c>
      <c r="F20" s="4" t="s">
        <v>1142</v>
      </c>
      <c r="G20" s="5" t="s">
        <v>7</v>
      </c>
      <c r="H20" s="6">
        <v>6750</v>
      </c>
    </row>
    <row r="21" spans="1:8" ht="20.100000000000001" customHeight="1" x14ac:dyDescent="0.25">
      <c r="A21" s="76"/>
      <c r="B21" s="2">
        <v>45264</v>
      </c>
      <c r="C21" s="3">
        <v>1623606187</v>
      </c>
      <c r="D21" s="3">
        <v>3</v>
      </c>
      <c r="E21" s="4" t="s">
        <v>829</v>
      </c>
      <c r="F21" s="19" t="s">
        <v>366</v>
      </c>
      <c r="G21" s="5" t="s">
        <v>7</v>
      </c>
      <c r="H21" s="6">
        <v>6750</v>
      </c>
    </row>
    <row r="22" spans="1:8" ht="20.100000000000001" customHeight="1" x14ac:dyDescent="0.25">
      <c r="A22" s="76"/>
      <c r="B22" s="2">
        <v>45266</v>
      </c>
      <c r="C22" s="3">
        <v>2791326688</v>
      </c>
      <c r="D22" s="3">
        <v>1</v>
      </c>
      <c r="E22" s="4" t="s">
        <v>705</v>
      </c>
      <c r="F22" s="19" t="s">
        <v>1427</v>
      </c>
      <c r="G22" s="5" t="s">
        <v>14</v>
      </c>
      <c r="H22" s="6">
        <v>750</v>
      </c>
    </row>
    <row r="23" spans="1:8" ht="20.100000000000001" customHeight="1" x14ac:dyDescent="0.25">
      <c r="A23" s="76"/>
      <c r="B23" s="2">
        <v>45266</v>
      </c>
      <c r="C23" s="3">
        <v>2419998742</v>
      </c>
      <c r="D23" s="3">
        <v>1</v>
      </c>
      <c r="E23" s="4" t="s">
        <v>705</v>
      </c>
      <c r="F23" s="19" t="s">
        <v>366</v>
      </c>
      <c r="G23" s="5" t="s">
        <v>14</v>
      </c>
      <c r="H23" s="6">
        <v>2250</v>
      </c>
    </row>
    <row r="24" spans="1:8" ht="20.100000000000001" customHeight="1" x14ac:dyDescent="0.25">
      <c r="A24" s="76"/>
      <c r="B24" s="2">
        <v>45272</v>
      </c>
      <c r="C24" s="3">
        <v>2205044553</v>
      </c>
      <c r="D24" s="3">
        <v>1</v>
      </c>
      <c r="E24" s="4" t="s">
        <v>705</v>
      </c>
      <c r="F24" s="19" t="s">
        <v>1428</v>
      </c>
      <c r="G24" s="5" t="s">
        <v>7</v>
      </c>
      <c r="H24" s="6">
        <v>1750</v>
      </c>
    </row>
    <row r="25" spans="1:8" ht="15.75" x14ac:dyDescent="0.25">
      <c r="A25" s="76"/>
      <c r="B25" s="2">
        <v>45279</v>
      </c>
      <c r="C25" s="3">
        <v>4218899378</v>
      </c>
      <c r="D25" s="3">
        <v>3</v>
      </c>
      <c r="E25" s="4" t="s">
        <v>1429</v>
      </c>
      <c r="F25" s="19" t="s">
        <v>366</v>
      </c>
      <c r="G25" s="5" t="s">
        <v>28</v>
      </c>
      <c r="H25" s="6">
        <v>6750</v>
      </c>
    </row>
    <row r="26" spans="1:8" ht="15.75" x14ac:dyDescent="0.25">
      <c r="A26" s="76"/>
      <c r="B26" s="2">
        <v>45279</v>
      </c>
      <c r="C26" s="3">
        <v>3414117226</v>
      </c>
      <c r="D26" s="3">
        <v>2</v>
      </c>
      <c r="E26" s="4" t="s">
        <v>626</v>
      </c>
      <c r="F26" s="19" t="s">
        <v>366</v>
      </c>
      <c r="G26" s="5" t="s">
        <v>16</v>
      </c>
      <c r="H26" s="6">
        <v>5000</v>
      </c>
    </row>
    <row r="27" spans="1:8" ht="15.75" x14ac:dyDescent="0.25">
      <c r="A27" s="76"/>
      <c r="B27" s="2">
        <v>45279</v>
      </c>
      <c r="C27" s="3">
        <v>3414117226</v>
      </c>
      <c r="D27" s="3">
        <v>1</v>
      </c>
      <c r="E27" s="4" t="s">
        <v>626</v>
      </c>
      <c r="F27" s="19" t="s">
        <v>366</v>
      </c>
      <c r="G27" s="5" t="s">
        <v>7</v>
      </c>
      <c r="H27" s="6">
        <v>1750</v>
      </c>
    </row>
    <row r="28" spans="1:8" ht="15.75" x14ac:dyDescent="0.25">
      <c r="A28" s="76"/>
      <c r="B28" s="20"/>
      <c r="C28" s="18"/>
      <c r="D28" s="18"/>
      <c r="E28" s="18" t="s">
        <v>5</v>
      </c>
      <c r="F28" s="18"/>
      <c r="G28" s="21"/>
      <c r="H28" s="22">
        <f>SUM(H3:H27)</f>
        <v>119250</v>
      </c>
    </row>
  </sheetData>
  <autoFilter ref="B1:H28" xr:uid="{00000000-0009-0000-0000-000004000000}"/>
  <mergeCells count="8">
    <mergeCell ref="A1:A28"/>
    <mergeCell ref="C1:C2"/>
    <mergeCell ref="B1:B2"/>
    <mergeCell ref="H1:H2"/>
    <mergeCell ref="G1:G2"/>
    <mergeCell ref="F1:F2"/>
    <mergeCell ref="E1:E2"/>
    <mergeCell ref="D1:D2"/>
  </mergeCells>
  <pageMargins left="0.7" right="0.7" top="0.75" bottom="0.75" header="0.3" footer="0.3"/>
  <pageSetup paperSize="9" orientation="portrait" horizontalDpi="120" verticalDpi="7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topLeftCell="A19" workbookViewId="0">
      <selection activeCell="E35" sqref="E35"/>
    </sheetView>
  </sheetViews>
  <sheetFormatPr baseColWidth="10" defaultColWidth="9.140625" defaultRowHeight="15" x14ac:dyDescent="0.25"/>
  <cols>
    <col min="1" max="1" width="16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60.5703125" style="25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20</v>
      </c>
      <c r="B1" s="71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6"/>
      <c r="B2" s="71"/>
      <c r="C2" s="67"/>
      <c r="D2" s="67"/>
      <c r="E2" s="67"/>
      <c r="F2" s="67"/>
      <c r="G2" s="61"/>
      <c r="H2" s="63"/>
    </row>
    <row r="3" spans="1:8" ht="30" x14ac:dyDescent="0.25">
      <c r="A3" s="76"/>
      <c r="B3" s="2">
        <v>44930</v>
      </c>
      <c r="C3" s="3">
        <v>3021422995</v>
      </c>
      <c r="D3" s="3">
        <v>5</v>
      </c>
      <c r="E3" s="4" t="s">
        <v>156</v>
      </c>
      <c r="F3" s="19" t="s">
        <v>157</v>
      </c>
      <c r="G3" s="10" t="s">
        <v>7</v>
      </c>
      <c r="H3" s="11">
        <v>4955</v>
      </c>
    </row>
    <row r="4" spans="1:8" ht="30" x14ac:dyDescent="0.25">
      <c r="A4" s="76"/>
      <c r="B4" s="2">
        <v>44930</v>
      </c>
      <c r="C4" s="3">
        <v>3021422995</v>
      </c>
      <c r="D4" s="3">
        <v>1</v>
      </c>
      <c r="E4" s="4" t="s">
        <v>156</v>
      </c>
      <c r="F4" s="19" t="s">
        <v>157</v>
      </c>
      <c r="G4" s="10" t="s">
        <v>7</v>
      </c>
      <c r="H4" s="11">
        <v>995</v>
      </c>
    </row>
    <row r="5" spans="1:8" ht="20.100000000000001" customHeight="1" x14ac:dyDescent="0.25">
      <c r="A5" s="76"/>
      <c r="B5" s="2">
        <v>44942</v>
      </c>
      <c r="C5" s="3">
        <v>363789713</v>
      </c>
      <c r="D5" s="3">
        <v>4</v>
      </c>
      <c r="E5" s="4" t="s">
        <v>24</v>
      </c>
      <c r="F5" s="19" t="s">
        <v>118</v>
      </c>
      <c r="G5" s="10" t="s">
        <v>7</v>
      </c>
      <c r="H5" s="11">
        <v>2250</v>
      </c>
    </row>
    <row r="6" spans="1:8" ht="20.100000000000001" customHeight="1" x14ac:dyDescent="0.25">
      <c r="A6" s="76"/>
      <c r="B6" s="2">
        <v>44944</v>
      </c>
      <c r="C6" s="3">
        <v>74597906</v>
      </c>
      <c r="D6" s="3">
        <v>8</v>
      </c>
      <c r="E6" s="4" t="s">
        <v>158</v>
      </c>
      <c r="F6" s="19" t="s">
        <v>159</v>
      </c>
      <c r="G6" s="10" t="s">
        <v>7</v>
      </c>
      <c r="H6" s="11">
        <v>5000</v>
      </c>
    </row>
    <row r="7" spans="1:8" ht="20.100000000000001" customHeight="1" x14ac:dyDescent="0.25">
      <c r="A7" s="76"/>
      <c r="B7" s="2">
        <v>44953</v>
      </c>
      <c r="C7" s="3">
        <v>1879916783</v>
      </c>
      <c r="D7" s="3">
        <v>8</v>
      </c>
      <c r="E7" s="4" t="s">
        <v>119</v>
      </c>
      <c r="F7" s="19" t="s">
        <v>22</v>
      </c>
      <c r="G7" s="10" t="s">
        <v>7</v>
      </c>
      <c r="H7" s="11">
        <v>5000</v>
      </c>
    </row>
    <row r="8" spans="1:8" ht="20.100000000000001" customHeight="1" x14ac:dyDescent="0.25">
      <c r="A8" s="76"/>
      <c r="B8" s="2">
        <v>44977</v>
      </c>
      <c r="C8" s="3">
        <v>414729941</v>
      </c>
      <c r="D8" s="3">
        <v>8</v>
      </c>
      <c r="E8" s="4" t="s">
        <v>248</v>
      </c>
      <c r="F8" s="19" t="s">
        <v>22</v>
      </c>
      <c r="G8" s="10" t="s">
        <v>6</v>
      </c>
      <c r="H8" s="11">
        <v>5000</v>
      </c>
    </row>
    <row r="9" spans="1:8" ht="30" x14ac:dyDescent="0.25">
      <c r="A9" s="76"/>
      <c r="B9" s="2">
        <v>44993</v>
      </c>
      <c r="C9" s="3">
        <v>3498920069</v>
      </c>
      <c r="D9" s="3">
        <v>8</v>
      </c>
      <c r="E9" s="4" t="s">
        <v>367</v>
      </c>
      <c r="F9" s="19" t="s">
        <v>368</v>
      </c>
      <c r="G9" s="10" t="s">
        <v>7</v>
      </c>
      <c r="H9" s="11">
        <v>5000</v>
      </c>
    </row>
    <row r="10" spans="1:8" ht="20.100000000000001" customHeight="1" x14ac:dyDescent="0.25">
      <c r="A10" s="76"/>
      <c r="B10" s="2">
        <v>44995</v>
      </c>
      <c r="C10" s="3">
        <v>2773897014</v>
      </c>
      <c r="D10" s="3">
        <v>8</v>
      </c>
      <c r="E10" s="4" t="s">
        <v>369</v>
      </c>
      <c r="F10" s="19" t="s">
        <v>370</v>
      </c>
      <c r="G10" s="10" t="s">
        <v>7</v>
      </c>
      <c r="H10" s="11">
        <v>5000</v>
      </c>
    </row>
    <row r="11" spans="1:8" ht="20.100000000000001" customHeight="1" x14ac:dyDescent="0.25">
      <c r="A11" s="76"/>
      <c r="B11" s="2">
        <v>45000</v>
      </c>
      <c r="C11" s="3">
        <v>1661946787</v>
      </c>
      <c r="D11" s="3">
        <v>8</v>
      </c>
      <c r="E11" s="4" t="s">
        <v>371</v>
      </c>
      <c r="F11" s="19" t="s">
        <v>372</v>
      </c>
      <c r="G11" s="10" t="s">
        <v>6</v>
      </c>
      <c r="H11" s="11">
        <v>5100</v>
      </c>
    </row>
    <row r="12" spans="1:8" ht="20.100000000000001" customHeight="1" x14ac:dyDescent="0.25">
      <c r="A12" s="76"/>
      <c r="B12" s="2">
        <v>45000</v>
      </c>
      <c r="C12" s="3">
        <v>1430015315</v>
      </c>
      <c r="D12" s="3">
        <v>8</v>
      </c>
      <c r="E12" s="4" t="s">
        <v>24</v>
      </c>
      <c r="F12" s="19" t="s">
        <v>373</v>
      </c>
      <c r="G12" s="10" t="s">
        <v>7</v>
      </c>
      <c r="H12" s="11">
        <v>5000</v>
      </c>
    </row>
    <row r="13" spans="1:8" ht="30" x14ac:dyDescent="0.25">
      <c r="A13" s="76"/>
      <c r="B13" s="2">
        <v>45007</v>
      </c>
      <c r="C13" s="3">
        <v>226118147</v>
      </c>
      <c r="D13" s="3">
        <v>8</v>
      </c>
      <c r="E13" s="4" t="s">
        <v>363</v>
      </c>
      <c r="F13" s="19" t="s">
        <v>374</v>
      </c>
      <c r="G13" s="10" t="s">
        <v>7</v>
      </c>
      <c r="H13" s="11">
        <v>5000</v>
      </c>
    </row>
    <row r="14" spans="1:8" ht="15.75" x14ac:dyDescent="0.25">
      <c r="A14" s="76"/>
      <c r="B14" s="2">
        <v>45040</v>
      </c>
      <c r="C14" s="3">
        <v>1392791543</v>
      </c>
      <c r="D14" s="3">
        <v>8</v>
      </c>
      <c r="E14" s="4" t="s">
        <v>255</v>
      </c>
      <c r="F14" s="19" t="s">
        <v>553</v>
      </c>
      <c r="G14" s="10" t="s">
        <v>7</v>
      </c>
      <c r="H14" s="11">
        <v>5000</v>
      </c>
    </row>
    <row r="15" spans="1:8" ht="20.100000000000001" customHeight="1" x14ac:dyDescent="0.25">
      <c r="A15" s="76"/>
      <c r="B15" s="2">
        <v>45071</v>
      </c>
      <c r="C15" s="3">
        <v>3038725768</v>
      </c>
      <c r="D15" s="3">
        <v>8</v>
      </c>
      <c r="E15" s="4" t="s">
        <v>628</v>
      </c>
      <c r="F15" s="19" t="s">
        <v>629</v>
      </c>
      <c r="G15" s="10" t="s">
        <v>7</v>
      </c>
      <c r="H15" s="11">
        <v>6500</v>
      </c>
    </row>
    <row r="16" spans="1:8" ht="20.100000000000001" customHeight="1" x14ac:dyDescent="0.25">
      <c r="A16" s="76"/>
      <c r="B16" s="2">
        <v>45093</v>
      </c>
      <c r="C16" s="3">
        <v>1195395879</v>
      </c>
      <c r="D16" s="3">
        <v>4</v>
      </c>
      <c r="E16" s="4" t="s">
        <v>714</v>
      </c>
      <c r="F16" s="19" t="s">
        <v>373</v>
      </c>
      <c r="G16" s="10" t="s">
        <v>7</v>
      </c>
      <c r="H16" s="11">
        <v>2500</v>
      </c>
    </row>
    <row r="17" spans="1:8" ht="30" x14ac:dyDescent="0.25">
      <c r="A17" s="76"/>
      <c r="B17" s="2">
        <v>45093</v>
      </c>
      <c r="C17" s="3">
        <v>1195395879</v>
      </c>
      <c r="D17" s="3">
        <v>4</v>
      </c>
      <c r="E17" s="4" t="s">
        <v>333</v>
      </c>
      <c r="F17" s="19" t="s">
        <v>715</v>
      </c>
      <c r="G17" s="10" t="s">
        <v>7</v>
      </c>
      <c r="H17" s="11">
        <v>2500</v>
      </c>
    </row>
    <row r="18" spans="1:8" ht="30" x14ac:dyDescent="0.25">
      <c r="A18" s="76"/>
      <c r="B18" s="2">
        <v>45104</v>
      </c>
      <c r="C18" s="3">
        <v>607667217</v>
      </c>
      <c r="D18" s="3">
        <v>8</v>
      </c>
      <c r="E18" s="4" t="s">
        <v>716</v>
      </c>
      <c r="F18" s="19" t="s">
        <v>717</v>
      </c>
      <c r="G18" s="10" t="s">
        <v>6</v>
      </c>
      <c r="H18" s="11">
        <v>5000</v>
      </c>
    </row>
    <row r="19" spans="1:8" ht="20.100000000000001" customHeight="1" x14ac:dyDescent="0.25">
      <c r="A19" s="76"/>
      <c r="B19" s="2">
        <v>45106</v>
      </c>
      <c r="C19" s="3">
        <v>523978702</v>
      </c>
      <c r="D19" s="3">
        <v>8</v>
      </c>
      <c r="E19" s="4" t="s">
        <v>718</v>
      </c>
      <c r="F19" s="19" t="s">
        <v>22</v>
      </c>
      <c r="G19" s="10" t="s">
        <v>7</v>
      </c>
      <c r="H19" s="11">
        <v>5000</v>
      </c>
    </row>
    <row r="20" spans="1:8" ht="20.100000000000001" customHeight="1" x14ac:dyDescent="0.25">
      <c r="A20" s="76"/>
      <c r="B20" s="2">
        <v>45107</v>
      </c>
      <c r="C20" s="3">
        <v>3031649342</v>
      </c>
      <c r="D20" s="3">
        <v>8</v>
      </c>
      <c r="E20" s="4" t="s">
        <v>719</v>
      </c>
      <c r="F20" s="19" t="s">
        <v>373</v>
      </c>
      <c r="G20" s="10" t="s">
        <v>7</v>
      </c>
      <c r="H20" s="11">
        <v>5000</v>
      </c>
    </row>
    <row r="21" spans="1:8" ht="20.100000000000001" customHeight="1" x14ac:dyDescent="0.25">
      <c r="A21" s="76"/>
      <c r="B21" s="2">
        <v>45118</v>
      </c>
      <c r="C21" s="3">
        <v>1139360929</v>
      </c>
      <c r="D21" s="3">
        <v>8</v>
      </c>
      <c r="E21" s="4" t="s">
        <v>812</v>
      </c>
      <c r="F21" s="19" t="s">
        <v>22</v>
      </c>
      <c r="G21" s="10" t="s">
        <v>7</v>
      </c>
      <c r="H21" s="11">
        <v>5000</v>
      </c>
    </row>
    <row r="22" spans="1:8" ht="20.100000000000001" customHeight="1" x14ac:dyDescent="0.25">
      <c r="A22" s="76"/>
      <c r="B22" s="2">
        <v>45138</v>
      </c>
      <c r="C22" s="3">
        <v>1875067273</v>
      </c>
      <c r="D22" s="3">
        <v>8</v>
      </c>
      <c r="E22" s="4" t="s">
        <v>813</v>
      </c>
      <c r="F22" s="19" t="s">
        <v>814</v>
      </c>
      <c r="G22" s="10" t="s">
        <v>11</v>
      </c>
      <c r="H22" s="11">
        <v>5000</v>
      </c>
    </row>
    <row r="23" spans="1:8" ht="20.100000000000001" customHeight="1" x14ac:dyDescent="0.25">
      <c r="A23" s="76"/>
      <c r="B23" s="2">
        <v>45147</v>
      </c>
      <c r="C23" s="3">
        <v>395790985</v>
      </c>
      <c r="D23" s="3">
        <v>8</v>
      </c>
      <c r="E23" s="4" t="s">
        <v>964</v>
      </c>
      <c r="F23" s="19" t="s">
        <v>629</v>
      </c>
      <c r="G23" s="10" t="s">
        <v>7</v>
      </c>
      <c r="H23" s="11">
        <v>5000</v>
      </c>
    </row>
    <row r="24" spans="1:8" ht="20.100000000000001" customHeight="1" x14ac:dyDescent="0.25">
      <c r="A24" s="76"/>
      <c r="B24" s="2">
        <v>45190</v>
      </c>
      <c r="C24" s="3">
        <v>1306152636</v>
      </c>
      <c r="D24" s="3">
        <v>8</v>
      </c>
      <c r="E24" s="4" t="s">
        <v>1046</v>
      </c>
      <c r="F24" s="19" t="s">
        <v>1047</v>
      </c>
      <c r="G24" s="10" t="s">
        <v>28</v>
      </c>
      <c r="H24" s="11">
        <v>5000</v>
      </c>
    </row>
    <row r="25" spans="1:8" ht="20.100000000000001" customHeight="1" x14ac:dyDescent="0.25">
      <c r="A25" s="76"/>
      <c r="B25" s="2">
        <v>45195</v>
      </c>
      <c r="C25" s="3">
        <v>3633729220</v>
      </c>
      <c r="D25" s="3">
        <v>8</v>
      </c>
      <c r="E25" s="4" t="s">
        <v>1048</v>
      </c>
      <c r="F25" s="19" t="s">
        <v>1047</v>
      </c>
      <c r="G25" s="10" t="s">
        <v>28</v>
      </c>
      <c r="H25" s="11">
        <v>5000</v>
      </c>
    </row>
    <row r="26" spans="1:8" ht="20.100000000000001" customHeight="1" x14ac:dyDescent="0.25">
      <c r="A26" s="76"/>
      <c r="B26" s="2">
        <v>45196</v>
      </c>
      <c r="C26" s="3">
        <v>179457338</v>
      </c>
      <c r="D26" s="3">
        <v>8</v>
      </c>
      <c r="E26" s="4" t="s">
        <v>1049</v>
      </c>
      <c r="F26" s="19" t="s">
        <v>1047</v>
      </c>
      <c r="G26" s="10" t="s">
        <v>7</v>
      </c>
      <c r="H26" s="11">
        <v>6000</v>
      </c>
    </row>
    <row r="27" spans="1:8" ht="20.100000000000001" customHeight="1" x14ac:dyDescent="0.25">
      <c r="A27" s="76"/>
      <c r="B27" s="2">
        <v>45251</v>
      </c>
      <c r="C27" s="3">
        <v>180178616</v>
      </c>
      <c r="D27" s="3">
        <v>5</v>
      </c>
      <c r="E27" s="4" t="s">
        <v>1275</v>
      </c>
      <c r="F27" s="19" t="s">
        <v>1047</v>
      </c>
      <c r="G27" s="10" t="s">
        <v>6</v>
      </c>
      <c r="H27" s="11">
        <v>4165</v>
      </c>
    </row>
    <row r="28" spans="1:8" ht="20.100000000000001" customHeight="1" x14ac:dyDescent="0.25">
      <c r="A28" s="76"/>
      <c r="B28" s="2">
        <v>45251</v>
      </c>
      <c r="C28" s="3">
        <v>180178616</v>
      </c>
      <c r="D28" s="3">
        <v>1</v>
      </c>
      <c r="E28" s="4" t="s">
        <v>1275</v>
      </c>
      <c r="F28" s="19" t="s">
        <v>1047</v>
      </c>
      <c r="G28" s="10" t="s">
        <v>6</v>
      </c>
      <c r="H28" s="11">
        <v>835</v>
      </c>
    </row>
    <row r="29" spans="1:8" ht="20.100000000000001" customHeight="1" x14ac:dyDescent="0.25">
      <c r="A29" s="76"/>
      <c r="B29" s="2">
        <v>45251</v>
      </c>
      <c r="C29" s="3">
        <v>1582253869</v>
      </c>
      <c r="D29" s="3">
        <v>8</v>
      </c>
      <c r="E29" s="4" t="s">
        <v>633</v>
      </c>
      <c r="F29" s="19" t="s">
        <v>1047</v>
      </c>
      <c r="G29" s="10" t="s">
        <v>7</v>
      </c>
      <c r="H29" s="11">
        <v>5000</v>
      </c>
    </row>
    <row r="30" spans="1:8" ht="20.100000000000001" customHeight="1" x14ac:dyDescent="0.25">
      <c r="A30" s="76"/>
      <c r="B30" s="2">
        <v>45257</v>
      </c>
      <c r="C30" s="3">
        <v>4146219565</v>
      </c>
      <c r="D30" s="3">
        <v>8</v>
      </c>
      <c r="E30" s="4" t="s">
        <v>1276</v>
      </c>
      <c r="F30" s="19" t="s">
        <v>1047</v>
      </c>
      <c r="G30" s="10" t="s">
        <v>6</v>
      </c>
      <c r="H30" s="11">
        <v>5000</v>
      </c>
    </row>
    <row r="31" spans="1:8" ht="20.100000000000001" customHeight="1" x14ac:dyDescent="0.25">
      <c r="A31" s="76"/>
      <c r="B31" s="2">
        <v>45258</v>
      </c>
      <c r="C31" s="3">
        <v>779896202</v>
      </c>
      <c r="D31" s="3">
        <v>8</v>
      </c>
      <c r="E31" s="4" t="s">
        <v>600</v>
      </c>
      <c r="F31" s="19" t="s">
        <v>1047</v>
      </c>
      <c r="G31" s="10" t="s">
        <v>7</v>
      </c>
      <c r="H31" s="11">
        <v>5000</v>
      </c>
    </row>
    <row r="32" spans="1:8" ht="20.100000000000001" customHeight="1" x14ac:dyDescent="0.25">
      <c r="A32" s="76"/>
      <c r="B32" s="2">
        <v>45260</v>
      </c>
      <c r="C32" s="3">
        <v>1816809261</v>
      </c>
      <c r="D32" s="3">
        <v>8</v>
      </c>
      <c r="E32" s="4" t="s">
        <v>1367</v>
      </c>
      <c r="F32" s="19" t="s">
        <v>1047</v>
      </c>
      <c r="G32" s="10" t="s">
        <v>6</v>
      </c>
      <c r="H32" s="11">
        <v>5590.4</v>
      </c>
    </row>
    <row r="33" spans="1:8" ht="20.100000000000001" customHeight="1" x14ac:dyDescent="0.25">
      <c r="A33" s="76"/>
      <c r="B33" s="2">
        <v>45278</v>
      </c>
      <c r="C33" s="3">
        <v>461981108</v>
      </c>
      <c r="D33" s="3">
        <v>4</v>
      </c>
      <c r="E33" s="4" t="s">
        <v>1430</v>
      </c>
      <c r="F33" s="19" t="s">
        <v>1431</v>
      </c>
      <c r="G33" s="10" t="s">
        <v>16</v>
      </c>
      <c r="H33" s="11">
        <v>3500</v>
      </c>
    </row>
    <row r="34" spans="1:8" ht="20.100000000000001" customHeight="1" x14ac:dyDescent="0.25">
      <c r="A34" s="76"/>
      <c r="B34" s="2">
        <v>45278</v>
      </c>
      <c r="C34" s="3">
        <v>461981108</v>
      </c>
      <c r="D34" s="3">
        <v>4</v>
      </c>
      <c r="E34" s="4" t="s">
        <v>1430</v>
      </c>
      <c r="F34" s="19" t="s">
        <v>1432</v>
      </c>
      <c r="G34" s="10" t="s">
        <v>7</v>
      </c>
      <c r="H34" s="11">
        <v>1500</v>
      </c>
    </row>
    <row r="35" spans="1:8" ht="20.100000000000001" customHeight="1" x14ac:dyDescent="0.25">
      <c r="A35" s="76"/>
      <c r="B35" s="2">
        <v>45279</v>
      </c>
      <c r="C35" s="3">
        <v>4218899378</v>
      </c>
      <c r="D35" s="3">
        <v>8</v>
      </c>
      <c r="E35" s="4" t="s">
        <v>1429</v>
      </c>
      <c r="F35" s="19" t="s">
        <v>373</v>
      </c>
      <c r="G35" s="10" t="s">
        <v>28</v>
      </c>
      <c r="H35" s="11">
        <v>5000</v>
      </c>
    </row>
    <row r="36" spans="1:8" ht="15.75" x14ac:dyDescent="0.25">
      <c r="A36" s="77"/>
      <c r="B36" s="20"/>
      <c r="C36" s="18"/>
      <c r="D36" s="18"/>
      <c r="E36" s="18" t="s">
        <v>5</v>
      </c>
      <c r="F36" s="24"/>
      <c r="G36" s="21"/>
      <c r="H36" s="22">
        <f>SUM(H3:H35)</f>
        <v>146390.39999999999</v>
      </c>
    </row>
  </sheetData>
  <mergeCells count="8">
    <mergeCell ref="A1:A36"/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2"/>
  <sheetViews>
    <sheetView topLeftCell="A70" workbookViewId="0">
      <selection activeCell="B86" sqref="B86:H91"/>
    </sheetView>
  </sheetViews>
  <sheetFormatPr baseColWidth="10" defaultColWidth="9.140625" defaultRowHeight="15" x14ac:dyDescent="0.25"/>
  <cols>
    <col min="1" max="1" width="17.57031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94.140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25</v>
      </c>
      <c r="B1" s="71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4"/>
      <c r="B2" s="65"/>
      <c r="C2" s="67"/>
      <c r="D2" s="67"/>
      <c r="E2" s="67"/>
      <c r="F2" s="72"/>
      <c r="G2" s="61"/>
      <c r="H2" s="63"/>
    </row>
    <row r="3" spans="1:8" ht="20.100000000000001" customHeight="1" x14ac:dyDescent="0.25">
      <c r="A3" s="74"/>
      <c r="B3" s="2">
        <v>44930</v>
      </c>
      <c r="C3" s="3">
        <v>1419134061</v>
      </c>
      <c r="D3" s="3">
        <v>8</v>
      </c>
      <c r="E3" s="19" t="s">
        <v>160</v>
      </c>
      <c r="F3" s="19" t="s">
        <v>133</v>
      </c>
      <c r="G3" s="10" t="s">
        <v>7</v>
      </c>
      <c r="H3" s="11">
        <v>6500</v>
      </c>
    </row>
    <row r="4" spans="1:8" ht="20.100000000000001" customHeight="1" x14ac:dyDescent="0.25">
      <c r="A4" s="74"/>
      <c r="B4" s="2">
        <v>44937</v>
      </c>
      <c r="C4" s="3">
        <v>2805746571</v>
      </c>
      <c r="D4" s="3">
        <v>8</v>
      </c>
      <c r="E4" s="19" t="s">
        <v>161</v>
      </c>
      <c r="F4" s="19" t="s">
        <v>162</v>
      </c>
      <c r="G4" s="10" t="s">
        <v>28</v>
      </c>
      <c r="H4" s="11">
        <v>6500</v>
      </c>
    </row>
    <row r="5" spans="1:8" ht="20.100000000000001" customHeight="1" x14ac:dyDescent="0.25">
      <c r="A5" s="74"/>
      <c r="B5" s="2">
        <v>44938</v>
      </c>
      <c r="C5" s="3">
        <v>2674674021</v>
      </c>
      <c r="D5" s="3">
        <v>1</v>
      </c>
      <c r="E5" s="19" t="s">
        <v>153</v>
      </c>
      <c r="F5" s="19" t="s">
        <v>163</v>
      </c>
      <c r="G5" s="10" t="s">
        <v>6</v>
      </c>
      <c r="H5" s="11">
        <v>5000</v>
      </c>
    </row>
    <row r="6" spans="1:8" ht="20.100000000000001" customHeight="1" x14ac:dyDescent="0.25">
      <c r="A6" s="74"/>
      <c r="B6" s="2">
        <v>44942</v>
      </c>
      <c r="C6" s="3">
        <v>363789713</v>
      </c>
      <c r="D6" s="3">
        <v>8</v>
      </c>
      <c r="E6" s="19" t="s">
        <v>24</v>
      </c>
      <c r="F6" s="19" t="s">
        <v>91</v>
      </c>
      <c r="G6" s="10" t="s">
        <v>7</v>
      </c>
      <c r="H6" s="11">
        <v>6250</v>
      </c>
    </row>
    <row r="7" spans="1:8" ht="30" x14ac:dyDescent="0.25">
      <c r="A7" s="74"/>
      <c r="B7" s="2">
        <v>44957</v>
      </c>
      <c r="C7" s="3">
        <v>379734400</v>
      </c>
      <c r="D7" s="3">
        <v>7</v>
      </c>
      <c r="E7" s="19" t="s">
        <v>164</v>
      </c>
      <c r="F7" s="19" t="s">
        <v>133</v>
      </c>
      <c r="G7" s="10" t="s">
        <v>28</v>
      </c>
      <c r="H7" s="11">
        <v>5999.9996000000001</v>
      </c>
    </row>
    <row r="8" spans="1:8" ht="30" x14ac:dyDescent="0.25">
      <c r="A8" s="74"/>
      <c r="B8" s="2">
        <v>44957</v>
      </c>
      <c r="C8" s="3">
        <v>379734400</v>
      </c>
      <c r="D8" s="3">
        <v>1</v>
      </c>
      <c r="E8" s="19" t="s">
        <v>164</v>
      </c>
      <c r="F8" s="19" t="s">
        <v>133</v>
      </c>
      <c r="G8" s="10" t="s">
        <v>7</v>
      </c>
      <c r="H8" s="11">
        <v>500</v>
      </c>
    </row>
    <row r="9" spans="1:8" ht="20.100000000000001" customHeight="1" x14ac:dyDescent="0.25">
      <c r="A9" s="74"/>
      <c r="B9" s="2">
        <v>44965</v>
      </c>
      <c r="C9" s="3">
        <v>2990883213</v>
      </c>
      <c r="D9" s="3">
        <v>1</v>
      </c>
      <c r="E9" s="19" t="s">
        <v>225</v>
      </c>
      <c r="F9" s="19" t="s">
        <v>249</v>
      </c>
      <c r="G9" s="10" t="s">
        <v>7</v>
      </c>
      <c r="H9" s="11">
        <v>3300</v>
      </c>
    </row>
    <row r="10" spans="1:8" ht="20.100000000000001" customHeight="1" x14ac:dyDescent="0.25">
      <c r="A10" s="74"/>
      <c r="B10" s="2">
        <v>44965</v>
      </c>
      <c r="C10" s="3">
        <v>197673098</v>
      </c>
      <c r="D10" s="3">
        <v>8</v>
      </c>
      <c r="E10" s="19" t="s">
        <v>225</v>
      </c>
      <c r="F10" s="19" t="s">
        <v>250</v>
      </c>
      <c r="G10" s="10" t="s">
        <v>11</v>
      </c>
      <c r="H10" s="11">
        <v>6500</v>
      </c>
    </row>
    <row r="11" spans="1:8" ht="20.100000000000001" customHeight="1" x14ac:dyDescent="0.25">
      <c r="A11" s="74"/>
      <c r="B11" s="2">
        <v>44965</v>
      </c>
      <c r="C11" s="3">
        <v>197673098</v>
      </c>
      <c r="D11" s="3">
        <v>1</v>
      </c>
      <c r="E11" s="19" t="s">
        <v>225</v>
      </c>
      <c r="F11" s="19" t="s">
        <v>251</v>
      </c>
      <c r="G11" s="10" t="s">
        <v>11</v>
      </c>
      <c r="H11" s="11">
        <v>1000</v>
      </c>
    </row>
    <row r="12" spans="1:8" ht="20.100000000000001" customHeight="1" x14ac:dyDescent="0.25">
      <c r="A12" s="74"/>
      <c r="B12" s="2">
        <v>44970</v>
      </c>
      <c r="C12" s="3">
        <v>133842754</v>
      </c>
      <c r="D12" s="3">
        <v>8</v>
      </c>
      <c r="E12" s="19" t="s">
        <v>234</v>
      </c>
      <c r="F12" s="19" t="s">
        <v>250</v>
      </c>
      <c r="G12" s="10" t="s">
        <v>7</v>
      </c>
      <c r="H12" s="11">
        <v>6500</v>
      </c>
    </row>
    <row r="13" spans="1:8" ht="20.100000000000001" customHeight="1" x14ac:dyDescent="0.25">
      <c r="A13" s="74"/>
      <c r="B13" s="2">
        <v>44970</v>
      </c>
      <c r="C13" s="3">
        <v>133842754</v>
      </c>
      <c r="D13" s="3">
        <v>6</v>
      </c>
      <c r="E13" s="19" t="s">
        <v>234</v>
      </c>
      <c r="F13" s="19" t="s">
        <v>252</v>
      </c>
      <c r="G13" s="10" t="s">
        <v>7</v>
      </c>
      <c r="H13" s="11">
        <v>3900</v>
      </c>
    </row>
    <row r="14" spans="1:8" ht="20.100000000000001" customHeight="1" x14ac:dyDescent="0.25">
      <c r="A14" s="74"/>
      <c r="B14" s="2">
        <v>44978</v>
      </c>
      <c r="C14" s="3">
        <v>3439806162</v>
      </c>
      <c r="D14" s="3">
        <v>8</v>
      </c>
      <c r="E14" s="19" t="s">
        <v>253</v>
      </c>
      <c r="F14" s="19" t="s">
        <v>254</v>
      </c>
      <c r="G14" s="10" t="s">
        <v>28</v>
      </c>
      <c r="H14" s="11">
        <v>6250</v>
      </c>
    </row>
    <row r="15" spans="1:8" ht="20.100000000000001" customHeight="1" x14ac:dyDescent="0.25">
      <c r="A15" s="74"/>
      <c r="B15" s="2">
        <v>44984</v>
      </c>
      <c r="C15" s="3">
        <v>980962559</v>
      </c>
      <c r="D15" s="3">
        <v>2</v>
      </c>
      <c r="E15" s="19" t="s">
        <v>255</v>
      </c>
      <c r="F15" s="19" t="s">
        <v>254</v>
      </c>
      <c r="G15" s="10" t="s">
        <v>6</v>
      </c>
      <c r="H15" s="11">
        <v>1625</v>
      </c>
    </row>
    <row r="16" spans="1:8" ht="20.100000000000001" customHeight="1" x14ac:dyDescent="0.25">
      <c r="A16" s="74"/>
      <c r="B16" s="2">
        <v>44985</v>
      </c>
      <c r="C16" s="3">
        <v>1174227311</v>
      </c>
      <c r="D16" s="3">
        <v>5</v>
      </c>
      <c r="E16" s="19" t="s">
        <v>95</v>
      </c>
      <c r="F16" s="19" t="s">
        <v>252</v>
      </c>
      <c r="G16" s="10" t="s">
        <v>7</v>
      </c>
      <c r="H16" s="11">
        <v>3165</v>
      </c>
    </row>
    <row r="17" spans="1:8" ht="20.100000000000001" customHeight="1" x14ac:dyDescent="0.25">
      <c r="A17" s="74"/>
      <c r="B17" s="2">
        <v>44985</v>
      </c>
      <c r="C17" s="3">
        <v>1174227311</v>
      </c>
      <c r="D17" s="3">
        <v>1</v>
      </c>
      <c r="E17" s="19" t="s">
        <v>95</v>
      </c>
      <c r="F17" s="19" t="s">
        <v>252</v>
      </c>
      <c r="G17" s="10" t="s">
        <v>7</v>
      </c>
      <c r="H17" s="11">
        <v>635</v>
      </c>
    </row>
    <row r="18" spans="1:8" ht="15.75" x14ac:dyDescent="0.25">
      <c r="A18" s="74"/>
      <c r="B18" s="2">
        <v>44988</v>
      </c>
      <c r="C18" s="3">
        <v>160843402</v>
      </c>
      <c r="D18" s="3">
        <v>8</v>
      </c>
      <c r="E18" s="19" t="s">
        <v>375</v>
      </c>
      <c r="F18" s="19" t="s">
        <v>376</v>
      </c>
      <c r="G18" s="10" t="s">
        <v>28</v>
      </c>
      <c r="H18" s="11">
        <v>6500</v>
      </c>
    </row>
    <row r="19" spans="1:8" ht="15.75" x14ac:dyDescent="0.25">
      <c r="A19" s="74"/>
      <c r="B19" s="2">
        <v>44988</v>
      </c>
      <c r="C19" s="3">
        <v>3449439350</v>
      </c>
      <c r="D19" s="3">
        <v>8</v>
      </c>
      <c r="E19" s="19" t="s">
        <v>377</v>
      </c>
      <c r="F19" s="19" t="s">
        <v>378</v>
      </c>
      <c r="G19" s="10" t="s">
        <v>7</v>
      </c>
      <c r="H19" s="11">
        <v>6500</v>
      </c>
    </row>
    <row r="20" spans="1:8" ht="20.100000000000001" customHeight="1" x14ac:dyDescent="0.25">
      <c r="A20" s="74"/>
      <c r="B20" s="2">
        <v>44998</v>
      </c>
      <c r="C20" s="3">
        <v>3819260517</v>
      </c>
      <c r="D20" s="3">
        <v>5</v>
      </c>
      <c r="E20" s="19" t="s">
        <v>379</v>
      </c>
      <c r="F20" s="19" t="s">
        <v>252</v>
      </c>
      <c r="G20" s="10" t="s">
        <v>28</v>
      </c>
      <c r="H20" s="11">
        <v>2915</v>
      </c>
    </row>
    <row r="21" spans="1:8" ht="20.100000000000001" customHeight="1" x14ac:dyDescent="0.25">
      <c r="A21" s="74"/>
      <c r="B21" s="2">
        <v>44998</v>
      </c>
      <c r="C21" s="3">
        <v>3819260517</v>
      </c>
      <c r="D21" s="3">
        <v>1</v>
      </c>
      <c r="E21" s="19" t="s">
        <v>379</v>
      </c>
      <c r="F21" s="19" t="s">
        <v>252</v>
      </c>
      <c r="G21" s="10" t="s">
        <v>28</v>
      </c>
      <c r="H21" s="11">
        <v>585</v>
      </c>
    </row>
    <row r="22" spans="1:8" ht="20.100000000000001" customHeight="1" x14ac:dyDescent="0.25">
      <c r="A22" s="74"/>
      <c r="B22" s="2">
        <v>44999</v>
      </c>
      <c r="C22" s="3">
        <v>4057286388</v>
      </c>
      <c r="D22" s="3">
        <v>8</v>
      </c>
      <c r="E22" s="19" t="s">
        <v>380</v>
      </c>
      <c r="F22" s="19" t="s">
        <v>250</v>
      </c>
      <c r="G22" s="10" t="s">
        <v>7</v>
      </c>
      <c r="H22" s="11">
        <v>6500</v>
      </c>
    </row>
    <row r="23" spans="1:8" ht="20.100000000000001" customHeight="1" x14ac:dyDescent="0.25">
      <c r="A23" s="74"/>
      <c r="B23" s="2">
        <v>45000</v>
      </c>
      <c r="C23" s="3">
        <v>1430015315</v>
      </c>
      <c r="D23" s="3">
        <v>8</v>
      </c>
      <c r="E23" s="19" t="s">
        <v>24</v>
      </c>
      <c r="F23" s="19" t="s">
        <v>133</v>
      </c>
      <c r="G23" s="10" t="s">
        <v>7</v>
      </c>
      <c r="H23" s="11">
        <v>6250</v>
      </c>
    </row>
    <row r="24" spans="1:8" ht="20.100000000000001" customHeight="1" x14ac:dyDescent="0.25">
      <c r="A24" s="74"/>
      <c r="B24" s="2">
        <v>45005</v>
      </c>
      <c r="C24" s="3">
        <v>2929476622</v>
      </c>
      <c r="D24" s="3">
        <v>8</v>
      </c>
      <c r="E24" s="19" t="s">
        <v>381</v>
      </c>
      <c r="F24" s="19" t="s">
        <v>250</v>
      </c>
      <c r="G24" s="10" t="s">
        <v>7</v>
      </c>
      <c r="H24" s="11">
        <v>6500</v>
      </c>
    </row>
    <row r="25" spans="1:8" ht="15.75" x14ac:dyDescent="0.25">
      <c r="A25" s="74"/>
      <c r="B25" s="2">
        <v>45012</v>
      </c>
      <c r="C25" s="3">
        <v>1227768852</v>
      </c>
      <c r="D25" s="3">
        <v>8</v>
      </c>
      <c r="E25" s="19" t="s">
        <v>355</v>
      </c>
      <c r="F25" s="19" t="s">
        <v>382</v>
      </c>
      <c r="G25" s="10" t="s">
        <v>7</v>
      </c>
      <c r="H25" s="11">
        <v>6500</v>
      </c>
    </row>
    <row r="26" spans="1:8" ht="20.100000000000001" customHeight="1" x14ac:dyDescent="0.25">
      <c r="A26" s="74"/>
      <c r="B26" s="2">
        <v>45033</v>
      </c>
      <c r="C26" s="3">
        <v>3125299252</v>
      </c>
      <c r="D26" s="3">
        <v>8</v>
      </c>
      <c r="E26" s="19" t="s">
        <v>554</v>
      </c>
      <c r="F26" s="19" t="s">
        <v>250</v>
      </c>
      <c r="G26" s="10" t="s">
        <v>6</v>
      </c>
      <c r="H26" s="11">
        <v>6500</v>
      </c>
    </row>
    <row r="27" spans="1:8" ht="20.100000000000001" customHeight="1" x14ac:dyDescent="0.25">
      <c r="A27" s="74"/>
      <c r="B27" s="2">
        <v>45035</v>
      </c>
      <c r="C27" s="3">
        <v>2511749611</v>
      </c>
      <c r="D27" s="3">
        <v>8</v>
      </c>
      <c r="E27" s="19" t="s">
        <v>555</v>
      </c>
      <c r="F27" s="19" t="s">
        <v>556</v>
      </c>
      <c r="G27" s="10" t="s">
        <v>14</v>
      </c>
      <c r="H27" s="11">
        <v>6500</v>
      </c>
    </row>
    <row r="28" spans="1:8" ht="20.100000000000001" customHeight="1" x14ac:dyDescent="0.25">
      <c r="A28" s="74"/>
      <c r="B28" s="2">
        <v>45040</v>
      </c>
      <c r="C28" s="3">
        <v>1358908248</v>
      </c>
      <c r="D28" s="3">
        <v>8</v>
      </c>
      <c r="E28" s="19" t="s">
        <v>123</v>
      </c>
      <c r="F28" s="19" t="s">
        <v>557</v>
      </c>
      <c r="G28" s="10" t="s">
        <v>7</v>
      </c>
      <c r="H28" s="11">
        <v>6500</v>
      </c>
    </row>
    <row r="29" spans="1:8" ht="20.100000000000001" customHeight="1" x14ac:dyDescent="0.25">
      <c r="A29" s="74"/>
      <c r="B29" s="2">
        <v>45040</v>
      </c>
      <c r="C29" s="3">
        <v>1392791543</v>
      </c>
      <c r="D29" s="3">
        <v>8</v>
      </c>
      <c r="E29" s="19" t="s">
        <v>255</v>
      </c>
      <c r="F29" s="19" t="s">
        <v>558</v>
      </c>
      <c r="G29" s="10" t="s">
        <v>7</v>
      </c>
      <c r="H29" s="11">
        <v>6250</v>
      </c>
    </row>
    <row r="30" spans="1:8" ht="20.100000000000001" customHeight="1" x14ac:dyDescent="0.25">
      <c r="A30" s="74"/>
      <c r="B30" s="2">
        <v>45040</v>
      </c>
      <c r="C30" s="3">
        <v>1392791543</v>
      </c>
      <c r="D30" s="3">
        <v>1</v>
      </c>
      <c r="E30" s="19" t="s">
        <v>255</v>
      </c>
      <c r="F30" s="19" t="s">
        <v>559</v>
      </c>
      <c r="G30" s="10" t="s">
        <v>7</v>
      </c>
      <c r="H30" s="11">
        <v>1625</v>
      </c>
    </row>
    <row r="31" spans="1:8" ht="20.100000000000001" customHeight="1" x14ac:dyDescent="0.25">
      <c r="A31" s="74"/>
      <c r="B31" s="2">
        <v>45041</v>
      </c>
      <c r="C31" s="3">
        <v>779174422</v>
      </c>
      <c r="D31" s="3">
        <v>8</v>
      </c>
      <c r="E31" s="19" t="s">
        <v>560</v>
      </c>
      <c r="F31" s="19" t="s">
        <v>561</v>
      </c>
      <c r="G31" s="10" t="s">
        <v>6</v>
      </c>
      <c r="H31" s="11">
        <v>6500</v>
      </c>
    </row>
    <row r="32" spans="1:8" ht="20.100000000000001" customHeight="1" x14ac:dyDescent="0.25">
      <c r="A32" s="74"/>
      <c r="B32" s="2">
        <v>45042</v>
      </c>
      <c r="C32" s="3">
        <v>3608626180</v>
      </c>
      <c r="D32" s="3">
        <v>2</v>
      </c>
      <c r="E32" s="19" t="s">
        <v>562</v>
      </c>
      <c r="F32" s="19" t="s">
        <v>563</v>
      </c>
      <c r="G32" s="10" t="s">
        <v>11</v>
      </c>
      <c r="H32" s="11">
        <v>2000</v>
      </c>
    </row>
    <row r="33" spans="1:8" ht="20.100000000000001" customHeight="1" x14ac:dyDescent="0.25">
      <c r="A33" s="74"/>
      <c r="B33" s="2">
        <v>45042</v>
      </c>
      <c r="C33" s="3">
        <v>1225607391</v>
      </c>
      <c r="D33" s="3">
        <v>8</v>
      </c>
      <c r="E33" s="19" t="s">
        <v>564</v>
      </c>
      <c r="F33" s="19" t="s">
        <v>557</v>
      </c>
      <c r="G33" s="10" t="s">
        <v>7</v>
      </c>
      <c r="H33" s="11">
        <v>6500</v>
      </c>
    </row>
    <row r="34" spans="1:8" ht="20.100000000000001" customHeight="1" x14ac:dyDescent="0.25">
      <c r="A34" s="74"/>
      <c r="B34" s="2">
        <v>45051</v>
      </c>
      <c r="C34" s="3">
        <v>2861254121</v>
      </c>
      <c r="D34" s="3">
        <v>8</v>
      </c>
      <c r="E34" s="19" t="s">
        <v>625</v>
      </c>
      <c r="F34" s="19" t="s">
        <v>630</v>
      </c>
      <c r="G34" s="10" t="s">
        <v>6</v>
      </c>
      <c r="H34" s="11">
        <v>6500</v>
      </c>
    </row>
    <row r="35" spans="1:8" ht="20.100000000000001" customHeight="1" x14ac:dyDescent="0.25">
      <c r="A35" s="74"/>
      <c r="B35" s="2">
        <v>45061</v>
      </c>
      <c r="C35" s="3">
        <v>1533296782</v>
      </c>
      <c r="D35" s="3">
        <v>8</v>
      </c>
      <c r="E35" s="19" t="s">
        <v>631</v>
      </c>
      <c r="F35" s="19" t="s">
        <v>632</v>
      </c>
      <c r="G35" s="10" t="s">
        <v>16</v>
      </c>
      <c r="H35" s="11">
        <v>6500</v>
      </c>
    </row>
    <row r="36" spans="1:8" ht="20.100000000000001" customHeight="1" x14ac:dyDescent="0.25">
      <c r="A36" s="74"/>
      <c r="B36" s="2">
        <v>45063</v>
      </c>
      <c r="C36" s="3">
        <v>1327845006</v>
      </c>
      <c r="D36" s="3">
        <v>8</v>
      </c>
      <c r="E36" s="19" t="s">
        <v>633</v>
      </c>
      <c r="F36" s="19" t="s">
        <v>635</v>
      </c>
      <c r="G36" s="10" t="s">
        <v>28</v>
      </c>
      <c r="H36" s="11">
        <v>6500</v>
      </c>
    </row>
    <row r="37" spans="1:8" ht="20.100000000000001" customHeight="1" x14ac:dyDescent="0.25">
      <c r="A37" s="74"/>
      <c r="B37" s="2">
        <v>45064</v>
      </c>
      <c r="C37" s="3">
        <v>1618298872</v>
      </c>
      <c r="D37" s="3">
        <v>8</v>
      </c>
      <c r="E37" s="19" t="s">
        <v>634</v>
      </c>
      <c r="F37" s="19" t="s">
        <v>636</v>
      </c>
      <c r="G37" s="10" t="s">
        <v>28</v>
      </c>
      <c r="H37" s="11">
        <v>6500</v>
      </c>
    </row>
    <row r="38" spans="1:8" ht="20.100000000000001" customHeight="1" x14ac:dyDescent="0.25">
      <c r="A38" s="74"/>
      <c r="B38" s="2">
        <v>45065</v>
      </c>
      <c r="C38" s="3">
        <v>1049381839</v>
      </c>
      <c r="D38" s="3">
        <v>8</v>
      </c>
      <c r="E38" s="19" t="s">
        <v>637</v>
      </c>
      <c r="F38" s="19" t="s">
        <v>638</v>
      </c>
      <c r="G38" s="10" t="s">
        <v>7</v>
      </c>
      <c r="H38" s="11">
        <v>6500</v>
      </c>
    </row>
    <row r="39" spans="1:8" ht="20.100000000000001" customHeight="1" x14ac:dyDescent="0.25">
      <c r="A39" s="74"/>
      <c r="B39" s="2">
        <v>45070</v>
      </c>
      <c r="C39" s="3">
        <v>4171058626</v>
      </c>
      <c r="D39" s="3">
        <v>8</v>
      </c>
      <c r="E39" s="19" t="s">
        <v>391</v>
      </c>
      <c r="F39" s="19" t="s">
        <v>162</v>
      </c>
      <c r="G39" s="10" t="s">
        <v>28</v>
      </c>
      <c r="H39" s="11">
        <v>6500</v>
      </c>
    </row>
    <row r="40" spans="1:8" ht="20.100000000000001" customHeight="1" x14ac:dyDescent="0.25">
      <c r="A40" s="74"/>
      <c r="B40" s="2">
        <v>45072</v>
      </c>
      <c r="C40" s="3">
        <v>2444970953</v>
      </c>
      <c r="D40" s="3">
        <v>8</v>
      </c>
      <c r="E40" s="19" t="s">
        <v>639</v>
      </c>
      <c r="F40" s="19" t="s">
        <v>640</v>
      </c>
      <c r="G40" s="10" t="s">
        <v>7</v>
      </c>
      <c r="H40" s="11">
        <v>6500</v>
      </c>
    </row>
    <row r="41" spans="1:8" ht="20.100000000000001" customHeight="1" x14ac:dyDescent="0.25">
      <c r="A41" s="74"/>
      <c r="B41" s="2">
        <v>45077</v>
      </c>
      <c r="C41" s="3">
        <v>152192635</v>
      </c>
      <c r="D41" s="3">
        <v>8</v>
      </c>
      <c r="E41" s="19" t="s">
        <v>641</v>
      </c>
      <c r="F41" s="19" t="s">
        <v>250</v>
      </c>
      <c r="G41" s="10" t="s">
        <v>11</v>
      </c>
      <c r="H41" s="11">
        <v>6500</v>
      </c>
    </row>
    <row r="42" spans="1:8" ht="20.100000000000001" customHeight="1" x14ac:dyDescent="0.25">
      <c r="A42" s="74"/>
      <c r="B42" s="2">
        <v>45077</v>
      </c>
      <c r="C42" s="3">
        <v>3720695308</v>
      </c>
      <c r="D42" s="3">
        <v>8</v>
      </c>
      <c r="E42" s="19" t="s">
        <v>642</v>
      </c>
      <c r="F42" s="19" t="s">
        <v>643</v>
      </c>
      <c r="G42" s="10" t="s">
        <v>7</v>
      </c>
      <c r="H42" s="11">
        <v>6500</v>
      </c>
    </row>
    <row r="43" spans="1:8" ht="20.100000000000001" customHeight="1" x14ac:dyDescent="0.25">
      <c r="A43" s="74"/>
      <c r="B43" s="2">
        <v>45078</v>
      </c>
      <c r="C43" s="3">
        <v>3574732780</v>
      </c>
      <c r="D43" s="3">
        <v>8</v>
      </c>
      <c r="E43" s="19" t="s">
        <v>720</v>
      </c>
      <c r="F43" s="19" t="s">
        <v>721</v>
      </c>
      <c r="G43" s="10" t="s">
        <v>6</v>
      </c>
      <c r="H43" s="11">
        <v>6500</v>
      </c>
    </row>
    <row r="44" spans="1:8" ht="20.100000000000001" customHeight="1" x14ac:dyDescent="0.25">
      <c r="A44" s="74"/>
      <c r="B44" s="2">
        <v>45079</v>
      </c>
      <c r="C44" s="3">
        <v>3101704671</v>
      </c>
      <c r="D44" s="3">
        <v>8</v>
      </c>
      <c r="E44" s="19" t="s">
        <v>722</v>
      </c>
      <c r="F44" s="19" t="s">
        <v>254</v>
      </c>
      <c r="G44" s="10" t="s">
        <v>7</v>
      </c>
      <c r="H44" s="11">
        <v>6500</v>
      </c>
    </row>
    <row r="45" spans="1:8" ht="20.100000000000001" customHeight="1" x14ac:dyDescent="0.25">
      <c r="A45" s="74"/>
      <c r="B45" s="2">
        <v>45084</v>
      </c>
      <c r="C45" s="3">
        <v>2573160404</v>
      </c>
      <c r="D45" s="3">
        <v>7</v>
      </c>
      <c r="E45" s="19" t="s">
        <v>723</v>
      </c>
      <c r="F45" s="19" t="s">
        <v>724</v>
      </c>
      <c r="G45" s="10" t="s">
        <v>6</v>
      </c>
      <c r="H45" s="11">
        <v>6013</v>
      </c>
    </row>
    <row r="46" spans="1:8" ht="20.100000000000001" customHeight="1" x14ac:dyDescent="0.25">
      <c r="A46" s="74"/>
      <c r="B46" s="2">
        <v>45084</v>
      </c>
      <c r="C46" s="3">
        <v>2573160404</v>
      </c>
      <c r="D46" s="3">
        <v>1</v>
      </c>
      <c r="E46" s="19" t="s">
        <v>723</v>
      </c>
      <c r="F46" s="19" t="s">
        <v>724</v>
      </c>
      <c r="G46" s="10" t="s">
        <v>6</v>
      </c>
      <c r="H46" s="11">
        <v>862</v>
      </c>
    </row>
    <row r="47" spans="1:8" ht="20.100000000000001" customHeight="1" x14ac:dyDescent="0.25">
      <c r="A47" s="74"/>
      <c r="B47" s="2">
        <v>45089</v>
      </c>
      <c r="C47" s="3">
        <v>3132966900</v>
      </c>
      <c r="D47" s="3">
        <v>8</v>
      </c>
      <c r="E47" s="19" t="s">
        <v>725</v>
      </c>
      <c r="F47" s="19" t="s">
        <v>254</v>
      </c>
      <c r="G47" s="10" t="s">
        <v>7</v>
      </c>
      <c r="H47" s="11">
        <v>6500</v>
      </c>
    </row>
    <row r="48" spans="1:8" ht="15.75" x14ac:dyDescent="0.25">
      <c r="A48" s="74"/>
      <c r="B48" s="2">
        <v>45092</v>
      </c>
      <c r="C48" s="3">
        <v>1375552100</v>
      </c>
      <c r="D48" s="3">
        <v>1</v>
      </c>
      <c r="E48" s="19" t="s">
        <v>305</v>
      </c>
      <c r="F48" s="19" t="s">
        <v>249</v>
      </c>
      <c r="G48" s="10" t="s">
        <v>14</v>
      </c>
      <c r="H48" s="11">
        <v>1500</v>
      </c>
    </row>
    <row r="49" spans="1:8" ht="20.100000000000001" customHeight="1" x14ac:dyDescent="0.25">
      <c r="A49" s="74"/>
      <c r="B49" s="2">
        <v>45096</v>
      </c>
      <c r="C49" s="3">
        <v>73812380</v>
      </c>
      <c r="D49" s="3">
        <v>5</v>
      </c>
      <c r="E49" s="19" t="s">
        <v>631</v>
      </c>
      <c r="F49" s="19" t="s">
        <v>252</v>
      </c>
      <c r="G49" s="10" t="s">
        <v>14</v>
      </c>
      <c r="H49" s="11">
        <v>3165</v>
      </c>
    </row>
    <row r="50" spans="1:8" ht="20.100000000000001" customHeight="1" x14ac:dyDescent="0.25">
      <c r="A50" s="74"/>
      <c r="B50" s="2">
        <v>45096</v>
      </c>
      <c r="C50" s="3">
        <v>73812380</v>
      </c>
      <c r="D50" s="3">
        <v>1</v>
      </c>
      <c r="E50" s="19" t="s">
        <v>631</v>
      </c>
      <c r="F50" s="19" t="s">
        <v>252</v>
      </c>
      <c r="G50" s="10" t="s">
        <v>14</v>
      </c>
      <c r="H50" s="11">
        <v>635</v>
      </c>
    </row>
    <row r="51" spans="1:8" ht="20.100000000000001" customHeight="1" x14ac:dyDescent="0.25">
      <c r="A51" s="74"/>
      <c r="B51" s="2">
        <v>45099</v>
      </c>
      <c r="C51" s="3">
        <v>3564389051</v>
      </c>
      <c r="D51" s="3">
        <v>8</v>
      </c>
      <c r="E51" s="19" t="s">
        <v>726</v>
      </c>
      <c r="F51" s="19" t="s">
        <v>133</v>
      </c>
      <c r="G51" s="10" t="s">
        <v>6</v>
      </c>
      <c r="H51" s="11">
        <v>6500</v>
      </c>
    </row>
    <row r="52" spans="1:8" ht="20.100000000000001" customHeight="1" x14ac:dyDescent="0.25">
      <c r="A52" s="74"/>
      <c r="B52" s="2">
        <v>45099</v>
      </c>
      <c r="C52" s="3">
        <v>2922333208</v>
      </c>
      <c r="D52" s="3">
        <v>1</v>
      </c>
      <c r="E52" s="19" t="s">
        <v>305</v>
      </c>
      <c r="F52" s="19" t="s">
        <v>249</v>
      </c>
      <c r="G52" s="10" t="s">
        <v>7</v>
      </c>
      <c r="H52" s="11">
        <v>500</v>
      </c>
    </row>
    <row r="53" spans="1:8" ht="20.100000000000001" customHeight="1" x14ac:dyDescent="0.25">
      <c r="A53" s="74"/>
      <c r="B53" s="2">
        <v>45105</v>
      </c>
      <c r="C53" s="3">
        <v>1334134386</v>
      </c>
      <c r="D53" s="3">
        <v>8</v>
      </c>
      <c r="E53" s="19" t="s">
        <v>727</v>
      </c>
      <c r="F53" s="19" t="s">
        <v>133</v>
      </c>
      <c r="G53" s="10" t="s">
        <v>7</v>
      </c>
      <c r="H53" s="11">
        <v>6500</v>
      </c>
    </row>
    <row r="54" spans="1:8" ht="20.100000000000001" customHeight="1" x14ac:dyDescent="0.25">
      <c r="A54" s="74"/>
      <c r="B54" s="2">
        <v>45111</v>
      </c>
      <c r="C54" s="3">
        <v>1353402564</v>
      </c>
      <c r="D54" s="3">
        <v>8</v>
      </c>
      <c r="E54" s="19" t="s">
        <v>815</v>
      </c>
      <c r="F54" s="19" t="s">
        <v>133</v>
      </c>
      <c r="G54" s="10" t="s">
        <v>16</v>
      </c>
      <c r="H54" s="11">
        <v>6500</v>
      </c>
    </row>
    <row r="55" spans="1:8" ht="20.100000000000001" customHeight="1" x14ac:dyDescent="0.25">
      <c r="A55" s="74"/>
      <c r="B55" s="2">
        <v>45120</v>
      </c>
      <c r="C55" s="3">
        <v>3562029151</v>
      </c>
      <c r="D55" s="3">
        <v>1</v>
      </c>
      <c r="E55" s="19" t="s">
        <v>119</v>
      </c>
      <c r="F55" s="19" t="s">
        <v>816</v>
      </c>
      <c r="G55" s="10" t="s">
        <v>36</v>
      </c>
      <c r="H55" s="11">
        <v>3052</v>
      </c>
    </row>
    <row r="56" spans="1:8" ht="20.100000000000001" customHeight="1" x14ac:dyDescent="0.25">
      <c r="A56" s="74"/>
      <c r="B56" s="2">
        <v>45120</v>
      </c>
      <c r="C56" s="3">
        <v>3562029151</v>
      </c>
      <c r="D56" s="3">
        <v>1</v>
      </c>
      <c r="E56" s="19" t="s">
        <v>119</v>
      </c>
      <c r="F56" s="19" t="s">
        <v>816</v>
      </c>
      <c r="G56" s="10" t="s">
        <v>14</v>
      </c>
      <c r="H56" s="11">
        <v>397</v>
      </c>
    </row>
    <row r="57" spans="1:8" ht="20.100000000000001" customHeight="1" x14ac:dyDescent="0.25">
      <c r="A57" s="74"/>
      <c r="B57" s="2">
        <v>45121</v>
      </c>
      <c r="C57" s="3">
        <v>757745519</v>
      </c>
      <c r="D57" s="3">
        <v>1</v>
      </c>
      <c r="E57" s="19" t="s">
        <v>119</v>
      </c>
      <c r="F57" s="19" t="s">
        <v>817</v>
      </c>
      <c r="G57" s="10" t="s">
        <v>36</v>
      </c>
      <c r="H57" s="11">
        <v>3072</v>
      </c>
    </row>
    <row r="58" spans="1:8" ht="20.100000000000001" customHeight="1" x14ac:dyDescent="0.25">
      <c r="A58" s="74"/>
      <c r="B58" s="2">
        <v>45127</v>
      </c>
      <c r="C58" s="3">
        <v>3347139663</v>
      </c>
      <c r="D58" s="3">
        <v>1</v>
      </c>
      <c r="E58" s="19" t="s">
        <v>305</v>
      </c>
      <c r="F58" s="19" t="s">
        <v>249</v>
      </c>
      <c r="G58" s="10" t="s">
        <v>14</v>
      </c>
      <c r="H58" s="11">
        <v>1000</v>
      </c>
    </row>
    <row r="59" spans="1:8" ht="20.100000000000001" customHeight="1" x14ac:dyDescent="0.25">
      <c r="A59" s="74"/>
      <c r="B59" s="2">
        <v>45127</v>
      </c>
      <c r="C59" s="3">
        <v>3347139663</v>
      </c>
      <c r="D59" s="3">
        <v>1</v>
      </c>
      <c r="E59" s="19" t="s">
        <v>305</v>
      </c>
      <c r="F59" s="19" t="s">
        <v>251</v>
      </c>
      <c r="G59" s="10" t="s">
        <v>7</v>
      </c>
      <c r="H59" s="11">
        <v>300</v>
      </c>
    </row>
    <row r="60" spans="1:8" ht="20.100000000000001" customHeight="1" x14ac:dyDescent="0.25">
      <c r="A60" s="74"/>
      <c r="B60" s="2">
        <v>45132</v>
      </c>
      <c r="C60" s="3">
        <v>1420902486</v>
      </c>
      <c r="D60" s="3">
        <v>6</v>
      </c>
      <c r="E60" s="19" t="s">
        <v>818</v>
      </c>
      <c r="F60" s="19" t="s">
        <v>252</v>
      </c>
      <c r="G60" s="10" t="s">
        <v>7</v>
      </c>
      <c r="H60" s="11">
        <v>3900</v>
      </c>
    </row>
    <row r="61" spans="1:8" ht="20.100000000000001" customHeight="1" x14ac:dyDescent="0.25">
      <c r="A61" s="74"/>
      <c r="B61" s="2">
        <v>45132</v>
      </c>
      <c r="C61" s="3">
        <v>1744063022</v>
      </c>
      <c r="D61" s="3">
        <v>8</v>
      </c>
      <c r="E61" s="19" t="s">
        <v>819</v>
      </c>
      <c r="F61" s="19" t="s">
        <v>250</v>
      </c>
      <c r="G61" s="10" t="s">
        <v>7</v>
      </c>
      <c r="H61" s="11">
        <v>6500</v>
      </c>
    </row>
    <row r="62" spans="1:8" ht="20.100000000000001" customHeight="1" x14ac:dyDescent="0.25">
      <c r="A62" s="74"/>
      <c r="B62" s="2">
        <v>45147</v>
      </c>
      <c r="C62" s="3">
        <v>395790985</v>
      </c>
      <c r="D62" s="3">
        <v>7</v>
      </c>
      <c r="E62" s="19" t="s">
        <v>964</v>
      </c>
      <c r="F62" s="19" t="s">
        <v>965</v>
      </c>
      <c r="G62" s="10" t="s">
        <v>7</v>
      </c>
      <c r="H62" s="11">
        <v>6013</v>
      </c>
    </row>
    <row r="63" spans="1:8" ht="20.100000000000001" customHeight="1" x14ac:dyDescent="0.25">
      <c r="A63" s="74"/>
      <c r="B63" s="2">
        <v>45147</v>
      </c>
      <c r="C63" s="3">
        <v>395790985</v>
      </c>
      <c r="D63" s="3">
        <v>1</v>
      </c>
      <c r="E63" s="19" t="s">
        <v>964</v>
      </c>
      <c r="F63" s="19" t="s">
        <v>965</v>
      </c>
      <c r="G63" s="10" t="s">
        <v>7</v>
      </c>
      <c r="H63" s="11">
        <v>862</v>
      </c>
    </row>
    <row r="64" spans="1:8" ht="20.100000000000001" customHeight="1" x14ac:dyDescent="0.25">
      <c r="A64" s="74"/>
      <c r="B64" s="2">
        <v>45155</v>
      </c>
      <c r="C64" s="3">
        <v>3861465003</v>
      </c>
      <c r="D64" s="3">
        <v>2</v>
      </c>
      <c r="E64" s="19" t="s">
        <v>966</v>
      </c>
      <c r="F64" s="19" t="s">
        <v>162</v>
      </c>
      <c r="G64" s="10" t="s">
        <v>6</v>
      </c>
      <c r="H64" s="11">
        <v>1625</v>
      </c>
    </row>
    <row r="65" spans="1:8" ht="20.100000000000001" customHeight="1" x14ac:dyDescent="0.25">
      <c r="A65" s="74"/>
      <c r="B65" s="2">
        <v>45160</v>
      </c>
      <c r="C65" s="3">
        <v>2205958632</v>
      </c>
      <c r="D65" s="3">
        <v>8</v>
      </c>
      <c r="E65" s="19" t="s">
        <v>967</v>
      </c>
      <c r="F65" s="19" t="s">
        <v>968</v>
      </c>
      <c r="G65" s="10" t="s">
        <v>7</v>
      </c>
      <c r="H65" s="11">
        <v>3900</v>
      </c>
    </row>
    <row r="66" spans="1:8" ht="20.100000000000001" customHeight="1" x14ac:dyDescent="0.25">
      <c r="A66" s="74"/>
      <c r="B66" s="2">
        <v>45169</v>
      </c>
      <c r="C66" s="3">
        <v>1369132982</v>
      </c>
      <c r="D66" s="3">
        <v>8</v>
      </c>
      <c r="E66" s="19" t="s">
        <v>969</v>
      </c>
      <c r="F66" s="19" t="s">
        <v>162</v>
      </c>
      <c r="G66" s="10" t="s">
        <v>7</v>
      </c>
      <c r="H66" s="11">
        <v>6500</v>
      </c>
    </row>
    <row r="67" spans="1:8" ht="20.100000000000001" customHeight="1" x14ac:dyDescent="0.25">
      <c r="A67" s="74"/>
      <c r="B67" s="2">
        <v>45170</v>
      </c>
      <c r="C67" s="3">
        <v>769543583</v>
      </c>
      <c r="D67" s="3">
        <v>3</v>
      </c>
      <c r="E67" s="19" t="s">
        <v>1050</v>
      </c>
      <c r="F67" s="19" t="s">
        <v>1051</v>
      </c>
      <c r="G67" s="10" t="s">
        <v>28</v>
      </c>
      <c r="H67" s="11">
        <v>3000</v>
      </c>
    </row>
    <row r="68" spans="1:8" ht="20.100000000000001" customHeight="1" x14ac:dyDescent="0.25">
      <c r="A68" s="74"/>
      <c r="B68" s="2">
        <v>45175</v>
      </c>
      <c r="C68" s="3">
        <v>3254534871</v>
      </c>
      <c r="D68" s="3">
        <v>8</v>
      </c>
      <c r="E68" s="19" t="s">
        <v>1052</v>
      </c>
      <c r="F68" s="19" t="s">
        <v>1053</v>
      </c>
      <c r="G68" s="10" t="s">
        <v>7</v>
      </c>
      <c r="H68" s="11">
        <v>6500</v>
      </c>
    </row>
    <row r="69" spans="1:8" ht="20.100000000000001" customHeight="1" x14ac:dyDescent="0.25">
      <c r="A69" s="74"/>
      <c r="B69" s="2">
        <v>45177</v>
      </c>
      <c r="C69" s="3">
        <v>1676429535</v>
      </c>
      <c r="D69" s="3">
        <v>8</v>
      </c>
      <c r="E69" s="19" t="s">
        <v>1054</v>
      </c>
      <c r="F69" s="19" t="s">
        <v>68</v>
      </c>
      <c r="G69" s="10" t="s">
        <v>7</v>
      </c>
      <c r="H69" s="11">
        <v>6500</v>
      </c>
    </row>
    <row r="70" spans="1:8" ht="20.100000000000001" customHeight="1" x14ac:dyDescent="0.25">
      <c r="A70" s="74"/>
      <c r="B70" s="2">
        <v>45182</v>
      </c>
      <c r="C70" s="3">
        <v>708593533</v>
      </c>
      <c r="D70" s="3">
        <v>8</v>
      </c>
      <c r="E70" s="19" t="s">
        <v>1055</v>
      </c>
      <c r="F70" s="19" t="s">
        <v>1056</v>
      </c>
      <c r="G70" s="10" t="s">
        <v>28</v>
      </c>
      <c r="H70" s="11">
        <v>6500</v>
      </c>
    </row>
    <row r="71" spans="1:8" ht="20.100000000000001" customHeight="1" x14ac:dyDescent="0.25">
      <c r="A71" s="74"/>
      <c r="B71" s="2">
        <v>45187</v>
      </c>
      <c r="C71" s="3">
        <v>3131721326</v>
      </c>
      <c r="D71" s="3">
        <v>8</v>
      </c>
      <c r="E71" s="19" t="s">
        <v>745</v>
      </c>
      <c r="F71" s="19" t="s">
        <v>1057</v>
      </c>
      <c r="G71" s="10" t="s">
        <v>11</v>
      </c>
      <c r="H71" s="11">
        <v>6500</v>
      </c>
    </row>
    <row r="72" spans="1:8" ht="20.100000000000001" customHeight="1" x14ac:dyDescent="0.25">
      <c r="A72" s="74"/>
      <c r="B72" s="2">
        <v>45194</v>
      </c>
      <c r="C72" s="3">
        <v>1584023605</v>
      </c>
      <c r="D72" s="3">
        <v>8</v>
      </c>
      <c r="E72" s="19" t="s">
        <v>1058</v>
      </c>
      <c r="F72" s="19" t="s">
        <v>1059</v>
      </c>
      <c r="G72" s="10" t="s">
        <v>7</v>
      </c>
      <c r="H72" s="11">
        <v>6500</v>
      </c>
    </row>
    <row r="73" spans="1:8" ht="20.100000000000001" customHeight="1" x14ac:dyDescent="0.25">
      <c r="A73" s="74"/>
      <c r="B73" s="2">
        <v>45195</v>
      </c>
      <c r="C73" s="3">
        <v>3633729220</v>
      </c>
      <c r="D73" s="3">
        <v>8</v>
      </c>
      <c r="E73" s="19" t="s">
        <v>1048</v>
      </c>
      <c r="F73" s="19" t="s">
        <v>1057</v>
      </c>
      <c r="G73" s="10" t="s">
        <v>28</v>
      </c>
      <c r="H73" s="11">
        <v>6500</v>
      </c>
    </row>
    <row r="74" spans="1:8" ht="20.100000000000001" customHeight="1" x14ac:dyDescent="0.25">
      <c r="A74" s="74"/>
      <c r="B74" s="2">
        <v>45198</v>
      </c>
      <c r="C74" s="3">
        <v>1225146767</v>
      </c>
      <c r="D74" s="3">
        <v>8</v>
      </c>
      <c r="E74" s="19" t="s">
        <v>1060</v>
      </c>
      <c r="F74" s="19" t="s">
        <v>1059</v>
      </c>
      <c r="G74" s="10" t="s">
        <v>7</v>
      </c>
      <c r="H74" s="11">
        <v>6500</v>
      </c>
    </row>
    <row r="75" spans="1:8" ht="20.100000000000001" customHeight="1" x14ac:dyDescent="0.25">
      <c r="A75" s="74"/>
      <c r="B75" s="2">
        <v>45202</v>
      </c>
      <c r="C75" s="3">
        <v>1043614952</v>
      </c>
      <c r="D75" s="3">
        <v>2</v>
      </c>
      <c r="E75" s="19" t="s">
        <v>1143</v>
      </c>
      <c r="F75" s="19" t="s">
        <v>1144</v>
      </c>
      <c r="G75" s="10" t="s">
        <v>14</v>
      </c>
      <c r="H75" s="11">
        <v>1000</v>
      </c>
    </row>
    <row r="76" spans="1:8" ht="15.75" x14ac:dyDescent="0.25">
      <c r="A76" s="74"/>
      <c r="B76" s="2">
        <v>45205</v>
      </c>
      <c r="C76" s="3">
        <v>2987934997</v>
      </c>
      <c r="D76" s="3">
        <v>8</v>
      </c>
      <c r="E76" s="19" t="s">
        <v>1145</v>
      </c>
      <c r="F76" s="19" t="s">
        <v>1433</v>
      </c>
      <c r="G76" s="10" t="s">
        <v>11</v>
      </c>
      <c r="H76" s="11">
        <v>6500</v>
      </c>
    </row>
    <row r="77" spans="1:8" ht="15.75" x14ac:dyDescent="0.25">
      <c r="A77" s="74"/>
      <c r="B77" s="2">
        <v>45233</v>
      </c>
      <c r="C77" s="3">
        <v>1711164460</v>
      </c>
      <c r="D77" s="3">
        <v>1</v>
      </c>
      <c r="E77" s="19" t="s">
        <v>1209</v>
      </c>
      <c r="F77" s="19" t="s">
        <v>1211</v>
      </c>
      <c r="G77" s="10" t="s">
        <v>6</v>
      </c>
      <c r="H77" s="11">
        <v>1150</v>
      </c>
    </row>
    <row r="78" spans="1:8" ht="20.100000000000001" customHeight="1" x14ac:dyDescent="0.25">
      <c r="A78" s="74"/>
      <c r="B78" s="2">
        <v>45239</v>
      </c>
      <c r="C78" s="3">
        <v>453919099</v>
      </c>
      <c r="D78" s="3">
        <v>5</v>
      </c>
      <c r="E78" s="19" t="s">
        <v>1207</v>
      </c>
      <c r="F78" s="19" t="s">
        <v>1211</v>
      </c>
      <c r="G78" s="10" t="s">
        <v>7</v>
      </c>
      <c r="H78" s="11">
        <v>3205</v>
      </c>
    </row>
    <row r="79" spans="1:8" ht="20.100000000000001" customHeight="1" x14ac:dyDescent="0.25">
      <c r="A79" s="74"/>
      <c r="B79" s="2">
        <v>45239</v>
      </c>
      <c r="C79" s="3">
        <v>453919099</v>
      </c>
      <c r="D79" s="3">
        <v>1</v>
      </c>
      <c r="E79" s="19" t="s">
        <v>1207</v>
      </c>
      <c r="F79" s="19" t="s">
        <v>1211</v>
      </c>
      <c r="G79" s="10" t="s">
        <v>7</v>
      </c>
      <c r="H79" s="11">
        <v>645</v>
      </c>
    </row>
    <row r="80" spans="1:8" ht="20.100000000000001" customHeight="1" x14ac:dyDescent="0.25">
      <c r="A80" s="74"/>
      <c r="B80" s="2">
        <v>45243</v>
      </c>
      <c r="C80" s="3">
        <v>4065282753</v>
      </c>
      <c r="D80" s="3">
        <v>8</v>
      </c>
      <c r="E80" s="19" t="s">
        <v>1277</v>
      </c>
      <c r="F80" s="19" t="s">
        <v>1057</v>
      </c>
      <c r="G80" s="10" t="s">
        <v>6</v>
      </c>
      <c r="H80" s="11">
        <v>6500</v>
      </c>
    </row>
    <row r="81" spans="1:8" ht="20.100000000000001" customHeight="1" x14ac:dyDescent="0.25">
      <c r="A81" s="74"/>
      <c r="B81" s="2">
        <v>45244</v>
      </c>
      <c r="C81" s="3">
        <v>3429780701</v>
      </c>
      <c r="D81" s="3">
        <v>8</v>
      </c>
      <c r="E81" s="19" t="s">
        <v>1206</v>
      </c>
      <c r="F81" s="19" t="s">
        <v>1278</v>
      </c>
      <c r="G81" s="10" t="s">
        <v>7</v>
      </c>
      <c r="H81" s="11">
        <v>6500</v>
      </c>
    </row>
    <row r="82" spans="1:8" ht="20.100000000000001" customHeight="1" x14ac:dyDescent="0.25">
      <c r="A82" s="74"/>
      <c r="B82" s="2">
        <v>45251</v>
      </c>
      <c r="C82" s="3">
        <v>180178616</v>
      </c>
      <c r="D82" s="3">
        <v>8</v>
      </c>
      <c r="E82" s="19" t="s">
        <v>1275</v>
      </c>
      <c r="F82" s="19" t="s">
        <v>1057</v>
      </c>
      <c r="G82" s="10" t="s">
        <v>6</v>
      </c>
      <c r="H82" s="11">
        <v>6500</v>
      </c>
    </row>
    <row r="83" spans="1:8" ht="20.100000000000001" customHeight="1" x14ac:dyDescent="0.25">
      <c r="A83" s="74"/>
      <c r="B83" s="2">
        <v>45251</v>
      </c>
      <c r="C83" s="3">
        <v>1582253869</v>
      </c>
      <c r="D83" s="3">
        <v>8</v>
      </c>
      <c r="E83" s="19" t="s">
        <v>633</v>
      </c>
      <c r="F83" s="19" t="s">
        <v>1057</v>
      </c>
      <c r="G83" s="10" t="s">
        <v>7</v>
      </c>
      <c r="H83" s="11">
        <v>6500</v>
      </c>
    </row>
    <row r="84" spans="1:8" ht="20.100000000000001" customHeight="1" x14ac:dyDescent="0.25">
      <c r="A84" s="74"/>
      <c r="B84" s="2">
        <v>45252</v>
      </c>
      <c r="C84" s="3">
        <v>2203339523</v>
      </c>
      <c r="D84" s="3">
        <v>8</v>
      </c>
      <c r="E84" s="19" t="s">
        <v>1257</v>
      </c>
      <c r="F84" s="19" t="s">
        <v>1057</v>
      </c>
      <c r="G84" s="10" t="s">
        <v>7</v>
      </c>
      <c r="H84" s="11">
        <v>6500</v>
      </c>
    </row>
    <row r="85" spans="1:8" ht="20.100000000000001" customHeight="1" x14ac:dyDescent="0.25">
      <c r="A85" s="74"/>
      <c r="B85" s="2">
        <v>45260</v>
      </c>
      <c r="C85" s="3">
        <v>1816809261</v>
      </c>
      <c r="D85" s="3">
        <v>8</v>
      </c>
      <c r="E85" s="19" t="s">
        <v>1367</v>
      </c>
      <c r="F85" s="19" t="s">
        <v>1059</v>
      </c>
      <c r="G85" s="10" t="s">
        <v>6</v>
      </c>
      <c r="H85" s="11">
        <v>6740</v>
      </c>
    </row>
    <row r="86" spans="1:8" ht="20.100000000000001" customHeight="1" x14ac:dyDescent="0.25">
      <c r="A86" s="74"/>
      <c r="B86" s="2">
        <v>45273</v>
      </c>
      <c r="C86" s="3">
        <v>1733380229</v>
      </c>
      <c r="D86" s="3">
        <v>4</v>
      </c>
      <c r="E86" s="19" t="s">
        <v>356</v>
      </c>
      <c r="F86" s="19" t="s">
        <v>254</v>
      </c>
      <c r="G86" s="10" t="s">
        <v>7</v>
      </c>
      <c r="H86" s="11">
        <v>3250</v>
      </c>
    </row>
    <row r="87" spans="1:8" ht="20.100000000000001" customHeight="1" x14ac:dyDescent="0.25">
      <c r="A87" s="74"/>
      <c r="B87" s="2">
        <v>45278</v>
      </c>
      <c r="C87" s="3">
        <v>3265482491</v>
      </c>
      <c r="D87" s="3">
        <v>8</v>
      </c>
      <c r="E87" s="19" t="s">
        <v>1434</v>
      </c>
      <c r="F87" s="19" t="s">
        <v>133</v>
      </c>
      <c r="G87" s="10" t="s">
        <v>11</v>
      </c>
      <c r="H87" s="11">
        <v>6500</v>
      </c>
    </row>
    <row r="88" spans="1:8" ht="20.100000000000001" customHeight="1" x14ac:dyDescent="0.25">
      <c r="A88" s="74"/>
      <c r="B88" s="2">
        <v>45278</v>
      </c>
      <c r="C88" s="3">
        <v>461981108</v>
      </c>
      <c r="D88" s="3">
        <v>8</v>
      </c>
      <c r="E88" s="19" t="s">
        <v>1430</v>
      </c>
      <c r="F88" s="55" t="s">
        <v>1435</v>
      </c>
      <c r="G88" s="10" t="s">
        <v>16</v>
      </c>
      <c r="H88" s="11">
        <v>6500</v>
      </c>
    </row>
    <row r="89" spans="1:8" ht="20.100000000000001" customHeight="1" x14ac:dyDescent="0.25">
      <c r="A89" s="74"/>
      <c r="B89" s="2">
        <v>45278</v>
      </c>
      <c r="C89" s="3">
        <v>182013905</v>
      </c>
      <c r="D89" s="3">
        <v>1</v>
      </c>
      <c r="E89" s="19" t="s">
        <v>912</v>
      </c>
      <c r="F89" s="19" t="s">
        <v>1436</v>
      </c>
      <c r="G89" s="10" t="s">
        <v>28</v>
      </c>
      <c r="H89" s="11">
        <v>683.5</v>
      </c>
    </row>
    <row r="90" spans="1:8" ht="20.100000000000001" customHeight="1" x14ac:dyDescent="0.25">
      <c r="A90" s="74"/>
      <c r="B90" s="2">
        <v>45278</v>
      </c>
      <c r="C90" s="3">
        <v>182013905</v>
      </c>
      <c r="D90" s="3">
        <v>1</v>
      </c>
      <c r="E90" s="19" t="s">
        <v>912</v>
      </c>
      <c r="F90" s="19" t="s">
        <v>636</v>
      </c>
      <c r="G90" s="10" t="s">
        <v>28</v>
      </c>
      <c r="H90" s="11">
        <v>812.5</v>
      </c>
    </row>
    <row r="91" spans="1:8" ht="20.100000000000001" customHeight="1" x14ac:dyDescent="0.25">
      <c r="A91" s="74"/>
      <c r="B91" s="2">
        <v>45280</v>
      </c>
      <c r="C91" s="3">
        <v>3358608807</v>
      </c>
      <c r="D91" s="3">
        <v>1</v>
      </c>
      <c r="E91" s="19" t="s">
        <v>912</v>
      </c>
      <c r="F91" s="19" t="s">
        <v>1437</v>
      </c>
      <c r="G91" s="10" t="s">
        <v>28</v>
      </c>
      <c r="H91" s="11">
        <v>5000</v>
      </c>
    </row>
    <row r="92" spans="1:8" ht="15.75" x14ac:dyDescent="0.25">
      <c r="A92" s="75"/>
      <c r="B92" s="13"/>
      <c r="C92" s="14"/>
      <c r="D92" s="14"/>
      <c r="E92" s="14" t="s">
        <v>5</v>
      </c>
      <c r="F92" s="15"/>
      <c r="G92" s="16"/>
      <c r="H92" s="23">
        <f>SUM(H3:H91)</f>
        <v>418531.99959999998</v>
      </c>
    </row>
  </sheetData>
  <autoFilter ref="B1:H92" xr:uid="{00000000-0009-0000-0000-000006000000}"/>
  <mergeCells count="8">
    <mergeCell ref="A1:A92"/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"/>
  <sheetViews>
    <sheetView workbookViewId="0">
      <selection activeCell="C12" sqref="C12"/>
    </sheetView>
  </sheetViews>
  <sheetFormatPr baseColWidth="10" defaultColWidth="9.140625" defaultRowHeight="15" x14ac:dyDescent="0.25"/>
  <cols>
    <col min="1" max="1" width="16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3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23</v>
      </c>
      <c r="B1" s="71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4"/>
      <c r="B2" s="65"/>
      <c r="C2" s="67"/>
      <c r="D2" s="67"/>
      <c r="E2" s="67"/>
      <c r="F2" s="67"/>
      <c r="G2" s="61"/>
      <c r="H2" s="63"/>
    </row>
    <row r="3" spans="1:8" ht="15" customHeight="1" x14ac:dyDescent="0.25">
      <c r="A3" s="74"/>
      <c r="B3" s="54" t="s">
        <v>1438</v>
      </c>
      <c r="C3" s="54" t="s">
        <v>1438</v>
      </c>
      <c r="D3" s="54" t="s">
        <v>1438</v>
      </c>
      <c r="E3" s="54" t="s">
        <v>1438</v>
      </c>
      <c r="F3" s="54" t="s">
        <v>1438</v>
      </c>
      <c r="G3" s="54" t="s">
        <v>1438</v>
      </c>
      <c r="H3" s="11">
        <v>0</v>
      </c>
    </row>
    <row r="4" spans="1:8" ht="15.75" x14ac:dyDescent="0.25">
      <c r="A4" s="75"/>
      <c r="B4" s="13"/>
      <c r="C4" s="14"/>
      <c r="D4" s="14"/>
      <c r="E4" s="14" t="s">
        <v>5</v>
      </c>
      <c r="F4" s="15"/>
      <c r="G4" s="16"/>
      <c r="H4" s="23">
        <f>SUM(H3:H3)</f>
        <v>0</v>
      </c>
    </row>
  </sheetData>
  <mergeCells count="8">
    <mergeCell ref="A1:A4"/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8"/>
  <sheetViews>
    <sheetView topLeftCell="A58" workbookViewId="0">
      <selection activeCell="E59" sqref="E59"/>
    </sheetView>
  </sheetViews>
  <sheetFormatPr baseColWidth="10" defaultColWidth="9.140625" defaultRowHeight="15" x14ac:dyDescent="0.25"/>
  <cols>
    <col min="1" max="1" width="20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2.8554687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26</v>
      </c>
      <c r="B1" s="71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4"/>
      <c r="B2" s="65"/>
      <c r="C2" s="67"/>
      <c r="D2" s="67"/>
      <c r="E2" s="67"/>
      <c r="F2" s="67"/>
      <c r="G2" s="61"/>
      <c r="H2" s="63"/>
    </row>
    <row r="3" spans="1:8" ht="20.100000000000001" customHeight="1" x14ac:dyDescent="0.25">
      <c r="A3" s="74"/>
      <c r="B3" s="2">
        <v>44931</v>
      </c>
      <c r="C3" s="3">
        <v>4230107039</v>
      </c>
      <c r="D3" s="3">
        <v>3</v>
      </c>
      <c r="E3" s="4" t="s">
        <v>165</v>
      </c>
      <c r="F3" s="19" t="s">
        <v>26</v>
      </c>
      <c r="G3" s="10" t="s">
        <v>7</v>
      </c>
      <c r="H3" s="11">
        <v>1725</v>
      </c>
    </row>
    <row r="4" spans="1:8" ht="20.100000000000001" customHeight="1" x14ac:dyDescent="0.25">
      <c r="A4" s="74"/>
      <c r="B4" s="2">
        <v>44932</v>
      </c>
      <c r="C4" s="3">
        <v>735333448</v>
      </c>
      <c r="D4" s="3">
        <v>1</v>
      </c>
      <c r="E4" s="4" t="s">
        <v>166</v>
      </c>
      <c r="F4" s="19" t="s">
        <v>26</v>
      </c>
      <c r="G4" s="10" t="s">
        <v>7</v>
      </c>
      <c r="H4" s="11">
        <v>575</v>
      </c>
    </row>
    <row r="5" spans="1:8" ht="20.100000000000001" customHeight="1" x14ac:dyDescent="0.25">
      <c r="A5" s="74"/>
      <c r="B5" s="2">
        <v>44935</v>
      </c>
      <c r="C5" s="3">
        <v>3232188127</v>
      </c>
      <c r="D5" s="3">
        <v>1</v>
      </c>
      <c r="E5" s="4" t="s">
        <v>167</v>
      </c>
      <c r="F5" s="19" t="s">
        <v>26</v>
      </c>
      <c r="G5" s="10" t="s">
        <v>6</v>
      </c>
      <c r="H5" s="11">
        <v>575</v>
      </c>
    </row>
    <row r="6" spans="1:8" ht="20.100000000000001" customHeight="1" x14ac:dyDescent="0.25">
      <c r="A6" s="74"/>
      <c r="B6" s="2">
        <v>44935</v>
      </c>
      <c r="C6" s="3">
        <v>3232188127</v>
      </c>
      <c r="D6" s="3">
        <v>1</v>
      </c>
      <c r="E6" s="4" t="s">
        <v>168</v>
      </c>
      <c r="F6" s="19" t="s">
        <v>26</v>
      </c>
      <c r="G6" s="10" t="s">
        <v>6</v>
      </c>
      <c r="H6" s="11">
        <v>402.5</v>
      </c>
    </row>
    <row r="7" spans="1:8" ht="20.100000000000001" customHeight="1" x14ac:dyDescent="0.25">
      <c r="A7" s="74"/>
      <c r="B7" s="2">
        <v>44945</v>
      </c>
      <c r="C7" s="3">
        <v>2642757293</v>
      </c>
      <c r="D7" s="3">
        <v>2</v>
      </c>
      <c r="E7" s="4" t="s">
        <v>108</v>
      </c>
      <c r="F7" s="19" t="s">
        <v>26</v>
      </c>
      <c r="G7" s="10" t="s">
        <v>14</v>
      </c>
      <c r="H7" s="11">
        <v>1150</v>
      </c>
    </row>
    <row r="8" spans="1:8" ht="20.100000000000001" customHeight="1" x14ac:dyDescent="0.25">
      <c r="A8" s="74"/>
      <c r="B8" s="2">
        <v>44946</v>
      </c>
      <c r="C8" s="3">
        <v>770460610</v>
      </c>
      <c r="D8" s="3">
        <v>2</v>
      </c>
      <c r="E8" s="4" t="s">
        <v>120</v>
      </c>
      <c r="F8" s="19" t="s">
        <v>26</v>
      </c>
      <c r="G8" s="10" t="s">
        <v>14</v>
      </c>
      <c r="H8" s="11">
        <v>1150</v>
      </c>
    </row>
    <row r="9" spans="1:8" ht="20.100000000000001" customHeight="1" x14ac:dyDescent="0.25">
      <c r="A9" s="74"/>
      <c r="B9" s="2">
        <v>44956</v>
      </c>
      <c r="C9" s="3">
        <v>3581166546</v>
      </c>
      <c r="D9" s="3">
        <v>1</v>
      </c>
      <c r="E9" s="4" t="s">
        <v>150</v>
      </c>
      <c r="F9" s="19" t="s">
        <v>26</v>
      </c>
      <c r="G9" s="10" t="s">
        <v>6</v>
      </c>
      <c r="H9" s="11">
        <v>480</v>
      </c>
    </row>
    <row r="10" spans="1:8" ht="20.100000000000001" customHeight="1" x14ac:dyDescent="0.25">
      <c r="A10" s="74"/>
      <c r="B10" s="2">
        <v>44959</v>
      </c>
      <c r="C10" s="3">
        <v>512640849</v>
      </c>
      <c r="D10" s="3">
        <v>1</v>
      </c>
      <c r="E10" s="4" t="s">
        <v>256</v>
      </c>
      <c r="F10" s="19" t="s">
        <v>26</v>
      </c>
      <c r="G10" s="10" t="s">
        <v>6</v>
      </c>
      <c r="H10" s="11">
        <v>575</v>
      </c>
    </row>
    <row r="11" spans="1:8" ht="20.100000000000001" customHeight="1" x14ac:dyDescent="0.25">
      <c r="A11" s="74"/>
      <c r="B11" s="2">
        <v>44964</v>
      </c>
      <c r="C11" s="3">
        <v>417089747</v>
      </c>
      <c r="D11" s="3">
        <v>1</v>
      </c>
      <c r="E11" s="4" t="s">
        <v>257</v>
      </c>
      <c r="F11" s="19" t="s">
        <v>26</v>
      </c>
      <c r="G11" s="10" t="s">
        <v>6</v>
      </c>
      <c r="H11" s="11">
        <v>575</v>
      </c>
    </row>
    <row r="12" spans="1:8" ht="20.100000000000001" customHeight="1" x14ac:dyDescent="0.25">
      <c r="A12" s="74"/>
      <c r="B12" s="2">
        <v>44972</v>
      </c>
      <c r="C12" s="3">
        <v>3909766254</v>
      </c>
      <c r="D12" s="3">
        <v>1</v>
      </c>
      <c r="E12" s="4" t="s">
        <v>258</v>
      </c>
      <c r="F12" s="19" t="s">
        <v>26</v>
      </c>
      <c r="G12" s="10" t="s">
        <v>7</v>
      </c>
      <c r="H12" s="11">
        <v>450</v>
      </c>
    </row>
    <row r="13" spans="1:8" ht="20.100000000000001" customHeight="1" x14ac:dyDescent="0.25">
      <c r="A13" s="74"/>
      <c r="B13" s="2">
        <v>44986</v>
      </c>
      <c r="C13" s="3">
        <v>2863615258</v>
      </c>
      <c r="D13" s="3">
        <v>1</v>
      </c>
      <c r="E13" s="4" t="s">
        <v>383</v>
      </c>
      <c r="F13" s="19" t="s">
        <v>26</v>
      </c>
      <c r="G13" s="10" t="s">
        <v>11</v>
      </c>
      <c r="H13" s="11">
        <v>450</v>
      </c>
    </row>
    <row r="14" spans="1:8" ht="20.100000000000001" customHeight="1" x14ac:dyDescent="0.25">
      <c r="A14" s="74"/>
      <c r="B14" s="2">
        <v>44986</v>
      </c>
      <c r="C14" s="3">
        <v>792480024</v>
      </c>
      <c r="D14" s="3">
        <v>1</v>
      </c>
      <c r="E14" s="4" t="s">
        <v>384</v>
      </c>
      <c r="F14" s="19" t="s">
        <v>26</v>
      </c>
      <c r="G14" s="10" t="s">
        <v>6</v>
      </c>
      <c r="H14" s="11">
        <v>450</v>
      </c>
    </row>
    <row r="15" spans="1:8" ht="20.100000000000001" customHeight="1" x14ac:dyDescent="0.25">
      <c r="A15" s="74"/>
      <c r="B15" s="2">
        <v>45000</v>
      </c>
      <c r="C15" s="3">
        <v>3855565521</v>
      </c>
      <c r="D15" s="3">
        <v>1</v>
      </c>
      <c r="E15" s="4" t="s">
        <v>385</v>
      </c>
      <c r="F15" s="19" t="s">
        <v>26</v>
      </c>
      <c r="G15" s="10" t="s">
        <v>6</v>
      </c>
      <c r="H15" s="11">
        <v>575</v>
      </c>
    </row>
    <row r="16" spans="1:8" ht="20.100000000000001" customHeight="1" x14ac:dyDescent="0.25">
      <c r="A16" s="74"/>
      <c r="B16" s="2">
        <v>45005</v>
      </c>
      <c r="C16" s="3">
        <v>3640804176</v>
      </c>
      <c r="D16" s="3">
        <v>1</v>
      </c>
      <c r="E16" s="4" t="s">
        <v>386</v>
      </c>
      <c r="F16" s="19" t="s">
        <v>26</v>
      </c>
      <c r="G16" s="10" t="s">
        <v>6</v>
      </c>
      <c r="H16" s="11">
        <v>575</v>
      </c>
    </row>
    <row r="17" spans="1:8" ht="20.100000000000001" customHeight="1" x14ac:dyDescent="0.25">
      <c r="A17" s="74"/>
      <c r="B17" s="2">
        <v>45014</v>
      </c>
      <c r="C17" s="3">
        <v>2323795537</v>
      </c>
      <c r="D17" s="3">
        <v>1</v>
      </c>
      <c r="E17" s="4" t="s">
        <v>387</v>
      </c>
      <c r="F17" s="19" t="s">
        <v>26</v>
      </c>
      <c r="G17" s="10" t="s">
        <v>6</v>
      </c>
      <c r="H17" s="11">
        <v>575</v>
      </c>
    </row>
    <row r="18" spans="1:8" ht="20.100000000000001" customHeight="1" x14ac:dyDescent="0.25">
      <c r="A18" s="74"/>
      <c r="B18" s="2">
        <v>45014</v>
      </c>
      <c r="C18" s="3">
        <v>695419270</v>
      </c>
      <c r="D18" s="3">
        <v>1</v>
      </c>
      <c r="E18" s="4" t="s">
        <v>388</v>
      </c>
      <c r="F18" s="19" t="s">
        <v>26</v>
      </c>
      <c r="G18" s="10" t="s">
        <v>28</v>
      </c>
      <c r="H18" s="11">
        <v>575</v>
      </c>
    </row>
    <row r="19" spans="1:8" ht="20.100000000000001" customHeight="1" x14ac:dyDescent="0.25">
      <c r="A19" s="74"/>
      <c r="B19" s="2">
        <v>45029</v>
      </c>
      <c r="C19" s="3">
        <v>1575437913</v>
      </c>
      <c r="D19" s="3">
        <v>1</v>
      </c>
      <c r="E19" s="4" t="s">
        <v>565</v>
      </c>
      <c r="F19" s="19" t="s">
        <v>26</v>
      </c>
      <c r="G19" s="10" t="s">
        <v>6</v>
      </c>
      <c r="H19" s="11">
        <v>575</v>
      </c>
    </row>
    <row r="20" spans="1:8" ht="20.100000000000001" customHeight="1" x14ac:dyDescent="0.25">
      <c r="A20" s="74"/>
      <c r="B20" s="2">
        <v>45033</v>
      </c>
      <c r="C20" s="3">
        <v>3789703417</v>
      </c>
      <c r="D20" s="3">
        <v>2</v>
      </c>
      <c r="E20" s="4" t="s">
        <v>191</v>
      </c>
      <c r="F20" s="19" t="s">
        <v>26</v>
      </c>
      <c r="G20" s="10" t="s">
        <v>7</v>
      </c>
      <c r="H20" s="11">
        <v>1150</v>
      </c>
    </row>
    <row r="21" spans="1:8" ht="20.100000000000001" customHeight="1" x14ac:dyDescent="0.25">
      <c r="A21" s="74"/>
      <c r="B21" s="2">
        <v>45041</v>
      </c>
      <c r="C21" s="3">
        <v>2089501579</v>
      </c>
      <c r="D21" s="3">
        <v>2</v>
      </c>
      <c r="E21" s="4" t="s">
        <v>363</v>
      </c>
      <c r="F21" s="19" t="s">
        <v>26</v>
      </c>
      <c r="G21" s="10" t="s">
        <v>6</v>
      </c>
      <c r="H21" s="11">
        <v>900</v>
      </c>
    </row>
    <row r="22" spans="1:8" ht="20.100000000000001" customHeight="1" x14ac:dyDescent="0.25">
      <c r="A22" s="74"/>
      <c r="B22" s="2">
        <v>45048</v>
      </c>
      <c r="C22" s="3">
        <v>3585820799</v>
      </c>
      <c r="D22" s="3">
        <v>4</v>
      </c>
      <c r="E22" s="4" t="s">
        <v>587</v>
      </c>
      <c r="F22" s="19" t="s">
        <v>26</v>
      </c>
      <c r="G22" s="10" t="s">
        <v>14</v>
      </c>
      <c r="H22" s="11">
        <v>1800</v>
      </c>
    </row>
    <row r="23" spans="1:8" ht="20.100000000000001" customHeight="1" x14ac:dyDescent="0.25">
      <c r="A23" s="74"/>
      <c r="B23" s="2">
        <v>45054</v>
      </c>
      <c r="C23" s="3">
        <v>83053886</v>
      </c>
      <c r="D23" s="3">
        <v>2</v>
      </c>
      <c r="E23" s="4" t="s">
        <v>472</v>
      </c>
      <c r="F23" s="19" t="s">
        <v>26</v>
      </c>
      <c r="G23" s="10" t="s">
        <v>28</v>
      </c>
      <c r="H23" s="11">
        <v>1150</v>
      </c>
    </row>
    <row r="24" spans="1:8" ht="20.100000000000001" customHeight="1" x14ac:dyDescent="0.25">
      <c r="A24" s="74"/>
      <c r="B24" s="2">
        <v>45055</v>
      </c>
      <c r="C24" s="3">
        <v>3481553273</v>
      </c>
      <c r="D24" s="3">
        <v>1</v>
      </c>
      <c r="E24" s="4" t="s">
        <v>43</v>
      </c>
      <c r="F24" s="19" t="s">
        <v>26</v>
      </c>
      <c r="G24" s="10" t="s">
        <v>28</v>
      </c>
      <c r="H24" s="11">
        <v>575</v>
      </c>
    </row>
    <row r="25" spans="1:8" ht="20.100000000000001" customHeight="1" x14ac:dyDescent="0.25">
      <c r="A25" s="74"/>
      <c r="B25" s="2">
        <v>45055</v>
      </c>
      <c r="C25" s="3">
        <v>3529590289</v>
      </c>
      <c r="D25" s="3">
        <v>1</v>
      </c>
      <c r="E25" s="4" t="s">
        <v>644</v>
      </c>
      <c r="F25" s="19" t="s">
        <v>26</v>
      </c>
      <c r="G25" s="10" t="s">
        <v>6</v>
      </c>
      <c r="H25" s="11">
        <v>575</v>
      </c>
    </row>
    <row r="26" spans="1:8" ht="20.100000000000001" customHeight="1" x14ac:dyDescent="0.25">
      <c r="A26" s="74"/>
      <c r="B26" s="2">
        <v>45058</v>
      </c>
      <c r="C26" s="3">
        <v>2241023239</v>
      </c>
      <c r="D26" s="3">
        <v>1</v>
      </c>
      <c r="E26" s="4" t="s">
        <v>608</v>
      </c>
      <c r="F26" s="19" t="s">
        <v>26</v>
      </c>
      <c r="G26" s="10" t="s">
        <v>7</v>
      </c>
      <c r="H26" s="11">
        <v>575</v>
      </c>
    </row>
    <row r="27" spans="1:8" ht="20.100000000000001" customHeight="1" x14ac:dyDescent="0.25">
      <c r="A27" s="74"/>
      <c r="B27" s="2">
        <v>45061</v>
      </c>
      <c r="C27" s="3">
        <v>1365003707</v>
      </c>
      <c r="D27" s="3">
        <v>1</v>
      </c>
      <c r="E27" s="4" t="s">
        <v>645</v>
      </c>
      <c r="F27" s="19" t="s">
        <v>26</v>
      </c>
      <c r="G27" s="10" t="s">
        <v>28</v>
      </c>
      <c r="H27" s="11">
        <v>575</v>
      </c>
    </row>
    <row r="28" spans="1:8" ht="20.100000000000001" customHeight="1" x14ac:dyDescent="0.25">
      <c r="A28" s="74"/>
      <c r="B28" s="2">
        <v>45063</v>
      </c>
      <c r="C28" s="3">
        <v>3945808561</v>
      </c>
      <c r="D28" s="3">
        <v>1</v>
      </c>
      <c r="E28" s="4" t="s">
        <v>646</v>
      </c>
      <c r="F28" s="19" t="s">
        <v>26</v>
      </c>
      <c r="G28" s="10" t="s">
        <v>6</v>
      </c>
      <c r="H28" s="11">
        <v>575</v>
      </c>
    </row>
    <row r="29" spans="1:8" ht="20.100000000000001" customHeight="1" x14ac:dyDescent="0.25">
      <c r="A29" s="74"/>
      <c r="B29" s="2">
        <v>45064</v>
      </c>
      <c r="C29" s="3">
        <v>284248084</v>
      </c>
      <c r="D29" s="3">
        <v>1</v>
      </c>
      <c r="E29" s="4" t="s">
        <v>51</v>
      </c>
      <c r="F29" s="19" t="s">
        <v>26</v>
      </c>
      <c r="G29" s="10" t="s">
        <v>6</v>
      </c>
      <c r="H29" s="11">
        <v>575</v>
      </c>
    </row>
    <row r="30" spans="1:8" ht="20.100000000000001" customHeight="1" x14ac:dyDescent="0.25">
      <c r="A30" s="74"/>
      <c r="B30" s="2">
        <v>45071</v>
      </c>
      <c r="C30" s="3">
        <v>635651793</v>
      </c>
      <c r="D30" s="3">
        <v>1</v>
      </c>
      <c r="E30" s="4" t="s">
        <v>647</v>
      </c>
      <c r="F30" s="19" t="s">
        <v>26</v>
      </c>
      <c r="G30" s="10" t="s">
        <v>6</v>
      </c>
      <c r="H30" s="11">
        <v>575</v>
      </c>
    </row>
    <row r="31" spans="1:8" ht="30" x14ac:dyDescent="0.25">
      <c r="A31" s="74"/>
      <c r="B31" s="2">
        <v>45076</v>
      </c>
      <c r="C31" s="3">
        <v>2320584348</v>
      </c>
      <c r="D31" s="3">
        <v>1</v>
      </c>
      <c r="E31" s="4" t="s">
        <v>648</v>
      </c>
      <c r="F31" s="19" t="s">
        <v>26</v>
      </c>
      <c r="G31" s="10" t="s">
        <v>7</v>
      </c>
      <c r="H31" s="11">
        <v>575</v>
      </c>
    </row>
    <row r="32" spans="1:8" ht="20.100000000000001" customHeight="1" x14ac:dyDescent="0.25">
      <c r="A32" s="74"/>
      <c r="B32" s="2">
        <v>45076</v>
      </c>
      <c r="C32" s="3">
        <v>2320584348</v>
      </c>
      <c r="D32" s="3">
        <v>1</v>
      </c>
      <c r="E32" s="4" t="s">
        <v>649</v>
      </c>
      <c r="F32" s="19" t="s">
        <v>26</v>
      </c>
      <c r="G32" s="10" t="s">
        <v>7</v>
      </c>
      <c r="H32" s="11">
        <v>575</v>
      </c>
    </row>
    <row r="33" spans="1:8" ht="20.100000000000001" customHeight="1" x14ac:dyDescent="0.25">
      <c r="A33" s="74"/>
      <c r="B33" s="2">
        <v>45076</v>
      </c>
      <c r="C33" s="3">
        <v>3477228148</v>
      </c>
      <c r="D33" s="3">
        <v>1</v>
      </c>
      <c r="E33" s="4" t="s">
        <v>647</v>
      </c>
      <c r="F33" s="19" t="s">
        <v>26</v>
      </c>
      <c r="G33" s="10" t="s">
        <v>11</v>
      </c>
      <c r="H33" s="11">
        <v>575</v>
      </c>
    </row>
    <row r="34" spans="1:8" ht="20.100000000000001" customHeight="1" x14ac:dyDescent="0.25">
      <c r="A34" s="74"/>
      <c r="B34" s="2">
        <v>45077</v>
      </c>
      <c r="C34" s="3">
        <v>200822700</v>
      </c>
      <c r="D34" s="3">
        <v>1</v>
      </c>
      <c r="E34" s="4" t="s">
        <v>200</v>
      </c>
      <c r="F34" s="19" t="s">
        <v>26</v>
      </c>
      <c r="G34" s="10" t="s">
        <v>14</v>
      </c>
      <c r="H34" s="11">
        <v>575</v>
      </c>
    </row>
    <row r="35" spans="1:8" ht="20.100000000000001" customHeight="1" x14ac:dyDescent="0.25">
      <c r="A35" s="74"/>
      <c r="B35" s="2">
        <v>45077</v>
      </c>
      <c r="C35" s="3">
        <v>657540169</v>
      </c>
      <c r="D35" s="3">
        <v>1</v>
      </c>
      <c r="E35" s="4" t="s">
        <v>618</v>
      </c>
      <c r="F35" s="19" t="s">
        <v>26</v>
      </c>
      <c r="G35" s="10" t="s">
        <v>6</v>
      </c>
      <c r="H35" s="11">
        <v>575</v>
      </c>
    </row>
    <row r="36" spans="1:8" ht="20.100000000000001" customHeight="1" x14ac:dyDescent="0.25">
      <c r="A36" s="74"/>
      <c r="B36" s="2">
        <v>45078</v>
      </c>
      <c r="C36" s="3">
        <v>3425013</v>
      </c>
      <c r="D36" s="3">
        <v>2</v>
      </c>
      <c r="E36" s="4" t="s">
        <v>218</v>
      </c>
      <c r="F36" s="19" t="s">
        <v>26</v>
      </c>
      <c r="G36" s="10" t="s">
        <v>7</v>
      </c>
      <c r="H36" s="11">
        <v>1150</v>
      </c>
    </row>
    <row r="37" spans="1:8" ht="20.100000000000001" customHeight="1" x14ac:dyDescent="0.25">
      <c r="A37" s="74"/>
      <c r="B37" s="2">
        <v>45079</v>
      </c>
      <c r="C37" s="3">
        <v>3294710955</v>
      </c>
      <c r="D37" s="3">
        <v>1</v>
      </c>
      <c r="E37" s="4" t="s">
        <v>354</v>
      </c>
      <c r="F37" s="19" t="s">
        <v>26</v>
      </c>
      <c r="G37" s="10" t="s">
        <v>16</v>
      </c>
      <c r="H37" s="11">
        <v>575</v>
      </c>
    </row>
    <row r="38" spans="1:8" ht="20.100000000000001" customHeight="1" x14ac:dyDescent="0.25">
      <c r="A38" s="74"/>
      <c r="B38" s="2">
        <v>45085</v>
      </c>
      <c r="C38" s="3">
        <v>4253239294</v>
      </c>
      <c r="D38" s="3">
        <v>1</v>
      </c>
      <c r="E38" s="4" t="s">
        <v>728</v>
      </c>
      <c r="F38" s="19" t="s">
        <v>729</v>
      </c>
      <c r="G38" s="10" t="s">
        <v>6</v>
      </c>
      <c r="H38" s="11">
        <v>425</v>
      </c>
    </row>
    <row r="39" spans="1:8" ht="20.100000000000001" customHeight="1" x14ac:dyDescent="0.25">
      <c r="A39" s="74"/>
      <c r="B39" s="2">
        <v>45085</v>
      </c>
      <c r="C39" s="3">
        <v>4253239294</v>
      </c>
      <c r="D39" s="3">
        <v>1</v>
      </c>
      <c r="E39" s="4" t="s">
        <v>728</v>
      </c>
      <c r="F39" s="19" t="s">
        <v>730</v>
      </c>
      <c r="G39" s="10" t="s">
        <v>14</v>
      </c>
      <c r="H39" s="11">
        <v>150</v>
      </c>
    </row>
    <row r="40" spans="1:8" ht="20.100000000000001" customHeight="1" x14ac:dyDescent="0.25">
      <c r="A40" s="74"/>
      <c r="B40" s="2">
        <v>45090</v>
      </c>
      <c r="C40" s="3">
        <v>488325589</v>
      </c>
      <c r="D40" s="3">
        <v>1</v>
      </c>
      <c r="E40" s="4" t="s">
        <v>731</v>
      </c>
      <c r="F40" s="19" t="s">
        <v>26</v>
      </c>
      <c r="G40" s="10" t="s">
        <v>6</v>
      </c>
      <c r="H40" s="11">
        <v>575</v>
      </c>
    </row>
    <row r="41" spans="1:8" ht="20.100000000000001" customHeight="1" x14ac:dyDescent="0.25">
      <c r="A41" s="74"/>
      <c r="B41" s="2">
        <v>45092</v>
      </c>
      <c r="C41" s="3">
        <v>2126594992</v>
      </c>
      <c r="D41" s="3">
        <v>1</v>
      </c>
      <c r="E41" s="4" t="s">
        <v>732</v>
      </c>
      <c r="F41" s="19" t="s">
        <v>26</v>
      </c>
      <c r="G41" s="10" t="s">
        <v>6</v>
      </c>
      <c r="H41" s="11">
        <v>400</v>
      </c>
    </row>
    <row r="42" spans="1:8" ht="20.100000000000001" customHeight="1" x14ac:dyDescent="0.25">
      <c r="A42" s="74"/>
      <c r="B42" s="2">
        <v>45106</v>
      </c>
      <c r="C42" s="3">
        <v>686704193</v>
      </c>
      <c r="D42" s="3">
        <v>1</v>
      </c>
      <c r="E42" s="4" t="s">
        <v>733</v>
      </c>
      <c r="F42" s="19" t="s">
        <v>26</v>
      </c>
      <c r="G42" s="10" t="s">
        <v>7</v>
      </c>
      <c r="H42" s="11">
        <v>575</v>
      </c>
    </row>
    <row r="43" spans="1:8" ht="20.100000000000001" customHeight="1" x14ac:dyDescent="0.25">
      <c r="A43" s="74"/>
      <c r="B43" s="2">
        <v>45134</v>
      </c>
      <c r="C43" s="3">
        <v>2809152067</v>
      </c>
      <c r="D43" s="3">
        <v>1</v>
      </c>
      <c r="E43" s="4" t="s">
        <v>555</v>
      </c>
      <c r="F43" s="19" t="s">
        <v>26</v>
      </c>
      <c r="G43" s="10" t="s">
        <v>11</v>
      </c>
      <c r="H43" s="11">
        <v>575</v>
      </c>
    </row>
    <row r="44" spans="1:8" ht="15.75" x14ac:dyDescent="0.25">
      <c r="A44" s="74"/>
      <c r="B44" s="2">
        <v>45134</v>
      </c>
      <c r="C44" s="3">
        <v>2140292111</v>
      </c>
      <c r="D44" s="3">
        <v>3</v>
      </c>
      <c r="E44" s="4" t="s">
        <v>820</v>
      </c>
      <c r="F44" s="19" t="s">
        <v>26</v>
      </c>
      <c r="G44" s="10" t="s">
        <v>7</v>
      </c>
      <c r="H44" s="11">
        <v>1207.5</v>
      </c>
    </row>
    <row r="45" spans="1:8" ht="20.100000000000001" customHeight="1" x14ac:dyDescent="0.25">
      <c r="A45" s="74"/>
      <c r="B45" s="2">
        <v>45155</v>
      </c>
      <c r="C45" s="3">
        <v>2680376855</v>
      </c>
      <c r="D45" s="3">
        <v>1</v>
      </c>
      <c r="E45" s="4" t="s">
        <v>970</v>
      </c>
      <c r="F45" s="19" t="s">
        <v>26</v>
      </c>
      <c r="G45" s="10" t="s">
        <v>11</v>
      </c>
      <c r="H45" s="11">
        <v>500</v>
      </c>
    </row>
    <row r="46" spans="1:8" ht="20.100000000000001" customHeight="1" x14ac:dyDescent="0.25">
      <c r="A46" s="74"/>
      <c r="B46" s="2">
        <v>45167</v>
      </c>
      <c r="C46" s="3">
        <v>1646677474</v>
      </c>
      <c r="D46" s="3">
        <v>1</v>
      </c>
      <c r="E46" s="4" t="s">
        <v>971</v>
      </c>
      <c r="F46" s="19" t="s">
        <v>26</v>
      </c>
      <c r="G46" s="10" t="s">
        <v>28</v>
      </c>
      <c r="H46" s="11">
        <v>450</v>
      </c>
    </row>
    <row r="47" spans="1:8" ht="20.100000000000001" customHeight="1" x14ac:dyDescent="0.25">
      <c r="A47" s="74"/>
      <c r="B47" s="2">
        <v>45167</v>
      </c>
      <c r="C47" s="3">
        <v>461785023</v>
      </c>
      <c r="D47" s="3">
        <v>4</v>
      </c>
      <c r="E47" s="4" t="s">
        <v>972</v>
      </c>
      <c r="F47" s="19" t="s">
        <v>26</v>
      </c>
      <c r="G47" s="10" t="s">
        <v>7</v>
      </c>
      <c r="H47" s="11">
        <v>1800</v>
      </c>
    </row>
    <row r="48" spans="1:8" ht="20.100000000000001" customHeight="1" x14ac:dyDescent="0.25">
      <c r="A48" s="74"/>
      <c r="B48" s="2">
        <v>45173</v>
      </c>
      <c r="C48" s="3">
        <v>1928020213</v>
      </c>
      <c r="D48" s="3">
        <v>1</v>
      </c>
      <c r="E48" s="4" t="s">
        <v>175</v>
      </c>
      <c r="F48" s="19" t="s">
        <v>26</v>
      </c>
      <c r="G48" s="10" t="s">
        <v>6</v>
      </c>
      <c r="H48" s="11">
        <v>575</v>
      </c>
    </row>
    <row r="49" spans="1:8" ht="20.100000000000001" customHeight="1" x14ac:dyDescent="0.25">
      <c r="A49" s="74"/>
      <c r="B49" s="2">
        <v>45174</v>
      </c>
      <c r="C49" s="3">
        <v>1714965503</v>
      </c>
      <c r="D49" s="3">
        <v>1</v>
      </c>
      <c r="E49" s="4" t="s">
        <v>1061</v>
      </c>
      <c r="F49" s="19" t="s">
        <v>26</v>
      </c>
      <c r="G49" s="10" t="s">
        <v>28</v>
      </c>
      <c r="H49" s="11">
        <v>575</v>
      </c>
    </row>
    <row r="50" spans="1:8" ht="20.100000000000001" customHeight="1" x14ac:dyDescent="0.25">
      <c r="A50" s="74"/>
      <c r="B50" s="2">
        <v>45175</v>
      </c>
      <c r="C50" s="3">
        <v>4186260976</v>
      </c>
      <c r="D50" s="3">
        <v>2</v>
      </c>
      <c r="E50" s="4" t="s">
        <v>1062</v>
      </c>
      <c r="F50" s="19" t="s">
        <v>26</v>
      </c>
      <c r="G50" s="10" t="s">
        <v>7</v>
      </c>
      <c r="H50" s="11">
        <v>1150</v>
      </c>
    </row>
    <row r="51" spans="1:8" ht="20.100000000000001" customHeight="1" x14ac:dyDescent="0.25">
      <c r="A51" s="74"/>
      <c r="B51" s="2">
        <v>45177</v>
      </c>
      <c r="C51" s="3">
        <v>2951368125</v>
      </c>
      <c r="D51" s="3">
        <v>1</v>
      </c>
      <c r="E51" s="4" t="s">
        <v>1019</v>
      </c>
      <c r="F51" s="19" t="s">
        <v>26</v>
      </c>
      <c r="G51" s="10" t="s">
        <v>7</v>
      </c>
      <c r="H51" s="11">
        <v>575</v>
      </c>
    </row>
    <row r="52" spans="1:8" ht="20.100000000000001" customHeight="1" x14ac:dyDescent="0.25">
      <c r="A52" s="74"/>
      <c r="B52" s="2">
        <v>45177</v>
      </c>
      <c r="C52" s="3">
        <v>2951368125</v>
      </c>
      <c r="D52" s="3">
        <v>1</v>
      </c>
      <c r="E52" s="4" t="s">
        <v>1019</v>
      </c>
      <c r="F52" s="19" t="s">
        <v>26</v>
      </c>
      <c r="G52" s="10" t="s">
        <v>7</v>
      </c>
      <c r="H52" s="11">
        <v>575</v>
      </c>
    </row>
    <row r="53" spans="1:8" ht="20.100000000000001" customHeight="1" x14ac:dyDescent="0.25">
      <c r="A53" s="74"/>
      <c r="B53" s="2">
        <v>45181</v>
      </c>
      <c r="C53" s="3">
        <v>153961753</v>
      </c>
      <c r="D53" s="3">
        <v>1</v>
      </c>
      <c r="E53" s="4" t="s">
        <v>1063</v>
      </c>
      <c r="F53" s="19" t="s">
        <v>26</v>
      </c>
      <c r="G53" s="10" t="s">
        <v>6</v>
      </c>
      <c r="H53" s="11">
        <v>575</v>
      </c>
    </row>
    <row r="54" spans="1:8" ht="20.100000000000001" customHeight="1" x14ac:dyDescent="0.25">
      <c r="A54" s="74"/>
      <c r="B54" s="2">
        <v>45182</v>
      </c>
      <c r="C54" s="3">
        <v>2712292387</v>
      </c>
      <c r="D54" s="3">
        <v>1</v>
      </c>
      <c r="E54" s="4" t="s">
        <v>1064</v>
      </c>
      <c r="F54" s="19" t="s">
        <v>26</v>
      </c>
      <c r="G54" s="10" t="s">
        <v>6</v>
      </c>
      <c r="H54" s="11">
        <v>575</v>
      </c>
    </row>
    <row r="55" spans="1:8" ht="20.100000000000001" customHeight="1" x14ac:dyDescent="0.25">
      <c r="A55" s="74"/>
      <c r="B55" s="2">
        <v>45182</v>
      </c>
      <c r="C55" s="3">
        <v>3344711703</v>
      </c>
      <c r="D55" s="3">
        <v>1</v>
      </c>
      <c r="E55" s="4" t="s">
        <v>1065</v>
      </c>
      <c r="F55" s="19" t="s">
        <v>26</v>
      </c>
      <c r="G55" s="10" t="s">
        <v>6</v>
      </c>
      <c r="H55" s="11">
        <v>575</v>
      </c>
    </row>
    <row r="56" spans="1:8" ht="20.100000000000001" customHeight="1" x14ac:dyDescent="0.25">
      <c r="A56" s="74"/>
      <c r="B56" s="2">
        <v>45198</v>
      </c>
      <c r="C56" s="3">
        <v>1286949791</v>
      </c>
      <c r="D56" s="3">
        <v>3</v>
      </c>
      <c r="E56" s="4" t="s">
        <v>1066</v>
      </c>
      <c r="F56" s="19" t="s">
        <v>26</v>
      </c>
      <c r="G56" s="10" t="s">
        <v>7</v>
      </c>
      <c r="H56" s="11">
        <v>1725</v>
      </c>
    </row>
    <row r="57" spans="1:8" ht="20.100000000000001" customHeight="1" x14ac:dyDescent="0.25">
      <c r="A57" s="74"/>
      <c r="B57" s="2">
        <v>45216</v>
      </c>
      <c r="C57" s="3">
        <v>1550928004</v>
      </c>
      <c r="D57" s="3">
        <v>1</v>
      </c>
      <c r="E57" s="4" t="s">
        <v>1146</v>
      </c>
      <c r="F57" s="19" t="s">
        <v>1147</v>
      </c>
      <c r="G57" s="10" t="s">
        <v>6</v>
      </c>
      <c r="H57" s="11">
        <v>575</v>
      </c>
    </row>
    <row r="58" spans="1:8" ht="20.100000000000001" customHeight="1" x14ac:dyDescent="0.25">
      <c r="A58" s="74"/>
      <c r="B58" s="2">
        <v>45222</v>
      </c>
      <c r="C58" s="3">
        <v>2551794205</v>
      </c>
      <c r="D58" s="3">
        <v>1</v>
      </c>
      <c r="E58" s="4" t="s">
        <v>1148</v>
      </c>
      <c r="F58" s="19" t="s">
        <v>1147</v>
      </c>
      <c r="G58" s="10" t="s">
        <v>14</v>
      </c>
      <c r="H58" s="11">
        <v>575</v>
      </c>
    </row>
    <row r="59" spans="1:8" ht="20.100000000000001" customHeight="1" x14ac:dyDescent="0.25">
      <c r="A59" s="74"/>
      <c r="B59" s="2">
        <v>45223</v>
      </c>
      <c r="C59" s="3">
        <v>3793043864</v>
      </c>
      <c r="D59" s="3">
        <v>1</v>
      </c>
      <c r="E59" s="4" t="s">
        <v>1149</v>
      </c>
      <c r="F59" s="19" t="s">
        <v>1147</v>
      </c>
      <c r="G59" s="10" t="s">
        <v>28</v>
      </c>
      <c r="H59" s="11">
        <v>575</v>
      </c>
    </row>
    <row r="60" spans="1:8" ht="20.100000000000001" customHeight="1" x14ac:dyDescent="0.25">
      <c r="A60" s="74"/>
      <c r="B60" s="2">
        <v>45223</v>
      </c>
      <c r="C60" s="3">
        <v>482822357</v>
      </c>
      <c r="D60" s="3">
        <v>1</v>
      </c>
      <c r="E60" s="4" t="s">
        <v>1150</v>
      </c>
      <c r="F60" s="19" t="s">
        <v>1147</v>
      </c>
      <c r="G60" s="10" t="s">
        <v>14</v>
      </c>
      <c r="H60" s="11">
        <v>575</v>
      </c>
    </row>
    <row r="61" spans="1:8" ht="20.100000000000001" customHeight="1" x14ac:dyDescent="0.25">
      <c r="A61" s="74"/>
      <c r="B61" s="2">
        <v>45225</v>
      </c>
      <c r="C61" s="3">
        <v>1317356774</v>
      </c>
      <c r="D61" s="3">
        <v>1</v>
      </c>
      <c r="E61" s="4" t="s">
        <v>1076</v>
      </c>
      <c r="F61" s="19" t="s">
        <v>1147</v>
      </c>
      <c r="G61" s="10" t="s">
        <v>7</v>
      </c>
      <c r="H61" s="11">
        <v>575</v>
      </c>
    </row>
    <row r="62" spans="1:8" ht="20.100000000000001" customHeight="1" x14ac:dyDescent="0.25">
      <c r="A62" s="74"/>
      <c r="B62" s="2">
        <v>45226</v>
      </c>
      <c r="C62" s="3">
        <v>2416199934</v>
      </c>
      <c r="D62" s="3">
        <v>1</v>
      </c>
      <c r="E62" s="4" t="s">
        <v>1151</v>
      </c>
      <c r="F62" s="19" t="s">
        <v>1147</v>
      </c>
      <c r="G62" s="10" t="s">
        <v>6</v>
      </c>
      <c r="H62" s="11">
        <v>575</v>
      </c>
    </row>
    <row r="63" spans="1:8" ht="20.100000000000001" customHeight="1" x14ac:dyDescent="0.25">
      <c r="A63" s="74"/>
      <c r="B63" s="2">
        <v>45233</v>
      </c>
      <c r="C63" s="3">
        <v>2348631488</v>
      </c>
      <c r="D63" s="3">
        <v>1</v>
      </c>
      <c r="E63" s="4" t="s">
        <v>1212</v>
      </c>
      <c r="F63" s="19" t="s">
        <v>1147</v>
      </c>
      <c r="G63" s="10" t="s">
        <v>28</v>
      </c>
      <c r="H63" s="11">
        <v>575</v>
      </c>
    </row>
    <row r="64" spans="1:8" ht="20.100000000000001" customHeight="1" x14ac:dyDescent="0.25">
      <c r="A64" s="74"/>
      <c r="B64" s="2">
        <v>45236</v>
      </c>
      <c r="C64" s="3">
        <v>2096253340</v>
      </c>
      <c r="D64" s="3">
        <v>1</v>
      </c>
      <c r="E64" s="4" t="s">
        <v>1213</v>
      </c>
      <c r="F64" s="19" t="s">
        <v>1147</v>
      </c>
      <c r="G64" s="10" t="s">
        <v>6</v>
      </c>
      <c r="H64" s="11">
        <v>575</v>
      </c>
    </row>
    <row r="65" spans="1:8" ht="20.100000000000001" customHeight="1" x14ac:dyDescent="0.25">
      <c r="A65" s="74"/>
      <c r="B65" s="2">
        <v>45238</v>
      </c>
      <c r="C65" s="3">
        <v>3354674554</v>
      </c>
      <c r="D65" s="3">
        <v>2</v>
      </c>
      <c r="E65" s="4" t="s">
        <v>1214</v>
      </c>
      <c r="F65" s="19" t="s">
        <v>1147</v>
      </c>
      <c r="G65" s="10" t="s">
        <v>7</v>
      </c>
      <c r="H65" s="11">
        <v>1150</v>
      </c>
    </row>
    <row r="66" spans="1:8" ht="20.100000000000001" customHeight="1" x14ac:dyDescent="0.25">
      <c r="A66" s="74"/>
      <c r="B66" s="2">
        <v>45239</v>
      </c>
      <c r="C66" s="3">
        <v>1497514584</v>
      </c>
      <c r="D66" s="3">
        <v>2</v>
      </c>
      <c r="E66" s="4" t="s">
        <v>1206</v>
      </c>
      <c r="F66" s="19" t="s">
        <v>1147</v>
      </c>
      <c r="G66" s="10" t="s">
        <v>7</v>
      </c>
      <c r="H66" s="11">
        <v>805</v>
      </c>
    </row>
    <row r="67" spans="1:8" ht="20.100000000000001" customHeight="1" x14ac:dyDescent="0.25">
      <c r="A67" s="74"/>
      <c r="B67" s="2">
        <v>45244</v>
      </c>
      <c r="C67" s="3">
        <v>868568185</v>
      </c>
      <c r="D67" s="3">
        <v>1</v>
      </c>
      <c r="E67" s="4" t="s">
        <v>1024</v>
      </c>
      <c r="F67" s="19" t="s">
        <v>1147</v>
      </c>
      <c r="G67" s="10" t="s">
        <v>14</v>
      </c>
      <c r="H67" s="11">
        <v>575</v>
      </c>
    </row>
    <row r="68" spans="1:8" ht="20.100000000000001" customHeight="1" x14ac:dyDescent="0.25">
      <c r="A68" s="74"/>
      <c r="B68" s="2">
        <v>45244</v>
      </c>
      <c r="C68" s="3">
        <v>3408284560</v>
      </c>
      <c r="D68" s="3">
        <v>1</v>
      </c>
      <c r="E68" s="4" t="s">
        <v>1279</v>
      </c>
      <c r="F68" s="19" t="s">
        <v>1147</v>
      </c>
      <c r="G68" s="10" t="s">
        <v>28</v>
      </c>
      <c r="H68" s="11">
        <v>287.5</v>
      </c>
    </row>
    <row r="69" spans="1:8" ht="20.100000000000001" customHeight="1" x14ac:dyDescent="0.25">
      <c r="A69" s="74"/>
      <c r="B69" s="2">
        <v>45245</v>
      </c>
      <c r="C69" s="3">
        <v>364134546</v>
      </c>
      <c r="D69" s="3">
        <v>1</v>
      </c>
      <c r="E69" s="4" t="s">
        <v>1280</v>
      </c>
      <c r="F69" s="19" t="s">
        <v>1147</v>
      </c>
      <c r="G69" s="10" t="s">
        <v>6</v>
      </c>
      <c r="H69" s="11">
        <v>402.5</v>
      </c>
    </row>
    <row r="70" spans="1:8" ht="20.100000000000001" customHeight="1" x14ac:dyDescent="0.25">
      <c r="A70" s="74"/>
      <c r="B70" s="2">
        <v>45251</v>
      </c>
      <c r="C70" s="3">
        <v>1015040483</v>
      </c>
      <c r="D70" s="3">
        <v>1</v>
      </c>
      <c r="E70" s="4" t="s">
        <v>1281</v>
      </c>
      <c r="F70" s="19" t="s">
        <v>1147</v>
      </c>
      <c r="G70" s="10" t="s">
        <v>28</v>
      </c>
      <c r="H70" s="11">
        <v>402.5</v>
      </c>
    </row>
    <row r="71" spans="1:8" ht="20.100000000000001" customHeight="1" x14ac:dyDescent="0.25">
      <c r="A71" s="74"/>
      <c r="B71" s="2">
        <v>45252</v>
      </c>
      <c r="C71" s="3">
        <v>3720102434</v>
      </c>
      <c r="D71" s="3">
        <v>1</v>
      </c>
      <c r="E71" s="4" t="s">
        <v>1153</v>
      </c>
      <c r="F71" s="19" t="s">
        <v>1147</v>
      </c>
      <c r="G71" s="10" t="s">
        <v>7</v>
      </c>
      <c r="H71" s="11">
        <v>575</v>
      </c>
    </row>
    <row r="72" spans="1:8" ht="20.100000000000001" customHeight="1" x14ac:dyDescent="0.25">
      <c r="A72" s="74"/>
      <c r="B72" s="2">
        <v>45254</v>
      </c>
      <c r="C72" s="3">
        <v>1376210430</v>
      </c>
      <c r="D72" s="3">
        <v>1</v>
      </c>
      <c r="E72" s="4" t="s">
        <v>1282</v>
      </c>
      <c r="F72" s="19" t="s">
        <v>1147</v>
      </c>
      <c r="G72" s="10" t="s">
        <v>6</v>
      </c>
      <c r="H72" s="11">
        <v>575</v>
      </c>
    </row>
    <row r="73" spans="1:8" ht="20.100000000000001" customHeight="1" x14ac:dyDescent="0.25">
      <c r="A73" s="74"/>
      <c r="B73" s="2">
        <v>45265</v>
      </c>
      <c r="C73" s="3">
        <v>405356589</v>
      </c>
      <c r="D73" s="3">
        <v>1</v>
      </c>
      <c r="E73" s="4" t="s">
        <v>840</v>
      </c>
      <c r="F73" s="19" t="s">
        <v>1439</v>
      </c>
      <c r="G73" s="10" t="s">
        <v>6</v>
      </c>
      <c r="H73" s="11">
        <v>125</v>
      </c>
    </row>
    <row r="74" spans="1:8" ht="20.100000000000001" customHeight="1" x14ac:dyDescent="0.25">
      <c r="A74" s="74"/>
      <c r="B74" s="2">
        <v>45265</v>
      </c>
      <c r="C74" s="3">
        <v>405356589</v>
      </c>
      <c r="D74" s="3">
        <v>3</v>
      </c>
      <c r="E74" s="4" t="s">
        <v>840</v>
      </c>
      <c r="F74" s="19" t="s">
        <v>1440</v>
      </c>
      <c r="G74" s="10" t="s">
        <v>14</v>
      </c>
      <c r="H74" s="11">
        <v>1599.9999</v>
      </c>
    </row>
    <row r="75" spans="1:8" ht="20.100000000000001" customHeight="1" x14ac:dyDescent="0.25">
      <c r="A75" s="74"/>
      <c r="B75" s="2">
        <v>45266</v>
      </c>
      <c r="C75" s="3">
        <v>1935887194</v>
      </c>
      <c r="D75" s="3">
        <v>3</v>
      </c>
      <c r="E75" s="4" t="s">
        <v>343</v>
      </c>
      <c r="F75" s="19" t="s">
        <v>26</v>
      </c>
      <c r="G75" s="10" t="s">
        <v>7</v>
      </c>
      <c r="H75" s="11">
        <v>2214</v>
      </c>
    </row>
    <row r="76" spans="1:8" ht="20.100000000000001" customHeight="1" x14ac:dyDescent="0.25">
      <c r="A76" s="74"/>
      <c r="B76" s="2">
        <v>45271</v>
      </c>
      <c r="C76" s="3">
        <v>1661747243</v>
      </c>
      <c r="D76" s="3">
        <v>1</v>
      </c>
      <c r="E76" s="4" t="s">
        <v>1411</v>
      </c>
      <c r="F76" s="19" t="s">
        <v>26</v>
      </c>
      <c r="G76" s="10" t="s">
        <v>7</v>
      </c>
      <c r="H76" s="11">
        <v>578</v>
      </c>
    </row>
    <row r="77" spans="1:8" ht="20.100000000000001" customHeight="1" x14ac:dyDescent="0.25">
      <c r="A77" s="74"/>
      <c r="B77" s="2">
        <v>45275</v>
      </c>
      <c r="C77" s="3">
        <v>1260866636</v>
      </c>
      <c r="D77" s="3">
        <v>2</v>
      </c>
      <c r="E77" s="4" t="s">
        <v>1441</v>
      </c>
      <c r="F77" s="19" t="s">
        <v>26</v>
      </c>
      <c r="G77" s="10" t="s">
        <v>28</v>
      </c>
      <c r="H77" s="11">
        <v>1150</v>
      </c>
    </row>
    <row r="78" spans="1:8" ht="15.75" x14ac:dyDescent="0.25">
      <c r="A78" s="75"/>
      <c r="B78" s="13"/>
      <c r="C78" s="14"/>
      <c r="D78" s="14"/>
      <c r="E78" s="14" t="s">
        <v>5</v>
      </c>
      <c r="F78" s="15"/>
      <c r="G78" s="16"/>
      <c r="H78" s="23">
        <f>SUM(H3:H77)</f>
        <v>53654.499900000003</v>
      </c>
    </row>
  </sheetData>
  <autoFilter ref="A1:H78" xr:uid="{00000000-0009-0000-0000-000008000000}"/>
  <mergeCells count="8">
    <mergeCell ref="F1:F2"/>
    <mergeCell ref="G1:G2"/>
    <mergeCell ref="H1:H2"/>
    <mergeCell ref="A1:A78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"/>
  <sheetViews>
    <sheetView workbookViewId="0">
      <selection activeCell="B15" sqref="B15"/>
    </sheetView>
  </sheetViews>
  <sheetFormatPr baseColWidth="10" defaultColWidth="9.140625" defaultRowHeight="15" x14ac:dyDescent="0.25"/>
  <cols>
    <col min="1" max="1" width="12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4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29</v>
      </c>
      <c r="B1" s="71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4"/>
      <c r="B2" s="65"/>
      <c r="C2" s="67"/>
      <c r="D2" s="67"/>
      <c r="E2" s="67"/>
      <c r="F2" s="67"/>
      <c r="G2" s="61"/>
      <c r="H2" s="63"/>
    </row>
    <row r="3" spans="1:8" ht="20.100000000000001" customHeight="1" x14ac:dyDescent="0.25">
      <c r="A3" s="74"/>
      <c r="B3" s="2">
        <v>44960</v>
      </c>
      <c r="C3" s="3">
        <v>814694929</v>
      </c>
      <c r="D3" s="3">
        <v>1</v>
      </c>
      <c r="E3" s="4" t="s">
        <v>221</v>
      </c>
      <c r="F3" s="19" t="s">
        <v>259</v>
      </c>
      <c r="G3" s="10" t="s">
        <v>11</v>
      </c>
      <c r="H3" s="11">
        <v>4830</v>
      </c>
    </row>
    <row r="4" spans="1:8" ht="20.100000000000001" customHeight="1" x14ac:dyDescent="0.25">
      <c r="A4" s="74"/>
      <c r="B4" s="2">
        <v>44972</v>
      </c>
      <c r="C4" s="3">
        <v>134558227</v>
      </c>
      <c r="D4" s="3">
        <v>1</v>
      </c>
      <c r="E4" s="4" t="s">
        <v>260</v>
      </c>
      <c r="F4" s="19" t="s">
        <v>259</v>
      </c>
      <c r="G4" s="10" t="s">
        <v>7</v>
      </c>
      <c r="H4" s="11">
        <v>2600</v>
      </c>
    </row>
    <row r="5" spans="1:8" ht="20.100000000000001" customHeight="1" x14ac:dyDescent="0.25">
      <c r="A5" s="74"/>
      <c r="B5" s="2">
        <v>44978</v>
      </c>
      <c r="C5" s="3">
        <v>827080822</v>
      </c>
      <c r="D5" s="3">
        <v>1</v>
      </c>
      <c r="E5" s="4" t="s">
        <v>261</v>
      </c>
      <c r="F5" s="19" t="s">
        <v>259</v>
      </c>
      <c r="G5" s="10" t="s">
        <v>6</v>
      </c>
      <c r="H5" s="11">
        <v>3500</v>
      </c>
    </row>
    <row r="6" spans="1:8" ht="20.100000000000001" customHeight="1" x14ac:dyDescent="0.25">
      <c r="A6" s="74"/>
      <c r="B6" s="2">
        <v>45075</v>
      </c>
      <c r="C6" s="3">
        <v>1881883923</v>
      </c>
      <c r="D6" s="3">
        <v>1</v>
      </c>
      <c r="E6" s="4" t="s">
        <v>650</v>
      </c>
      <c r="F6" s="19" t="s">
        <v>259</v>
      </c>
      <c r="G6" s="10" t="s">
        <v>7</v>
      </c>
      <c r="H6" s="11">
        <v>3500</v>
      </c>
    </row>
    <row r="7" spans="1:8" ht="20.100000000000001" customHeight="1" x14ac:dyDescent="0.25">
      <c r="A7" s="74"/>
      <c r="B7" s="2">
        <v>45113</v>
      </c>
      <c r="C7" s="3">
        <v>3871690244</v>
      </c>
      <c r="D7" s="3">
        <v>1</v>
      </c>
      <c r="E7" s="4" t="s">
        <v>272</v>
      </c>
      <c r="F7" s="19" t="s">
        <v>259</v>
      </c>
      <c r="G7" s="10" t="s">
        <v>7</v>
      </c>
      <c r="H7" s="11">
        <v>3000</v>
      </c>
    </row>
    <row r="8" spans="1:8" ht="20.100000000000001" customHeight="1" x14ac:dyDescent="0.25">
      <c r="A8" s="74"/>
      <c r="B8" s="2">
        <v>45118</v>
      </c>
      <c r="C8" s="3">
        <v>2111391586</v>
      </c>
      <c r="D8" s="3">
        <v>1</v>
      </c>
      <c r="E8" s="4" t="s">
        <v>821</v>
      </c>
      <c r="F8" s="19" t="s">
        <v>259</v>
      </c>
      <c r="G8" s="10" t="s">
        <v>7</v>
      </c>
      <c r="H8" s="11">
        <v>3000</v>
      </c>
    </row>
    <row r="9" spans="1:8" ht="20.100000000000001" customHeight="1" x14ac:dyDescent="0.25">
      <c r="A9" s="74"/>
      <c r="B9" s="2">
        <v>45125</v>
      </c>
      <c r="C9" s="3">
        <v>3176480898</v>
      </c>
      <c r="D9" s="3">
        <v>1</v>
      </c>
      <c r="E9" s="4" t="s">
        <v>244</v>
      </c>
      <c r="F9" s="19" t="s">
        <v>259</v>
      </c>
      <c r="G9" s="10" t="s">
        <v>28</v>
      </c>
      <c r="H9" s="11">
        <v>3200</v>
      </c>
    </row>
    <row r="10" spans="1:8" ht="20.100000000000001" customHeight="1" x14ac:dyDescent="0.25">
      <c r="A10" s="74"/>
      <c r="B10" s="2">
        <v>45125</v>
      </c>
      <c r="C10" s="3">
        <v>1658585</v>
      </c>
      <c r="D10" s="3">
        <v>2</v>
      </c>
      <c r="E10" s="4" t="s">
        <v>671</v>
      </c>
      <c r="F10" s="19" t="s">
        <v>259</v>
      </c>
      <c r="G10" s="10" t="s">
        <v>28</v>
      </c>
      <c r="H10" s="11">
        <v>6000</v>
      </c>
    </row>
    <row r="11" spans="1:8" ht="20.100000000000001" customHeight="1" x14ac:dyDescent="0.25">
      <c r="A11" s="74"/>
      <c r="B11" s="2">
        <v>45146</v>
      </c>
      <c r="C11" s="3">
        <v>539969771</v>
      </c>
      <c r="D11" s="3">
        <v>1</v>
      </c>
      <c r="E11" s="4" t="s">
        <v>954</v>
      </c>
      <c r="F11" s="19" t="s">
        <v>259</v>
      </c>
      <c r="G11" s="10" t="s">
        <v>7</v>
      </c>
      <c r="H11" s="11">
        <v>3200</v>
      </c>
    </row>
    <row r="12" spans="1:8" ht="20.100000000000001" customHeight="1" x14ac:dyDescent="0.25">
      <c r="A12" s="74"/>
      <c r="B12" s="2">
        <v>45147</v>
      </c>
      <c r="C12" s="3">
        <v>366178616</v>
      </c>
      <c r="D12" s="3">
        <v>1</v>
      </c>
      <c r="E12" s="4" t="s">
        <v>973</v>
      </c>
      <c r="F12" s="19" t="s">
        <v>259</v>
      </c>
      <c r="G12" s="10" t="s">
        <v>7</v>
      </c>
      <c r="H12" s="11">
        <v>3383</v>
      </c>
    </row>
    <row r="13" spans="1:8" ht="20.100000000000001" customHeight="1" x14ac:dyDescent="0.25">
      <c r="A13" s="74"/>
      <c r="B13" s="2">
        <v>45237</v>
      </c>
      <c r="C13" s="3">
        <v>3280356856</v>
      </c>
      <c r="D13" s="3">
        <v>1</v>
      </c>
      <c r="E13" s="4" t="s">
        <v>1215</v>
      </c>
      <c r="F13" s="19" t="s">
        <v>1216</v>
      </c>
      <c r="G13" s="10" t="s">
        <v>7</v>
      </c>
      <c r="H13" s="11">
        <v>2800</v>
      </c>
    </row>
    <row r="14" spans="1:8" ht="20.100000000000001" customHeight="1" x14ac:dyDescent="0.25">
      <c r="A14" s="74"/>
      <c r="B14" s="2">
        <v>45268</v>
      </c>
      <c r="C14" s="3">
        <v>1388595424</v>
      </c>
      <c r="D14" s="3">
        <v>1</v>
      </c>
      <c r="E14" s="4" t="s">
        <v>356</v>
      </c>
      <c r="F14" s="19" t="s">
        <v>259</v>
      </c>
      <c r="G14" s="10" t="s">
        <v>6</v>
      </c>
      <c r="H14" s="11">
        <v>3500</v>
      </c>
    </row>
    <row r="15" spans="1:8" ht="20.100000000000001" customHeight="1" x14ac:dyDescent="0.25">
      <c r="A15" s="74"/>
      <c r="B15" s="2">
        <v>45271</v>
      </c>
      <c r="C15" s="3">
        <v>3654568000</v>
      </c>
      <c r="D15" s="3">
        <v>2</v>
      </c>
      <c r="E15" s="4" t="s">
        <v>244</v>
      </c>
      <c r="F15" s="19" t="s">
        <v>259</v>
      </c>
      <c r="G15" s="10" t="s">
        <v>28</v>
      </c>
      <c r="H15" s="11">
        <v>4834</v>
      </c>
    </row>
    <row r="16" spans="1:8" ht="20.100000000000001" customHeight="1" x14ac:dyDescent="0.25">
      <c r="A16" s="74"/>
      <c r="B16" s="2">
        <v>45271</v>
      </c>
      <c r="C16" s="3">
        <v>1752452591</v>
      </c>
      <c r="D16" s="3">
        <v>2</v>
      </c>
      <c r="E16" s="4" t="s">
        <v>1442</v>
      </c>
      <c r="F16" s="19" t="s">
        <v>259</v>
      </c>
      <c r="G16" s="10" t="s">
        <v>11</v>
      </c>
      <c r="H16" s="11">
        <v>4834</v>
      </c>
    </row>
    <row r="17" spans="1:8" ht="15.75" x14ac:dyDescent="0.25">
      <c r="A17" s="75"/>
      <c r="B17" s="13"/>
      <c r="C17" s="14"/>
      <c r="D17" s="14"/>
      <c r="E17" s="14" t="s">
        <v>5</v>
      </c>
      <c r="F17" s="15"/>
      <c r="G17" s="16"/>
      <c r="H17" s="23">
        <f>SUM(H3:H16)</f>
        <v>52181</v>
      </c>
    </row>
  </sheetData>
  <mergeCells count="8">
    <mergeCell ref="A1:A17"/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16" workbookViewId="0">
      <selection activeCell="F30" sqref="F30"/>
    </sheetView>
  </sheetViews>
  <sheetFormatPr baseColWidth="10" defaultColWidth="9.140625" defaultRowHeight="15" x14ac:dyDescent="0.25"/>
  <cols>
    <col min="1" max="1" width="18.57031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8.28515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30</v>
      </c>
      <c r="B1" s="71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4"/>
      <c r="B2" s="65"/>
      <c r="C2" s="67"/>
      <c r="D2" s="67"/>
      <c r="E2" s="67"/>
      <c r="F2" s="67"/>
      <c r="G2" s="61"/>
      <c r="H2" s="63"/>
    </row>
    <row r="3" spans="1:8" ht="20.100000000000001" customHeight="1" x14ac:dyDescent="0.25">
      <c r="A3" s="74"/>
      <c r="B3" s="2">
        <v>44932</v>
      </c>
      <c r="C3" s="3">
        <v>1691175570</v>
      </c>
      <c r="D3" s="3">
        <v>1</v>
      </c>
      <c r="E3" s="4" t="s">
        <v>169</v>
      </c>
      <c r="F3" s="19" t="s">
        <v>30</v>
      </c>
      <c r="G3" s="10" t="s">
        <v>7</v>
      </c>
      <c r="H3" s="11">
        <v>583.79999999999995</v>
      </c>
    </row>
    <row r="4" spans="1:8" ht="20.100000000000001" customHeight="1" x14ac:dyDescent="0.25">
      <c r="A4" s="74"/>
      <c r="B4" s="2">
        <v>44953</v>
      </c>
      <c r="C4" s="3">
        <v>2139636298</v>
      </c>
      <c r="D4" s="3">
        <v>1</v>
      </c>
      <c r="E4" s="4" t="s">
        <v>170</v>
      </c>
      <c r="F4" s="19" t="s">
        <v>30</v>
      </c>
      <c r="G4" s="10" t="s">
        <v>6</v>
      </c>
      <c r="H4" s="11">
        <v>583.79999999999995</v>
      </c>
    </row>
    <row r="5" spans="1:8" ht="20.100000000000001" customHeight="1" x14ac:dyDescent="0.25">
      <c r="A5" s="74"/>
      <c r="B5" s="2">
        <v>44972</v>
      </c>
      <c r="C5" s="3">
        <v>2819113225</v>
      </c>
      <c r="D5" s="3">
        <v>4</v>
      </c>
      <c r="E5" s="4" t="s">
        <v>262</v>
      </c>
      <c r="F5" s="19" t="s">
        <v>30</v>
      </c>
      <c r="G5" s="10" t="s">
        <v>6</v>
      </c>
      <c r="H5" s="11">
        <v>2335</v>
      </c>
    </row>
    <row r="6" spans="1:8" ht="20.100000000000001" customHeight="1" x14ac:dyDescent="0.25">
      <c r="A6" s="74"/>
      <c r="B6" s="2">
        <v>44973</v>
      </c>
      <c r="C6" s="3">
        <v>1258243715</v>
      </c>
      <c r="D6" s="3">
        <v>1</v>
      </c>
      <c r="E6" s="4" t="s">
        <v>263</v>
      </c>
      <c r="F6" s="19" t="s">
        <v>30</v>
      </c>
      <c r="G6" s="10" t="s">
        <v>16</v>
      </c>
      <c r="H6" s="11">
        <v>834</v>
      </c>
    </row>
    <row r="7" spans="1:8" ht="20.100000000000001" customHeight="1" x14ac:dyDescent="0.25">
      <c r="A7" s="74"/>
      <c r="B7" s="2">
        <v>45000</v>
      </c>
      <c r="C7" s="3">
        <v>3855565521</v>
      </c>
      <c r="D7" s="3">
        <v>1</v>
      </c>
      <c r="E7" s="4" t="s">
        <v>385</v>
      </c>
      <c r="F7" s="19" t="s">
        <v>30</v>
      </c>
      <c r="G7" s="10" t="s">
        <v>6</v>
      </c>
      <c r="H7" s="11">
        <v>834</v>
      </c>
    </row>
    <row r="8" spans="1:8" ht="20.100000000000001" customHeight="1" x14ac:dyDescent="0.25">
      <c r="A8" s="74"/>
      <c r="B8" s="2">
        <v>45015</v>
      </c>
      <c r="C8" s="3">
        <v>2439464289</v>
      </c>
      <c r="D8" s="3">
        <v>1</v>
      </c>
      <c r="E8" s="4" t="s">
        <v>345</v>
      </c>
      <c r="F8" s="19" t="s">
        <v>30</v>
      </c>
      <c r="G8" s="10" t="s">
        <v>6</v>
      </c>
      <c r="H8" s="11">
        <v>834</v>
      </c>
    </row>
    <row r="9" spans="1:8" ht="20.100000000000001" customHeight="1" x14ac:dyDescent="0.25">
      <c r="A9" s="74"/>
      <c r="B9" s="2">
        <v>45048</v>
      </c>
      <c r="C9" s="3">
        <v>3585820799</v>
      </c>
      <c r="D9" s="3">
        <v>2</v>
      </c>
      <c r="E9" s="4" t="s">
        <v>587</v>
      </c>
      <c r="F9" s="19" t="s">
        <v>30</v>
      </c>
      <c r="G9" s="10" t="s">
        <v>14</v>
      </c>
      <c r="H9" s="11">
        <v>1160</v>
      </c>
    </row>
    <row r="10" spans="1:8" ht="20.100000000000001" customHeight="1" x14ac:dyDescent="0.25">
      <c r="A10" s="74"/>
      <c r="B10" s="2">
        <v>45048</v>
      </c>
      <c r="C10" s="3">
        <v>3585820799</v>
      </c>
      <c r="D10" s="3">
        <v>1</v>
      </c>
      <c r="E10" s="4" t="s">
        <v>587</v>
      </c>
      <c r="F10" s="19" t="s">
        <v>30</v>
      </c>
      <c r="G10" s="10" t="s">
        <v>14</v>
      </c>
      <c r="H10" s="11">
        <v>435</v>
      </c>
    </row>
    <row r="11" spans="1:8" ht="20.100000000000001" customHeight="1" x14ac:dyDescent="0.25">
      <c r="A11" s="74"/>
      <c r="B11" s="2">
        <v>45079</v>
      </c>
      <c r="C11" s="3">
        <v>3294710955</v>
      </c>
      <c r="D11" s="3">
        <v>1</v>
      </c>
      <c r="E11" s="4" t="s">
        <v>354</v>
      </c>
      <c r="F11" s="19" t="s">
        <v>30</v>
      </c>
      <c r="G11" s="10" t="s">
        <v>16</v>
      </c>
      <c r="H11" s="11">
        <v>834</v>
      </c>
    </row>
    <row r="12" spans="1:8" ht="20.100000000000001" customHeight="1" x14ac:dyDescent="0.25">
      <c r="A12" s="74"/>
      <c r="B12" s="2">
        <v>45104</v>
      </c>
      <c r="C12" s="3">
        <v>988760668</v>
      </c>
      <c r="D12" s="3">
        <v>3</v>
      </c>
      <c r="E12" s="4" t="s">
        <v>734</v>
      </c>
      <c r="F12" s="19" t="s">
        <v>30</v>
      </c>
      <c r="G12" s="10" t="s">
        <v>6</v>
      </c>
      <c r="H12" s="11">
        <v>2802.2400000000002</v>
      </c>
    </row>
    <row r="13" spans="1:8" ht="20.100000000000001" customHeight="1" x14ac:dyDescent="0.25">
      <c r="A13" s="74"/>
      <c r="B13" s="2">
        <v>45111</v>
      </c>
      <c r="C13" s="3">
        <v>521881109</v>
      </c>
      <c r="D13" s="3">
        <v>1</v>
      </c>
      <c r="E13" s="4" t="s">
        <v>822</v>
      </c>
      <c r="F13" s="19" t="s">
        <v>30</v>
      </c>
      <c r="G13" s="10" t="s">
        <v>7</v>
      </c>
      <c r="H13" s="11">
        <v>600</v>
      </c>
    </row>
    <row r="14" spans="1:8" ht="20.100000000000001" customHeight="1" x14ac:dyDescent="0.25">
      <c r="A14" s="74"/>
      <c r="B14" s="2">
        <v>45121</v>
      </c>
      <c r="C14" s="3">
        <v>1501382008</v>
      </c>
      <c r="D14" s="3">
        <v>3</v>
      </c>
      <c r="E14" s="4" t="s">
        <v>823</v>
      </c>
      <c r="F14" s="19" t="s">
        <v>30</v>
      </c>
      <c r="G14" s="10" t="s">
        <v>6</v>
      </c>
      <c r="H14" s="11">
        <v>1800</v>
      </c>
    </row>
    <row r="15" spans="1:8" ht="20.100000000000001" customHeight="1" x14ac:dyDescent="0.25">
      <c r="A15" s="74"/>
      <c r="B15" s="2">
        <v>45128</v>
      </c>
      <c r="C15" s="3">
        <v>2184659409</v>
      </c>
      <c r="D15" s="3">
        <v>2</v>
      </c>
      <c r="E15" s="4" t="s">
        <v>824</v>
      </c>
      <c r="F15" s="19" t="s">
        <v>30</v>
      </c>
      <c r="G15" s="10" t="s">
        <v>6</v>
      </c>
      <c r="H15" s="11">
        <v>1000</v>
      </c>
    </row>
    <row r="16" spans="1:8" ht="20.100000000000001" customHeight="1" x14ac:dyDescent="0.25">
      <c r="A16" s="74"/>
      <c r="B16" s="2">
        <v>45132</v>
      </c>
      <c r="C16" s="3">
        <v>1744063022</v>
      </c>
      <c r="D16" s="3">
        <v>1</v>
      </c>
      <c r="E16" s="4" t="s">
        <v>819</v>
      </c>
      <c r="F16" s="19" t="s">
        <v>30</v>
      </c>
      <c r="G16" s="10" t="s">
        <v>7</v>
      </c>
      <c r="H16" s="11">
        <v>834</v>
      </c>
    </row>
    <row r="17" spans="1:8" ht="20.100000000000001" customHeight="1" x14ac:dyDescent="0.25">
      <c r="A17" s="74"/>
      <c r="B17" s="2">
        <v>45134</v>
      </c>
      <c r="C17" s="3">
        <v>2140292111</v>
      </c>
      <c r="D17" s="3">
        <v>3</v>
      </c>
      <c r="E17" s="4" t="s">
        <v>820</v>
      </c>
      <c r="F17" s="19" t="s">
        <v>30</v>
      </c>
      <c r="G17" s="10" t="s">
        <v>7</v>
      </c>
      <c r="H17" s="11">
        <v>1751.3999999999999</v>
      </c>
    </row>
    <row r="18" spans="1:8" ht="20.100000000000001" customHeight="1" x14ac:dyDescent="0.25">
      <c r="A18" s="74"/>
      <c r="B18" s="2">
        <v>45155</v>
      </c>
      <c r="C18" s="3">
        <v>2680376855</v>
      </c>
      <c r="D18" s="3">
        <v>1</v>
      </c>
      <c r="E18" s="4" t="s">
        <v>970</v>
      </c>
      <c r="F18" s="19" t="s">
        <v>30</v>
      </c>
      <c r="G18" s="10" t="s">
        <v>11</v>
      </c>
      <c r="H18" s="11">
        <v>750</v>
      </c>
    </row>
    <row r="19" spans="1:8" ht="20.100000000000001" customHeight="1" x14ac:dyDescent="0.25">
      <c r="A19" s="74"/>
      <c r="B19" s="2">
        <v>45156</v>
      </c>
      <c r="C19" s="3">
        <v>810765881</v>
      </c>
      <c r="D19" s="3">
        <v>3</v>
      </c>
      <c r="E19" s="4" t="s">
        <v>231</v>
      </c>
      <c r="F19" s="19" t="s">
        <v>30</v>
      </c>
      <c r="G19" s="10" t="s">
        <v>28</v>
      </c>
      <c r="H19" s="11">
        <v>1751.3999999999999</v>
      </c>
    </row>
    <row r="20" spans="1:8" ht="20.100000000000001" customHeight="1" x14ac:dyDescent="0.25">
      <c r="A20" s="74"/>
      <c r="B20" s="2">
        <v>45177</v>
      </c>
      <c r="C20" s="3">
        <v>2951368125</v>
      </c>
      <c r="D20" s="3">
        <v>1</v>
      </c>
      <c r="E20" s="4" t="s">
        <v>1019</v>
      </c>
      <c r="F20" s="19" t="s">
        <v>30</v>
      </c>
      <c r="G20" s="10" t="s">
        <v>7</v>
      </c>
      <c r="H20" s="11">
        <v>834</v>
      </c>
    </row>
    <row r="21" spans="1:8" ht="20.100000000000001" customHeight="1" x14ac:dyDescent="0.25">
      <c r="A21" s="74"/>
      <c r="B21" s="2">
        <v>45191</v>
      </c>
      <c r="C21" s="3">
        <v>2676575922</v>
      </c>
      <c r="D21" s="3">
        <v>2</v>
      </c>
      <c r="E21" s="4" t="s">
        <v>1067</v>
      </c>
      <c r="F21" s="19" t="s">
        <v>30</v>
      </c>
      <c r="G21" s="10" t="s">
        <v>28</v>
      </c>
      <c r="H21" s="11">
        <v>1668</v>
      </c>
    </row>
    <row r="22" spans="1:8" ht="20.100000000000001" customHeight="1" x14ac:dyDescent="0.25">
      <c r="A22" s="74"/>
      <c r="B22" s="2">
        <v>45217</v>
      </c>
      <c r="C22" s="3">
        <v>1537166555</v>
      </c>
      <c r="D22" s="3">
        <v>2</v>
      </c>
      <c r="E22" s="4" t="s">
        <v>1121</v>
      </c>
      <c r="F22" s="19" t="s">
        <v>1152</v>
      </c>
      <c r="G22" s="10" t="s">
        <v>7</v>
      </c>
      <c r="H22" s="11">
        <v>2412</v>
      </c>
    </row>
    <row r="23" spans="1:8" ht="20.100000000000001" customHeight="1" x14ac:dyDescent="0.25">
      <c r="A23" s="74"/>
      <c r="B23" s="2">
        <v>45217</v>
      </c>
      <c r="C23" s="3">
        <v>1537166555</v>
      </c>
      <c r="D23" s="3">
        <v>1</v>
      </c>
      <c r="E23" s="4" t="s">
        <v>1121</v>
      </c>
      <c r="F23" s="19" t="s">
        <v>1152</v>
      </c>
      <c r="G23" s="10" t="s">
        <v>7</v>
      </c>
      <c r="H23" s="11">
        <v>1208</v>
      </c>
    </row>
    <row r="24" spans="1:8" ht="20.100000000000001" customHeight="1" x14ac:dyDescent="0.25">
      <c r="A24" s="74"/>
      <c r="B24" s="2">
        <v>45222</v>
      </c>
      <c r="C24" s="3">
        <v>1716014881</v>
      </c>
      <c r="D24" s="3">
        <v>1</v>
      </c>
      <c r="E24" s="4" t="s">
        <v>1153</v>
      </c>
      <c r="F24" s="19" t="s">
        <v>1152</v>
      </c>
      <c r="G24" s="10" t="s">
        <v>7</v>
      </c>
      <c r="H24" s="11">
        <v>834</v>
      </c>
    </row>
    <row r="25" spans="1:8" ht="20.100000000000001" customHeight="1" x14ac:dyDescent="0.25">
      <c r="A25" s="74"/>
      <c r="B25" s="2">
        <v>45223</v>
      </c>
      <c r="C25" s="3">
        <v>3220196151</v>
      </c>
      <c r="D25" s="3">
        <v>1</v>
      </c>
      <c r="E25" s="4" t="s">
        <v>1150</v>
      </c>
      <c r="F25" s="19" t="s">
        <v>1152</v>
      </c>
      <c r="G25" s="10" t="s">
        <v>14</v>
      </c>
      <c r="H25" s="11">
        <v>834</v>
      </c>
    </row>
    <row r="26" spans="1:8" ht="20.100000000000001" customHeight="1" x14ac:dyDescent="0.25">
      <c r="A26" s="74"/>
      <c r="B26" s="2">
        <v>45224</v>
      </c>
      <c r="C26" s="3">
        <v>3637330911</v>
      </c>
      <c r="D26" s="3">
        <v>1</v>
      </c>
      <c r="E26" s="4" t="s">
        <v>1154</v>
      </c>
      <c r="F26" s="19" t="s">
        <v>1152</v>
      </c>
      <c r="G26" s="10" t="s">
        <v>28</v>
      </c>
      <c r="H26" s="11">
        <v>834</v>
      </c>
    </row>
    <row r="27" spans="1:8" ht="20.100000000000001" customHeight="1" x14ac:dyDescent="0.25">
      <c r="A27" s="74"/>
      <c r="B27" s="2">
        <v>45232</v>
      </c>
      <c r="C27" s="3">
        <v>4087434445</v>
      </c>
      <c r="D27" s="3">
        <v>1</v>
      </c>
      <c r="E27" s="4" t="s">
        <v>1217</v>
      </c>
      <c r="F27" s="19" t="s">
        <v>30</v>
      </c>
      <c r="G27" s="10" t="s">
        <v>6</v>
      </c>
      <c r="H27" s="11">
        <v>834</v>
      </c>
    </row>
    <row r="28" spans="1:8" ht="20.100000000000001" customHeight="1" x14ac:dyDescent="0.25">
      <c r="A28" s="74"/>
      <c r="B28" s="2">
        <v>45238</v>
      </c>
      <c r="C28" s="3">
        <v>3354674554</v>
      </c>
      <c r="D28" s="3">
        <v>2</v>
      </c>
      <c r="E28" s="4" t="s">
        <v>1214</v>
      </c>
      <c r="F28" s="19" t="s">
        <v>30</v>
      </c>
      <c r="G28" s="10" t="s">
        <v>7</v>
      </c>
      <c r="H28" s="11">
        <v>1668</v>
      </c>
    </row>
    <row r="29" spans="1:8" ht="20.100000000000001" customHeight="1" x14ac:dyDescent="0.25">
      <c r="A29" s="74"/>
      <c r="B29" s="2">
        <v>45239</v>
      </c>
      <c r="C29" s="3">
        <v>1497514584</v>
      </c>
      <c r="D29" s="3">
        <v>2</v>
      </c>
      <c r="E29" s="4" t="s">
        <v>1206</v>
      </c>
      <c r="F29" s="19" t="s">
        <v>30</v>
      </c>
      <c r="G29" s="10" t="s">
        <v>7</v>
      </c>
      <c r="H29" s="11">
        <v>1167.5999999999999</v>
      </c>
    </row>
    <row r="30" spans="1:8" ht="20.100000000000001" customHeight="1" x14ac:dyDescent="0.25">
      <c r="A30" s="74"/>
      <c r="B30" s="2">
        <v>45265</v>
      </c>
      <c r="C30" s="3">
        <v>2556840221</v>
      </c>
      <c r="D30" s="3">
        <v>1</v>
      </c>
      <c r="E30" s="4" t="s">
        <v>667</v>
      </c>
      <c r="F30" s="19" t="s">
        <v>30</v>
      </c>
      <c r="G30" s="10" t="s">
        <v>28</v>
      </c>
      <c r="H30" s="11">
        <v>834</v>
      </c>
    </row>
    <row r="31" spans="1:8" ht="20.100000000000001" customHeight="1" x14ac:dyDescent="0.25">
      <c r="A31" s="74"/>
      <c r="B31" s="2">
        <v>45265</v>
      </c>
      <c r="C31" s="3">
        <v>3888465114</v>
      </c>
      <c r="D31" s="3">
        <v>1</v>
      </c>
      <c r="E31" s="4" t="s">
        <v>1443</v>
      </c>
      <c r="F31" s="19" t="s">
        <v>30</v>
      </c>
      <c r="G31" s="10" t="s">
        <v>28</v>
      </c>
      <c r="H31" s="11">
        <v>834</v>
      </c>
    </row>
    <row r="32" spans="1:8" ht="20.100000000000001" customHeight="1" x14ac:dyDescent="0.25">
      <c r="A32" s="74"/>
      <c r="B32" s="2">
        <v>45265</v>
      </c>
      <c r="C32" s="3">
        <v>405356589</v>
      </c>
      <c r="D32" s="3">
        <v>2</v>
      </c>
      <c r="E32" s="4" t="s">
        <v>840</v>
      </c>
      <c r="F32" s="19" t="s">
        <v>30</v>
      </c>
      <c r="G32" s="10" t="s">
        <v>6</v>
      </c>
      <c r="H32" s="11">
        <v>1668</v>
      </c>
    </row>
    <row r="33" spans="1:8" ht="20.100000000000001" customHeight="1" x14ac:dyDescent="0.25">
      <c r="A33" s="74"/>
      <c r="B33" s="2">
        <v>45268</v>
      </c>
      <c r="C33" s="3">
        <v>3526197835</v>
      </c>
      <c r="D33" s="3">
        <v>1</v>
      </c>
      <c r="E33" s="4" t="s">
        <v>41</v>
      </c>
      <c r="F33" s="19" t="s">
        <v>30</v>
      </c>
      <c r="G33" s="10" t="s">
        <v>6</v>
      </c>
      <c r="H33" s="11">
        <v>834</v>
      </c>
    </row>
    <row r="34" spans="1:8" ht="20.100000000000001" customHeight="1" x14ac:dyDescent="0.25">
      <c r="A34" s="74"/>
      <c r="B34" s="2">
        <v>45271</v>
      </c>
      <c r="C34" s="3">
        <v>1011304552</v>
      </c>
      <c r="D34" s="3">
        <v>1</v>
      </c>
      <c r="E34" s="4" t="s">
        <v>1444</v>
      </c>
      <c r="F34" s="19" t="s">
        <v>30</v>
      </c>
      <c r="G34" s="10" t="s">
        <v>7</v>
      </c>
      <c r="H34" s="11">
        <v>834</v>
      </c>
    </row>
    <row r="35" spans="1:8" ht="20.100000000000001" customHeight="1" x14ac:dyDescent="0.25">
      <c r="A35" s="74"/>
      <c r="B35" s="2">
        <v>45278</v>
      </c>
      <c r="C35" s="3">
        <v>182013905</v>
      </c>
      <c r="D35" s="3">
        <v>2</v>
      </c>
      <c r="E35" s="4" t="s">
        <v>912</v>
      </c>
      <c r="F35" s="19" t="s">
        <v>30</v>
      </c>
      <c r="G35" s="10" t="s">
        <v>28</v>
      </c>
      <c r="H35" s="11">
        <v>1668</v>
      </c>
    </row>
    <row r="36" spans="1:8" ht="15.75" x14ac:dyDescent="0.25">
      <c r="A36" s="75"/>
      <c r="B36" s="13"/>
      <c r="C36" s="14"/>
      <c r="D36" s="14"/>
      <c r="E36" s="14" t="s">
        <v>5</v>
      </c>
      <c r="F36" s="15"/>
      <c r="G36" s="16"/>
      <c r="H36" s="23">
        <f>SUM(H3:H35)</f>
        <v>38688.240000000005</v>
      </c>
    </row>
  </sheetData>
  <mergeCells count="8">
    <mergeCell ref="A1:A36"/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8"/>
  <sheetViews>
    <sheetView topLeftCell="A10" workbookViewId="0">
      <selection activeCell="C32" sqref="C32"/>
    </sheetView>
  </sheetViews>
  <sheetFormatPr baseColWidth="10" defaultColWidth="9.140625" defaultRowHeight="15" x14ac:dyDescent="0.25"/>
  <cols>
    <col min="1" max="1" width="18.855468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21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32</v>
      </c>
      <c r="B1" s="71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4"/>
      <c r="B2" s="65"/>
      <c r="C2" s="67"/>
      <c r="D2" s="67"/>
      <c r="E2" s="67"/>
      <c r="F2" s="67"/>
      <c r="G2" s="61"/>
      <c r="H2" s="63"/>
    </row>
    <row r="3" spans="1:8" ht="20.100000000000001" customHeight="1" x14ac:dyDescent="0.25">
      <c r="A3" s="74"/>
      <c r="B3" s="2">
        <v>44942</v>
      </c>
      <c r="C3" s="3">
        <v>3683404304</v>
      </c>
      <c r="D3" s="3">
        <v>1</v>
      </c>
      <c r="E3" s="4" t="s">
        <v>171</v>
      </c>
      <c r="F3" s="19" t="s">
        <v>32</v>
      </c>
      <c r="G3" s="10" t="s">
        <v>6</v>
      </c>
      <c r="H3" s="11">
        <v>910</v>
      </c>
    </row>
    <row r="4" spans="1:8" ht="20.100000000000001" customHeight="1" x14ac:dyDescent="0.25">
      <c r="A4" s="74"/>
      <c r="B4" s="2">
        <v>44946</v>
      </c>
      <c r="C4" s="3">
        <v>4259727711</v>
      </c>
      <c r="D4" s="3">
        <v>1</v>
      </c>
      <c r="E4" s="4" t="s">
        <v>172</v>
      </c>
      <c r="F4" s="19" t="s">
        <v>32</v>
      </c>
      <c r="G4" s="10" t="s">
        <v>7</v>
      </c>
      <c r="H4" s="11">
        <v>950</v>
      </c>
    </row>
    <row r="5" spans="1:8" ht="20.100000000000001" customHeight="1" x14ac:dyDescent="0.25">
      <c r="A5" s="74"/>
      <c r="B5" s="2">
        <v>44946</v>
      </c>
      <c r="C5" s="3">
        <v>2951302643</v>
      </c>
      <c r="D5" s="3">
        <v>1</v>
      </c>
      <c r="E5" s="4" t="s">
        <v>173</v>
      </c>
      <c r="F5" s="19" t="s">
        <v>32</v>
      </c>
      <c r="G5" s="10" t="s">
        <v>14</v>
      </c>
      <c r="H5" s="11">
        <v>950</v>
      </c>
    </row>
    <row r="6" spans="1:8" ht="20.100000000000001" customHeight="1" x14ac:dyDescent="0.25">
      <c r="A6" s="74"/>
      <c r="B6" s="2">
        <v>44985</v>
      </c>
      <c r="C6" s="3" t="s">
        <v>13</v>
      </c>
      <c r="D6" s="3">
        <v>1</v>
      </c>
      <c r="E6" s="4" t="s">
        <v>31</v>
      </c>
      <c r="F6" s="19" t="s">
        <v>32</v>
      </c>
      <c r="G6" s="10" t="s">
        <v>14</v>
      </c>
      <c r="H6" s="11">
        <v>47</v>
      </c>
    </row>
    <row r="7" spans="1:8" ht="20.100000000000001" customHeight="1" x14ac:dyDescent="0.25">
      <c r="A7" s="74"/>
      <c r="B7" s="2">
        <v>44992</v>
      </c>
      <c r="C7" s="3">
        <v>2930526121</v>
      </c>
      <c r="D7" s="3">
        <v>1</v>
      </c>
      <c r="E7" s="4" t="s">
        <v>389</v>
      </c>
      <c r="F7" s="19" t="s">
        <v>32</v>
      </c>
      <c r="G7" s="10" t="s">
        <v>16</v>
      </c>
      <c r="H7" s="11">
        <v>750</v>
      </c>
    </row>
    <row r="8" spans="1:8" ht="20.100000000000001" customHeight="1" x14ac:dyDescent="0.25">
      <c r="A8" s="74"/>
      <c r="B8" s="2">
        <v>45043</v>
      </c>
      <c r="C8" s="3">
        <v>2201175240</v>
      </c>
      <c r="D8" s="3">
        <v>1</v>
      </c>
      <c r="E8" s="4" t="s">
        <v>95</v>
      </c>
      <c r="F8" s="19" t="s">
        <v>32</v>
      </c>
      <c r="G8" s="10" t="s">
        <v>7</v>
      </c>
      <c r="H8" s="11">
        <v>750</v>
      </c>
    </row>
    <row r="9" spans="1:8" ht="20.100000000000001" customHeight="1" x14ac:dyDescent="0.25">
      <c r="A9" s="74"/>
      <c r="B9" s="2">
        <v>45121</v>
      </c>
      <c r="C9" s="3">
        <v>3320005399</v>
      </c>
      <c r="D9" s="3">
        <v>1</v>
      </c>
      <c r="E9" s="4" t="s">
        <v>93</v>
      </c>
      <c r="F9" s="19" t="s">
        <v>32</v>
      </c>
      <c r="G9" s="10" t="s">
        <v>7</v>
      </c>
      <c r="H9" s="11">
        <v>750</v>
      </c>
    </row>
    <row r="10" spans="1:8" ht="20.100000000000001" customHeight="1" x14ac:dyDescent="0.25">
      <c r="A10" s="74"/>
      <c r="B10" s="2">
        <v>45121</v>
      </c>
      <c r="C10" s="3">
        <v>3320005399</v>
      </c>
      <c r="D10" s="3">
        <v>1</v>
      </c>
      <c r="E10" s="4" t="s">
        <v>825</v>
      </c>
      <c r="F10" s="19" t="s">
        <v>32</v>
      </c>
      <c r="G10" s="10" t="s">
        <v>7</v>
      </c>
      <c r="H10" s="11">
        <v>850</v>
      </c>
    </row>
    <row r="11" spans="1:8" ht="19.5" customHeight="1" x14ac:dyDescent="0.25">
      <c r="A11" s="74"/>
      <c r="B11" s="2">
        <v>45121</v>
      </c>
      <c r="C11" s="3">
        <v>3320005399</v>
      </c>
      <c r="D11" s="3">
        <v>1</v>
      </c>
      <c r="E11" s="4" t="s">
        <v>825</v>
      </c>
      <c r="F11" s="19" t="s">
        <v>32</v>
      </c>
      <c r="G11" s="10" t="s">
        <v>7</v>
      </c>
      <c r="H11" s="11">
        <v>1196.95</v>
      </c>
    </row>
    <row r="12" spans="1:8" ht="20.100000000000001" customHeight="1" x14ac:dyDescent="0.25">
      <c r="A12" s="74"/>
      <c r="B12" s="2">
        <v>45139</v>
      </c>
      <c r="C12" s="3">
        <v>261639467</v>
      </c>
      <c r="D12" s="3">
        <v>1</v>
      </c>
      <c r="E12" s="4" t="s">
        <v>361</v>
      </c>
      <c r="F12" s="19" t="s">
        <v>32</v>
      </c>
      <c r="G12" s="10" t="s">
        <v>6</v>
      </c>
      <c r="H12" s="11">
        <v>1363.46</v>
      </c>
    </row>
    <row r="13" spans="1:8" ht="15.75" x14ac:dyDescent="0.25">
      <c r="A13" s="74"/>
      <c r="B13" s="2">
        <v>45142</v>
      </c>
      <c r="C13" s="3">
        <v>467091746</v>
      </c>
      <c r="D13" s="3">
        <v>1</v>
      </c>
      <c r="E13" s="4" t="s">
        <v>974</v>
      </c>
      <c r="F13" s="19" t="s">
        <v>32</v>
      </c>
      <c r="G13" s="10" t="s">
        <v>14</v>
      </c>
      <c r="H13" s="11">
        <v>1135</v>
      </c>
    </row>
    <row r="14" spans="1:8" ht="15.75" x14ac:dyDescent="0.25">
      <c r="A14" s="74"/>
      <c r="B14" s="2">
        <v>45148</v>
      </c>
      <c r="C14" s="3" t="s">
        <v>13</v>
      </c>
      <c r="D14" s="3">
        <v>1</v>
      </c>
      <c r="E14" s="4" t="s">
        <v>975</v>
      </c>
      <c r="F14" s="19" t="s">
        <v>32</v>
      </c>
      <c r="G14" s="10" t="s">
        <v>14</v>
      </c>
      <c r="H14" s="11">
        <v>788</v>
      </c>
    </row>
    <row r="15" spans="1:8" ht="15.75" x14ac:dyDescent="0.25">
      <c r="A15" s="74"/>
      <c r="B15" s="2">
        <v>45149</v>
      </c>
      <c r="C15" s="3">
        <v>3546759955</v>
      </c>
      <c r="D15" s="3">
        <v>1</v>
      </c>
      <c r="E15" s="4" t="s">
        <v>976</v>
      </c>
      <c r="F15" s="19" t="s">
        <v>32</v>
      </c>
      <c r="G15" s="10" t="s">
        <v>7</v>
      </c>
      <c r="H15" s="11">
        <v>850</v>
      </c>
    </row>
    <row r="16" spans="1:8" ht="30" x14ac:dyDescent="0.25">
      <c r="A16" s="74"/>
      <c r="B16" s="2">
        <v>45154</v>
      </c>
      <c r="C16" s="3">
        <v>2380808937</v>
      </c>
      <c r="D16" s="3">
        <v>1</v>
      </c>
      <c r="E16" s="4" t="s">
        <v>977</v>
      </c>
      <c r="F16" s="19" t="s">
        <v>978</v>
      </c>
      <c r="G16" s="10" t="s">
        <v>6</v>
      </c>
      <c r="H16" s="11">
        <v>1050</v>
      </c>
    </row>
    <row r="17" spans="1:8" ht="15.75" x14ac:dyDescent="0.25">
      <c r="A17" s="74"/>
      <c r="B17" s="2">
        <v>45218</v>
      </c>
      <c r="C17" s="3">
        <v>644236177</v>
      </c>
      <c r="D17" s="3">
        <v>1</v>
      </c>
      <c r="E17" s="4" t="s">
        <v>1155</v>
      </c>
      <c r="F17" s="19" t="s">
        <v>1156</v>
      </c>
      <c r="G17" s="10" t="s">
        <v>7</v>
      </c>
      <c r="H17" s="11">
        <v>750</v>
      </c>
    </row>
    <row r="18" spans="1:8" ht="15.75" x14ac:dyDescent="0.25">
      <c r="A18" s="75"/>
      <c r="B18" s="13"/>
      <c r="C18" s="14"/>
      <c r="D18" s="14"/>
      <c r="E18" s="14" t="s">
        <v>5</v>
      </c>
      <c r="F18" s="15"/>
      <c r="G18" s="16"/>
      <c r="H18" s="23">
        <f>SUM(H3:H17)</f>
        <v>13090.41</v>
      </c>
    </row>
  </sheetData>
  <mergeCells count="8">
    <mergeCell ref="A1:A18"/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8"/>
  <sheetViews>
    <sheetView topLeftCell="A11" workbookViewId="0">
      <selection activeCell="E31" sqref="E31"/>
    </sheetView>
  </sheetViews>
  <sheetFormatPr baseColWidth="10" defaultColWidth="9.140625" defaultRowHeight="15" x14ac:dyDescent="0.25"/>
  <cols>
    <col min="1" max="1" width="18.1406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0.42578125" style="25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33</v>
      </c>
      <c r="B1" s="71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4"/>
      <c r="B2" s="65"/>
      <c r="C2" s="67"/>
      <c r="D2" s="67"/>
      <c r="E2" s="67"/>
      <c r="F2" s="67"/>
      <c r="G2" s="61"/>
      <c r="H2" s="63"/>
    </row>
    <row r="3" spans="1:8" ht="20.100000000000001" customHeight="1" x14ac:dyDescent="0.25">
      <c r="A3" s="74"/>
      <c r="B3" s="2">
        <v>44935</v>
      </c>
      <c r="C3" s="3">
        <v>3402256232</v>
      </c>
      <c r="D3" s="3">
        <v>7</v>
      </c>
      <c r="E3" s="4" t="s">
        <v>174</v>
      </c>
      <c r="F3" s="19" t="s">
        <v>33</v>
      </c>
      <c r="G3" s="10" t="s">
        <v>7</v>
      </c>
      <c r="H3" s="11">
        <v>1400</v>
      </c>
    </row>
    <row r="4" spans="1:8" ht="20.100000000000001" customHeight="1" x14ac:dyDescent="0.25">
      <c r="A4" s="74"/>
      <c r="B4" s="2">
        <v>44938</v>
      </c>
      <c r="C4" s="3">
        <v>244845665</v>
      </c>
      <c r="D4" s="3">
        <v>1</v>
      </c>
      <c r="E4" s="4" t="s">
        <v>155</v>
      </c>
      <c r="F4" s="19" t="s">
        <v>33</v>
      </c>
      <c r="G4" s="10" t="s">
        <v>6</v>
      </c>
      <c r="H4" s="11">
        <v>259</v>
      </c>
    </row>
    <row r="5" spans="1:8" ht="20.100000000000001" customHeight="1" x14ac:dyDescent="0.25">
      <c r="A5" s="74"/>
      <c r="B5" s="2">
        <v>44943</v>
      </c>
      <c r="C5" s="3">
        <v>179322914</v>
      </c>
      <c r="D5" s="3">
        <v>8</v>
      </c>
      <c r="E5" s="4" t="s">
        <v>175</v>
      </c>
      <c r="F5" s="19" t="s">
        <v>33</v>
      </c>
      <c r="G5" s="10" t="s">
        <v>7</v>
      </c>
      <c r="H5" s="11">
        <v>1600</v>
      </c>
    </row>
    <row r="6" spans="1:8" ht="20.100000000000001" customHeight="1" x14ac:dyDescent="0.25">
      <c r="A6" s="74"/>
      <c r="B6" s="2">
        <v>44944</v>
      </c>
      <c r="C6" s="3">
        <v>2637121956</v>
      </c>
      <c r="D6" s="3">
        <v>1</v>
      </c>
      <c r="E6" s="4" t="s">
        <v>155</v>
      </c>
      <c r="F6" s="19" t="s">
        <v>33</v>
      </c>
      <c r="G6" s="10" t="s">
        <v>6</v>
      </c>
      <c r="H6" s="11">
        <v>259</v>
      </c>
    </row>
    <row r="7" spans="1:8" ht="20.100000000000001" customHeight="1" x14ac:dyDescent="0.25">
      <c r="A7" s="74"/>
      <c r="B7" s="2">
        <v>44951</v>
      </c>
      <c r="C7" s="3">
        <v>2698856826</v>
      </c>
      <c r="D7" s="3">
        <v>1</v>
      </c>
      <c r="E7" s="4" t="s">
        <v>155</v>
      </c>
      <c r="F7" s="19" t="s">
        <v>33</v>
      </c>
      <c r="G7" s="10" t="s">
        <v>6</v>
      </c>
      <c r="H7" s="11">
        <v>259</v>
      </c>
    </row>
    <row r="8" spans="1:8" ht="20.100000000000001" customHeight="1" x14ac:dyDescent="0.25">
      <c r="A8" s="74"/>
      <c r="B8" s="2">
        <v>44952</v>
      </c>
      <c r="C8" s="3">
        <v>4032643175</v>
      </c>
      <c r="D8" s="3">
        <v>8</v>
      </c>
      <c r="E8" s="4" t="s">
        <v>147</v>
      </c>
      <c r="F8" s="19" t="s">
        <v>33</v>
      </c>
      <c r="G8" s="10" t="s">
        <v>7</v>
      </c>
      <c r="H8" s="11">
        <v>1600</v>
      </c>
    </row>
    <row r="9" spans="1:8" ht="20.100000000000001" customHeight="1" x14ac:dyDescent="0.25">
      <c r="A9" s="74"/>
      <c r="B9" s="2">
        <v>44952</v>
      </c>
      <c r="C9" s="3">
        <v>1875525855</v>
      </c>
      <c r="D9" s="3">
        <v>6</v>
      </c>
      <c r="E9" s="4" t="s">
        <v>176</v>
      </c>
      <c r="F9" s="19" t="s">
        <v>177</v>
      </c>
      <c r="G9" s="10" t="s">
        <v>6</v>
      </c>
      <c r="H9" s="11">
        <v>720</v>
      </c>
    </row>
    <row r="10" spans="1:8" ht="20.100000000000001" customHeight="1" x14ac:dyDescent="0.25">
      <c r="A10" s="74"/>
      <c r="B10" s="2">
        <v>44958</v>
      </c>
      <c r="C10" s="3">
        <v>1820609236</v>
      </c>
      <c r="D10" s="3">
        <v>1</v>
      </c>
      <c r="E10" s="4" t="s">
        <v>264</v>
      </c>
      <c r="F10" s="19" t="s">
        <v>33</v>
      </c>
      <c r="G10" s="10" t="s">
        <v>6</v>
      </c>
      <c r="H10" s="11">
        <v>259</v>
      </c>
    </row>
    <row r="11" spans="1:8" ht="20.100000000000001" customHeight="1" x14ac:dyDescent="0.25">
      <c r="A11" s="74"/>
      <c r="B11" s="2">
        <v>44970</v>
      </c>
      <c r="C11" s="3">
        <v>3013034004</v>
      </c>
      <c r="D11" s="3">
        <v>1</v>
      </c>
      <c r="E11" s="4" t="s">
        <v>264</v>
      </c>
      <c r="F11" s="19" t="s">
        <v>33</v>
      </c>
      <c r="G11" s="10" t="s">
        <v>6</v>
      </c>
      <c r="H11" s="11">
        <v>259</v>
      </c>
    </row>
    <row r="12" spans="1:8" ht="20.100000000000001" customHeight="1" x14ac:dyDescent="0.25">
      <c r="A12" s="74"/>
      <c r="B12" s="2">
        <v>44978</v>
      </c>
      <c r="C12" s="3">
        <v>2237089643</v>
      </c>
      <c r="D12" s="3">
        <v>1</v>
      </c>
      <c r="E12" s="4" t="s">
        <v>264</v>
      </c>
      <c r="F12" s="19" t="s">
        <v>33</v>
      </c>
      <c r="G12" s="10" t="s">
        <v>6</v>
      </c>
      <c r="H12" s="11">
        <v>259</v>
      </c>
    </row>
    <row r="13" spans="1:8" ht="20.100000000000001" customHeight="1" x14ac:dyDescent="0.25">
      <c r="A13" s="74"/>
      <c r="B13" s="2">
        <v>44986</v>
      </c>
      <c r="C13" s="3">
        <v>676678220</v>
      </c>
      <c r="D13" s="3">
        <v>1</v>
      </c>
      <c r="E13" s="4" t="s">
        <v>264</v>
      </c>
      <c r="F13" s="19" t="s">
        <v>33</v>
      </c>
      <c r="G13" s="10" t="s">
        <v>7</v>
      </c>
      <c r="H13" s="11">
        <v>259</v>
      </c>
    </row>
    <row r="14" spans="1:8" ht="20.100000000000001" customHeight="1" x14ac:dyDescent="0.25">
      <c r="A14" s="74"/>
      <c r="B14" s="2">
        <v>44993</v>
      </c>
      <c r="C14" s="3">
        <v>3919724872</v>
      </c>
      <c r="D14" s="3">
        <v>1</v>
      </c>
      <c r="E14" s="4" t="s">
        <v>264</v>
      </c>
      <c r="F14" s="19" t="s">
        <v>33</v>
      </c>
      <c r="G14" s="10" t="s">
        <v>6</v>
      </c>
      <c r="H14" s="11">
        <v>259</v>
      </c>
    </row>
    <row r="15" spans="1:8" ht="20.100000000000001" customHeight="1" x14ac:dyDescent="0.25">
      <c r="A15" s="74"/>
      <c r="B15" s="2">
        <v>44995</v>
      </c>
      <c r="C15" s="3">
        <v>178208908</v>
      </c>
      <c r="D15" s="3">
        <v>10</v>
      </c>
      <c r="E15" s="4" t="s">
        <v>51</v>
      </c>
      <c r="F15" s="19" t="s">
        <v>33</v>
      </c>
      <c r="G15" s="10" t="s">
        <v>6</v>
      </c>
      <c r="H15" s="11">
        <v>2000</v>
      </c>
    </row>
    <row r="16" spans="1:8" ht="20.100000000000001" customHeight="1" x14ac:dyDescent="0.25">
      <c r="A16" s="74"/>
      <c r="B16" s="2">
        <v>45002</v>
      </c>
      <c r="C16" s="3">
        <v>508315760</v>
      </c>
      <c r="D16" s="3">
        <v>8</v>
      </c>
      <c r="E16" s="4" t="s">
        <v>390</v>
      </c>
      <c r="F16" s="19" t="s">
        <v>33</v>
      </c>
      <c r="G16" s="10" t="s">
        <v>7</v>
      </c>
      <c r="H16" s="11">
        <v>1600</v>
      </c>
    </row>
    <row r="17" spans="1:8" ht="20.100000000000001" customHeight="1" x14ac:dyDescent="0.25">
      <c r="A17" s="74"/>
      <c r="B17" s="2">
        <v>45007</v>
      </c>
      <c r="C17" s="3">
        <v>1279279914</v>
      </c>
      <c r="D17" s="3">
        <v>1</v>
      </c>
      <c r="E17" s="4" t="s">
        <v>264</v>
      </c>
      <c r="F17" s="19" t="s">
        <v>33</v>
      </c>
      <c r="G17" s="10" t="s">
        <v>7</v>
      </c>
      <c r="H17" s="11">
        <v>259</v>
      </c>
    </row>
    <row r="18" spans="1:8" ht="20.100000000000001" customHeight="1" x14ac:dyDescent="0.25">
      <c r="A18" s="74"/>
      <c r="B18" s="2">
        <v>45012</v>
      </c>
      <c r="C18" s="3">
        <v>3997385753</v>
      </c>
      <c r="D18" s="3">
        <v>10</v>
      </c>
      <c r="E18" s="4" t="s">
        <v>391</v>
      </c>
      <c r="F18" s="19" t="s">
        <v>33</v>
      </c>
      <c r="G18" s="10" t="s">
        <v>11</v>
      </c>
      <c r="H18" s="11">
        <v>2000</v>
      </c>
    </row>
    <row r="19" spans="1:8" ht="20.100000000000001" customHeight="1" x14ac:dyDescent="0.25">
      <c r="A19" s="74"/>
      <c r="B19" s="2">
        <v>45014</v>
      </c>
      <c r="C19" s="3">
        <v>170870737</v>
      </c>
      <c r="D19" s="3">
        <v>1</v>
      </c>
      <c r="E19" s="4" t="s">
        <v>264</v>
      </c>
      <c r="F19" s="19" t="s">
        <v>33</v>
      </c>
      <c r="G19" s="10" t="s">
        <v>7</v>
      </c>
      <c r="H19" s="11">
        <v>259</v>
      </c>
    </row>
    <row r="20" spans="1:8" ht="20.100000000000001" customHeight="1" x14ac:dyDescent="0.25">
      <c r="A20" s="74"/>
      <c r="B20" s="2">
        <v>45029</v>
      </c>
      <c r="C20" s="3">
        <v>2191215944</v>
      </c>
      <c r="D20" s="3">
        <v>10</v>
      </c>
      <c r="E20" s="4" t="s">
        <v>356</v>
      </c>
      <c r="F20" s="19" t="s">
        <v>33</v>
      </c>
      <c r="G20" s="10" t="s">
        <v>6</v>
      </c>
      <c r="H20" s="11">
        <v>2000</v>
      </c>
    </row>
    <row r="21" spans="1:8" ht="20.100000000000001" customHeight="1" x14ac:dyDescent="0.25">
      <c r="A21" s="74"/>
      <c r="B21" s="2">
        <v>45040</v>
      </c>
      <c r="C21" s="3">
        <v>1392791543</v>
      </c>
      <c r="D21" s="3">
        <v>8</v>
      </c>
      <c r="E21" s="4" t="s">
        <v>255</v>
      </c>
      <c r="F21" s="19" t="s">
        <v>33</v>
      </c>
      <c r="G21" s="10" t="s">
        <v>7</v>
      </c>
      <c r="H21" s="11">
        <v>950</v>
      </c>
    </row>
    <row r="22" spans="1:8" ht="20.100000000000001" customHeight="1" x14ac:dyDescent="0.25">
      <c r="A22" s="74"/>
      <c r="B22" s="2">
        <v>45049</v>
      </c>
      <c r="C22" s="3">
        <v>3489680614</v>
      </c>
      <c r="D22" s="3">
        <v>1</v>
      </c>
      <c r="E22" s="4" t="s">
        <v>264</v>
      </c>
      <c r="F22" s="19" t="s">
        <v>33</v>
      </c>
      <c r="G22" s="10" t="s">
        <v>6</v>
      </c>
      <c r="H22" s="11">
        <v>259</v>
      </c>
    </row>
    <row r="23" spans="1:8" ht="20.100000000000001" customHeight="1" x14ac:dyDescent="0.25">
      <c r="A23" s="74"/>
      <c r="B23" s="2">
        <v>45054</v>
      </c>
      <c r="C23" s="3">
        <v>83053886</v>
      </c>
      <c r="D23" s="3">
        <v>10</v>
      </c>
      <c r="E23" s="4" t="s">
        <v>472</v>
      </c>
      <c r="F23" s="19" t="s">
        <v>33</v>
      </c>
      <c r="G23" s="10" t="s">
        <v>28</v>
      </c>
      <c r="H23" s="11">
        <v>2000</v>
      </c>
    </row>
    <row r="24" spans="1:8" ht="20.100000000000001" customHeight="1" x14ac:dyDescent="0.25">
      <c r="A24" s="74"/>
      <c r="B24" s="2">
        <v>45055</v>
      </c>
      <c r="C24" s="3">
        <v>1037452307</v>
      </c>
      <c r="D24" s="3">
        <v>5</v>
      </c>
      <c r="E24" s="4" t="s">
        <v>651</v>
      </c>
      <c r="F24" s="19" t="s">
        <v>33</v>
      </c>
      <c r="G24" s="10" t="s">
        <v>6</v>
      </c>
      <c r="H24" s="11">
        <v>1000</v>
      </c>
    </row>
    <row r="25" spans="1:8" ht="20.100000000000001" customHeight="1" x14ac:dyDescent="0.25">
      <c r="A25" s="74"/>
      <c r="B25" s="2">
        <v>45062</v>
      </c>
      <c r="C25" s="3">
        <v>732777791</v>
      </c>
      <c r="D25" s="3">
        <v>1</v>
      </c>
      <c r="E25" s="4" t="s">
        <v>264</v>
      </c>
      <c r="F25" s="19" t="s">
        <v>33</v>
      </c>
      <c r="G25" s="10" t="s">
        <v>7</v>
      </c>
      <c r="H25" s="11">
        <v>259</v>
      </c>
    </row>
    <row r="26" spans="1:8" ht="20.100000000000001" customHeight="1" x14ac:dyDescent="0.25">
      <c r="A26" s="74"/>
      <c r="B26" s="2">
        <v>45064</v>
      </c>
      <c r="C26" s="3">
        <v>2044872307</v>
      </c>
      <c r="D26" s="3">
        <v>1</v>
      </c>
      <c r="E26" s="4" t="s">
        <v>613</v>
      </c>
      <c r="F26" s="19" t="s">
        <v>652</v>
      </c>
      <c r="G26" s="10" t="s">
        <v>14</v>
      </c>
      <c r="H26" s="11">
        <v>100</v>
      </c>
    </row>
    <row r="27" spans="1:8" ht="20.100000000000001" customHeight="1" x14ac:dyDescent="0.25">
      <c r="A27" s="74"/>
      <c r="B27" s="2">
        <v>45064</v>
      </c>
      <c r="C27" s="3">
        <v>2044872307</v>
      </c>
      <c r="D27" s="3">
        <v>4</v>
      </c>
      <c r="E27" s="4" t="s">
        <v>613</v>
      </c>
      <c r="F27" s="19" t="s">
        <v>698</v>
      </c>
      <c r="G27" s="10" t="s">
        <v>7</v>
      </c>
      <c r="H27" s="11">
        <v>900</v>
      </c>
    </row>
    <row r="28" spans="1:8" ht="20.100000000000001" customHeight="1" x14ac:dyDescent="0.25">
      <c r="A28" s="74"/>
      <c r="B28" s="2">
        <v>45068</v>
      </c>
      <c r="C28" s="3">
        <v>25054376</v>
      </c>
      <c r="D28" s="3">
        <v>10</v>
      </c>
      <c r="E28" s="4" t="s">
        <v>653</v>
      </c>
      <c r="F28" s="19" t="s">
        <v>33</v>
      </c>
      <c r="G28" s="10" t="s">
        <v>14</v>
      </c>
      <c r="H28" s="11">
        <v>2000</v>
      </c>
    </row>
    <row r="29" spans="1:8" ht="20.100000000000001" customHeight="1" x14ac:dyDescent="0.25">
      <c r="A29" s="74"/>
      <c r="B29" s="2">
        <v>45086</v>
      </c>
      <c r="C29" s="3">
        <v>3230418764</v>
      </c>
      <c r="D29" s="3">
        <v>10</v>
      </c>
      <c r="E29" s="4" t="s">
        <v>735</v>
      </c>
      <c r="F29" s="19" t="s">
        <v>33</v>
      </c>
      <c r="G29" s="10" t="s">
        <v>7</v>
      </c>
      <c r="H29" s="11">
        <v>2000</v>
      </c>
    </row>
    <row r="30" spans="1:8" ht="20.100000000000001" customHeight="1" x14ac:dyDescent="0.25">
      <c r="A30" s="74"/>
      <c r="B30" s="2">
        <v>45091</v>
      </c>
      <c r="C30" s="3">
        <v>986728906</v>
      </c>
      <c r="D30" s="3">
        <v>1</v>
      </c>
      <c r="E30" s="4" t="s">
        <v>264</v>
      </c>
      <c r="F30" s="19" t="s">
        <v>33</v>
      </c>
      <c r="G30" s="10" t="s">
        <v>6</v>
      </c>
      <c r="H30" s="11">
        <v>259</v>
      </c>
    </row>
    <row r="31" spans="1:8" ht="20.100000000000001" customHeight="1" x14ac:dyDescent="0.25">
      <c r="A31" s="74"/>
      <c r="B31" s="2">
        <v>45097</v>
      </c>
      <c r="C31" s="3">
        <v>1010778442</v>
      </c>
      <c r="D31" s="3">
        <v>10</v>
      </c>
      <c r="E31" s="4" t="s">
        <v>127</v>
      </c>
      <c r="F31" s="19" t="s">
        <v>33</v>
      </c>
      <c r="G31" s="10" t="s">
        <v>7</v>
      </c>
      <c r="H31" s="11">
        <v>2000</v>
      </c>
    </row>
    <row r="32" spans="1:8" ht="20.100000000000001" customHeight="1" x14ac:dyDescent="0.25">
      <c r="A32" s="74"/>
      <c r="B32" s="2">
        <v>45099</v>
      </c>
      <c r="C32" s="3">
        <v>3233629397</v>
      </c>
      <c r="D32" s="3">
        <v>8</v>
      </c>
      <c r="E32" s="4" t="s">
        <v>412</v>
      </c>
      <c r="F32" s="19" t="s">
        <v>33</v>
      </c>
      <c r="G32" s="10" t="s">
        <v>28</v>
      </c>
      <c r="H32" s="11">
        <v>1600</v>
      </c>
    </row>
    <row r="33" spans="1:8" ht="20.100000000000001" customHeight="1" x14ac:dyDescent="0.25">
      <c r="A33" s="74"/>
      <c r="B33" s="2">
        <v>45118</v>
      </c>
      <c r="C33" s="3">
        <v>1139360929</v>
      </c>
      <c r="D33" s="3">
        <v>10</v>
      </c>
      <c r="E33" s="4" t="s">
        <v>812</v>
      </c>
      <c r="F33" s="19" t="s">
        <v>33</v>
      </c>
      <c r="G33" s="10" t="s">
        <v>7</v>
      </c>
      <c r="H33" s="11">
        <v>2000</v>
      </c>
    </row>
    <row r="34" spans="1:8" ht="20.100000000000001" customHeight="1" x14ac:dyDescent="0.25">
      <c r="A34" s="74"/>
      <c r="B34" s="2">
        <v>45119</v>
      </c>
      <c r="C34" s="3">
        <v>986991498</v>
      </c>
      <c r="D34" s="3">
        <v>10</v>
      </c>
      <c r="E34" s="4" t="s">
        <v>27</v>
      </c>
      <c r="F34" s="19" t="s">
        <v>33</v>
      </c>
      <c r="G34" s="10" t="s">
        <v>28</v>
      </c>
      <c r="H34" s="11">
        <v>2000</v>
      </c>
    </row>
    <row r="35" spans="1:8" ht="20.100000000000001" customHeight="1" x14ac:dyDescent="0.25">
      <c r="A35" s="74"/>
      <c r="B35" s="2">
        <v>45120</v>
      </c>
      <c r="C35" s="3">
        <v>2211725825</v>
      </c>
      <c r="D35" s="3">
        <v>1</v>
      </c>
      <c r="E35" s="4" t="s">
        <v>826</v>
      </c>
      <c r="F35" s="19" t="s">
        <v>33</v>
      </c>
      <c r="G35" s="10" t="s">
        <v>7</v>
      </c>
      <c r="H35" s="11">
        <v>259</v>
      </c>
    </row>
    <row r="36" spans="1:8" ht="20.100000000000001" customHeight="1" x14ac:dyDescent="0.25">
      <c r="A36" s="74"/>
      <c r="B36" s="2">
        <v>45131</v>
      </c>
      <c r="C36" s="3">
        <v>3323021468</v>
      </c>
      <c r="D36" s="3">
        <v>7</v>
      </c>
      <c r="E36" s="4" t="s">
        <v>231</v>
      </c>
      <c r="F36" s="19" t="s">
        <v>33</v>
      </c>
      <c r="G36" s="10" t="s">
        <v>28</v>
      </c>
      <c r="H36" s="11">
        <v>1400</v>
      </c>
    </row>
    <row r="37" spans="1:8" ht="15.75" x14ac:dyDescent="0.25">
      <c r="A37" s="74"/>
      <c r="B37" s="2">
        <v>45145</v>
      </c>
      <c r="C37" s="3">
        <v>3247655300</v>
      </c>
      <c r="D37" s="3">
        <v>29</v>
      </c>
      <c r="E37" s="4" t="s">
        <v>90</v>
      </c>
      <c r="F37" s="19" t="s">
        <v>33</v>
      </c>
      <c r="G37" s="10" t="s">
        <v>28</v>
      </c>
      <c r="H37" s="11">
        <v>4814</v>
      </c>
    </row>
    <row r="38" spans="1:8" ht="20.100000000000001" customHeight="1" x14ac:dyDescent="0.25">
      <c r="A38" s="74"/>
      <c r="B38" s="2">
        <v>45145</v>
      </c>
      <c r="C38" s="3">
        <v>3247655300</v>
      </c>
      <c r="D38" s="3">
        <v>1</v>
      </c>
      <c r="E38" s="4" t="s">
        <v>90</v>
      </c>
      <c r="F38" s="19" t="s">
        <v>33</v>
      </c>
      <c r="G38" s="10" t="s">
        <v>28</v>
      </c>
      <c r="H38" s="11">
        <v>186</v>
      </c>
    </row>
    <row r="39" spans="1:8" ht="20.100000000000001" customHeight="1" x14ac:dyDescent="0.25">
      <c r="A39" s="74"/>
      <c r="B39" s="2">
        <v>45147</v>
      </c>
      <c r="C39" s="3">
        <v>4044178983</v>
      </c>
      <c r="D39" s="3">
        <v>1</v>
      </c>
      <c r="E39" s="4" t="s">
        <v>264</v>
      </c>
      <c r="F39" s="19" t="s">
        <v>33</v>
      </c>
      <c r="G39" s="10" t="s">
        <v>6</v>
      </c>
      <c r="H39" s="11">
        <v>259</v>
      </c>
    </row>
    <row r="40" spans="1:8" ht="20.100000000000001" customHeight="1" x14ac:dyDescent="0.25">
      <c r="A40" s="74"/>
      <c r="B40" s="2">
        <v>45155</v>
      </c>
      <c r="C40" s="3">
        <v>3861465003</v>
      </c>
      <c r="D40" s="3">
        <v>4</v>
      </c>
      <c r="E40" s="4" t="s">
        <v>966</v>
      </c>
      <c r="F40" s="19" t="s">
        <v>33</v>
      </c>
      <c r="G40" s="10" t="s">
        <v>6</v>
      </c>
      <c r="H40" s="11">
        <v>800</v>
      </c>
    </row>
    <row r="41" spans="1:8" ht="20.100000000000001" customHeight="1" x14ac:dyDescent="0.25">
      <c r="A41" s="74"/>
      <c r="B41" s="2">
        <v>45156</v>
      </c>
      <c r="C41" s="3">
        <v>2124173055</v>
      </c>
      <c r="D41" s="3">
        <v>1</v>
      </c>
      <c r="E41" s="4" t="s">
        <v>979</v>
      </c>
      <c r="F41" s="19" t="s">
        <v>33</v>
      </c>
      <c r="G41" s="10" t="s">
        <v>6</v>
      </c>
      <c r="H41" s="11">
        <v>259</v>
      </c>
    </row>
    <row r="42" spans="1:8" ht="20.100000000000001" customHeight="1" x14ac:dyDescent="0.25">
      <c r="A42" s="74"/>
      <c r="B42" s="2">
        <v>45161</v>
      </c>
      <c r="C42" s="3">
        <v>763053002</v>
      </c>
      <c r="D42" s="3">
        <v>1</v>
      </c>
      <c r="E42" s="4" t="s">
        <v>264</v>
      </c>
      <c r="F42" s="19" t="s">
        <v>33</v>
      </c>
      <c r="G42" s="10" t="s">
        <v>6</v>
      </c>
      <c r="H42" s="11">
        <v>259</v>
      </c>
    </row>
    <row r="43" spans="1:8" ht="20.100000000000001" customHeight="1" x14ac:dyDescent="0.25">
      <c r="A43" s="74"/>
      <c r="B43" s="2">
        <v>45180</v>
      </c>
      <c r="C43" s="3">
        <v>2719173558</v>
      </c>
      <c r="D43" s="3">
        <v>5</v>
      </c>
      <c r="E43" s="4" t="s">
        <v>1068</v>
      </c>
      <c r="F43" s="19" t="s">
        <v>33</v>
      </c>
      <c r="G43" s="10" t="s">
        <v>6</v>
      </c>
      <c r="H43" s="11">
        <v>1000</v>
      </c>
    </row>
    <row r="44" spans="1:8" ht="20.100000000000001" customHeight="1" x14ac:dyDescent="0.25">
      <c r="A44" s="74"/>
      <c r="B44" s="2">
        <v>45182</v>
      </c>
      <c r="C44" s="3">
        <v>3396158071</v>
      </c>
      <c r="D44" s="3">
        <v>1</v>
      </c>
      <c r="E44" s="4" t="s">
        <v>1038</v>
      </c>
      <c r="F44" s="19" t="s">
        <v>33</v>
      </c>
      <c r="G44" s="10" t="s">
        <v>6</v>
      </c>
      <c r="H44" s="11">
        <v>259</v>
      </c>
    </row>
    <row r="45" spans="1:8" ht="20.100000000000001" customHeight="1" x14ac:dyDescent="0.25">
      <c r="A45" s="74"/>
      <c r="B45" s="2">
        <v>45189</v>
      </c>
      <c r="C45" s="3">
        <v>161696220</v>
      </c>
      <c r="D45" s="3">
        <v>6</v>
      </c>
      <c r="E45" s="4" t="s">
        <v>1069</v>
      </c>
      <c r="F45" s="19" t="s">
        <v>33</v>
      </c>
      <c r="G45" s="10" t="s">
        <v>7</v>
      </c>
      <c r="H45" s="11">
        <v>1200</v>
      </c>
    </row>
    <row r="46" spans="1:8" ht="20.100000000000001" customHeight="1" x14ac:dyDescent="0.25">
      <c r="A46" s="74"/>
      <c r="B46" s="2">
        <v>45189</v>
      </c>
      <c r="C46" s="3">
        <v>4232595572</v>
      </c>
      <c r="D46" s="3">
        <v>10</v>
      </c>
      <c r="E46" s="4" t="s">
        <v>1055</v>
      </c>
      <c r="F46" s="19" t="s">
        <v>33</v>
      </c>
      <c r="G46" s="10" t="s">
        <v>7</v>
      </c>
      <c r="H46" s="11">
        <v>2000</v>
      </c>
    </row>
    <row r="47" spans="1:8" ht="20.100000000000001" customHeight="1" x14ac:dyDescent="0.25">
      <c r="A47" s="74"/>
      <c r="B47" s="2">
        <v>45196</v>
      </c>
      <c r="C47" s="3">
        <v>1985300246</v>
      </c>
      <c r="D47" s="3">
        <v>5</v>
      </c>
      <c r="E47" s="4" t="s">
        <v>1040</v>
      </c>
      <c r="F47" s="19" t="s">
        <v>33</v>
      </c>
      <c r="G47" s="10" t="s">
        <v>6</v>
      </c>
      <c r="H47" s="11">
        <v>1000</v>
      </c>
    </row>
    <row r="48" spans="1:8" ht="20.100000000000001" customHeight="1" x14ac:dyDescent="0.25">
      <c r="A48" s="74"/>
      <c r="B48" s="2">
        <v>45212</v>
      </c>
      <c r="C48" s="3">
        <v>1888372462</v>
      </c>
      <c r="D48" s="3">
        <v>8</v>
      </c>
      <c r="E48" s="4" t="s">
        <v>1157</v>
      </c>
      <c r="F48" s="19" t="s">
        <v>1158</v>
      </c>
      <c r="G48" s="10" t="s">
        <v>14</v>
      </c>
      <c r="H48" s="11">
        <v>1600</v>
      </c>
    </row>
    <row r="49" spans="1:8" ht="20.100000000000001" customHeight="1" x14ac:dyDescent="0.25">
      <c r="A49" s="74"/>
      <c r="B49" s="2">
        <v>45216</v>
      </c>
      <c r="C49" s="3">
        <v>376062546</v>
      </c>
      <c r="D49" s="3">
        <v>1</v>
      </c>
      <c r="E49" s="4" t="s">
        <v>1132</v>
      </c>
      <c r="F49" s="19" t="s">
        <v>1158</v>
      </c>
      <c r="G49" s="10" t="s">
        <v>6</v>
      </c>
      <c r="H49" s="11">
        <v>259</v>
      </c>
    </row>
    <row r="50" spans="1:8" ht="20.100000000000001" customHeight="1" x14ac:dyDescent="0.25">
      <c r="A50" s="74"/>
      <c r="B50" s="2">
        <v>45216</v>
      </c>
      <c r="C50" s="3">
        <v>4082779293</v>
      </c>
      <c r="D50" s="3">
        <v>8</v>
      </c>
      <c r="E50" s="4" t="s">
        <v>1159</v>
      </c>
      <c r="F50" s="19" t="s">
        <v>1158</v>
      </c>
      <c r="G50" s="10" t="s">
        <v>6</v>
      </c>
      <c r="H50" s="11">
        <v>1600</v>
      </c>
    </row>
    <row r="51" spans="1:8" ht="20.100000000000001" customHeight="1" x14ac:dyDescent="0.25">
      <c r="A51" s="74"/>
      <c r="B51" s="2">
        <v>45245</v>
      </c>
      <c r="C51" s="3">
        <v>2383102877</v>
      </c>
      <c r="D51" s="3">
        <v>15</v>
      </c>
      <c r="E51" s="4" t="s">
        <v>1283</v>
      </c>
      <c r="F51" s="19" t="s">
        <v>1284</v>
      </c>
      <c r="G51" s="10" t="s">
        <v>6</v>
      </c>
      <c r="H51" s="11">
        <v>3000</v>
      </c>
    </row>
    <row r="52" spans="1:8" ht="20.100000000000001" customHeight="1" x14ac:dyDescent="0.25">
      <c r="A52" s="74"/>
      <c r="B52" s="2">
        <v>45252</v>
      </c>
      <c r="C52" s="3">
        <v>3655028453</v>
      </c>
      <c r="D52" s="3">
        <v>1</v>
      </c>
      <c r="E52" s="4" t="s">
        <v>1270</v>
      </c>
      <c r="F52" s="19" t="s">
        <v>1284</v>
      </c>
      <c r="G52" s="10" t="s">
        <v>6</v>
      </c>
      <c r="H52" s="11">
        <v>259</v>
      </c>
    </row>
    <row r="53" spans="1:8" ht="20.100000000000001" customHeight="1" x14ac:dyDescent="0.25">
      <c r="A53" s="74"/>
      <c r="B53" s="2">
        <v>45252</v>
      </c>
      <c r="C53" s="3">
        <v>2203339523</v>
      </c>
      <c r="D53" s="3">
        <v>4</v>
      </c>
      <c r="E53" s="4" t="s">
        <v>1257</v>
      </c>
      <c r="F53" s="19" t="s">
        <v>1284</v>
      </c>
      <c r="G53" s="10" t="s">
        <v>7</v>
      </c>
      <c r="H53" s="11">
        <v>800</v>
      </c>
    </row>
    <row r="54" spans="1:8" ht="20.100000000000001" customHeight="1" x14ac:dyDescent="0.25">
      <c r="A54" s="74"/>
      <c r="B54" s="2">
        <v>45258</v>
      </c>
      <c r="C54" s="3">
        <v>1962167551</v>
      </c>
      <c r="D54" s="3">
        <v>10</v>
      </c>
      <c r="E54" s="4" t="s">
        <v>1046</v>
      </c>
      <c r="F54" s="19" t="s">
        <v>1284</v>
      </c>
      <c r="G54" s="10" t="s">
        <v>7</v>
      </c>
      <c r="H54" s="11">
        <v>2000</v>
      </c>
    </row>
    <row r="55" spans="1:8" ht="20.100000000000001" customHeight="1" x14ac:dyDescent="0.25">
      <c r="A55" s="74"/>
      <c r="B55" s="2">
        <v>45274</v>
      </c>
      <c r="C55" s="3">
        <v>3314108740</v>
      </c>
      <c r="D55" s="3">
        <v>10</v>
      </c>
      <c r="E55" s="4" t="s">
        <v>119</v>
      </c>
      <c r="F55" s="19" t="s">
        <v>33</v>
      </c>
      <c r="G55" s="10" t="s">
        <v>28</v>
      </c>
      <c r="H55" s="11">
        <v>2500</v>
      </c>
    </row>
    <row r="56" spans="1:8" ht="20.100000000000001" customHeight="1" x14ac:dyDescent="0.25">
      <c r="A56" s="74"/>
      <c r="B56" s="2">
        <v>45278</v>
      </c>
      <c r="C56" s="3">
        <v>461981108</v>
      </c>
      <c r="D56" s="3">
        <v>8</v>
      </c>
      <c r="E56" s="4" t="s">
        <v>1430</v>
      </c>
      <c r="F56" s="19" t="s">
        <v>33</v>
      </c>
      <c r="G56" s="10" t="s">
        <v>16</v>
      </c>
      <c r="H56" s="11">
        <v>2000</v>
      </c>
    </row>
    <row r="57" spans="1:8" ht="20.100000000000001" customHeight="1" x14ac:dyDescent="0.25">
      <c r="A57" s="74"/>
      <c r="B57" s="2">
        <v>45280</v>
      </c>
      <c r="C57" s="3">
        <v>3696904271</v>
      </c>
      <c r="D57" s="3">
        <v>1</v>
      </c>
      <c r="E57" s="4" t="s">
        <v>1445</v>
      </c>
      <c r="F57" s="19" t="s">
        <v>33</v>
      </c>
      <c r="G57" s="10" t="s">
        <v>6</v>
      </c>
      <c r="H57" s="11">
        <v>200</v>
      </c>
    </row>
    <row r="58" spans="1:8" ht="15.75" x14ac:dyDescent="0.25">
      <c r="A58" s="75"/>
      <c r="B58" s="13"/>
      <c r="C58" s="14"/>
      <c r="D58" s="14"/>
      <c r="E58" s="14" t="s">
        <v>5</v>
      </c>
      <c r="F58" s="26"/>
      <c r="G58" s="16"/>
      <c r="H58" s="23">
        <f>SUM(H3:H57)</f>
        <v>60750</v>
      </c>
    </row>
  </sheetData>
  <autoFilter ref="A1:H58" xr:uid="{00000000-0009-0000-0000-00000C000000}"/>
  <mergeCells count="8">
    <mergeCell ref="F1:F2"/>
    <mergeCell ref="G1:G2"/>
    <mergeCell ref="H1:H2"/>
    <mergeCell ref="A1:A58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4"/>
  <sheetViews>
    <sheetView topLeftCell="A11" workbookViewId="0">
      <selection activeCell="F18" sqref="F18"/>
    </sheetView>
  </sheetViews>
  <sheetFormatPr baseColWidth="10" defaultColWidth="9.140625" defaultRowHeight="15" x14ac:dyDescent="0.25"/>
  <cols>
    <col min="1" max="1" width="24.425781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4.140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34</v>
      </c>
      <c r="B1" s="71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4"/>
      <c r="B2" s="65"/>
      <c r="C2" s="67"/>
      <c r="D2" s="67"/>
      <c r="E2" s="67"/>
      <c r="F2" s="67"/>
      <c r="G2" s="61"/>
      <c r="H2" s="63"/>
    </row>
    <row r="3" spans="1:8" ht="31.5" customHeight="1" x14ac:dyDescent="0.25">
      <c r="A3" s="74"/>
      <c r="B3" s="2">
        <v>44942</v>
      </c>
      <c r="C3" s="3">
        <v>363789713</v>
      </c>
      <c r="D3" s="3">
        <v>10</v>
      </c>
      <c r="E3" s="4" t="s">
        <v>24</v>
      </c>
      <c r="F3" s="19" t="s">
        <v>178</v>
      </c>
      <c r="G3" s="10" t="s">
        <v>7</v>
      </c>
      <c r="H3" s="11">
        <v>4800</v>
      </c>
    </row>
    <row r="4" spans="1:8" ht="15.75" x14ac:dyDescent="0.25">
      <c r="A4" s="74"/>
      <c r="B4" s="2">
        <v>44963</v>
      </c>
      <c r="C4" s="3">
        <v>3139913013</v>
      </c>
      <c r="D4" s="3">
        <v>5</v>
      </c>
      <c r="E4" s="4" t="s">
        <v>193</v>
      </c>
      <c r="F4" s="19" t="s">
        <v>265</v>
      </c>
      <c r="G4" s="10" t="s">
        <v>6</v>
      </c>
      <c r="H4" s="11">
        <v>2400</v>
      </c>
    </row>
    <row r="5" spans="1:8" ht="32.25" customHeight="1" x14ac:dyDescent="0.25">
      <c r="A5" s="74"/>
      <c r="B5" s="2">
        <v>44993</v>
      </c>
      <c r="C5" s="3">
        <v>390285133</v>
      </c>
      <c r="D5" s="3">
        <v>10</v>
      </c>
      <c r="E5" s="4" t="s">
        <v>341</v>
      </c>
      <c r="F5" s="19" t="s">
        <v>392</v>
      </c>
      <c r="G5" s="10" t="s">
        <v>6</v>
      </c>
      <c r="H5" s="11">
        <v>3840</v>
      </c>
    </row>
    <row r="6" spans="1:8" ht="20.100000000000001" customHeight="1" x14ac:dyDescent="0.25">
      <c r="A6" s="74"/>
      <c r="B6" s="2">
        <v>45000</v>
      </c>
      <c r="C6" s="3">
        <v>1430015315</v>
      </c>
      <c r="D6" s="3">
        <v>7</v>
      </c>
      <c r="E6" s="4" t="s">
        <v>24</v>
      </c>
      <c r="F6" s="19" t="s">
        <v>393</v>
      </c>
      <c r="G6" s="10" t="s">
        <v>7</v>
      </c>
      <c r="H6" s="11">
        <v>3276</v>
      </c>
    </row>
    <row r="7" spans="1:8" ht="20.100000000000001" customHeight="1" x14ac:dyDescent="0.25">
      <c r="A7" s="74"/>
      <c r="B7" s="2">
        <v>45000</v>
      </c>
      <c r="C7" s="3">
        <v>1430015315</v>
      </c>
      <c r="D7" s="3">
        <v>1</v>
      </c>
      <c r="E7" s="4" t="s">
        <v>24</v>
      </c>
      <c r="F7" s="19" t="s">
        <v>393</v>
      </c>
      <c r="G7" s="10" t="s">
        <v>7</v>
      </c>
      <c r="H7" s="11">
        <v>474</v>
      </c>
    </row>
    <row r="8" spans="1:8" ht="20.100000000000001" customHeight="1" x14ac:dyDescent="0.25">
      <c r="A8" s="74"/>
      <c r="B8" s="2">
        <v>45007</v>
      </c>
      <c r="C8" s="3">
        <v>226118147</v>
      </c>
      <c r="D8" s="3">
        <v>5</v>
      </c>
      <c r="E8" s="4" t="s">
        <v>363</v>
      </c>
      <c r="F8" s="19" t="s">
        <v>394</v>
      </c>
      <c r="G8" s="10" t="s">
        <v>7</v>
      </c>
      <c r="H8" s="11">
        <v>1580</v>
      </c>
    </row>
    <row r="9" spans="1:8" ht="20.100000000000001" customHeight="1" x14ac:dyDescent="0.25">
      <c r="A9" s="74"/>
      <c r="B9" s="2">
        <v>45007</v>
      </c>
      <c r="C9" s="3">
        <v>226118147</v>
      </c>
      <c r="D9" s="3">
        <v>1</v>
      </c>
      <c r="E9" s="4" t="s">
        <v>363</v>
      </c>
      <c r="F9" s="19" t="s">
        <v>394</v>
      </c>
      <c r="G9" s="10" t="s">
        <v>7</v>
      </c>
      <c r="H9" s="11">
        <v>320</v>
      </c>
    </row>
    <row r="10" spans="1:8" ht="30" x14ac:dyDescent="0.25">
      <c r="A10" s="74"/>
      <c r="B10" s="2">
        <v>45034</v>
      </c>
      <c r="C10" s="3">
        <v>3294577217</v>
      </c>
      <c r="D10" s="3">
        <v>5</v>
      </c>
      <c r="E10" s="4" t="s">
        <v>566</v>
      </c>
      <c r="F10" s="19" t="s">
        <v>567</v>
      </c>
      <c r="G10" s="10" t="s">
        <v>28</v>
      </c>
      <c r="H10" s="11">
        <v>2500</v>
      </c>
    </row>
    <row r="11" spans="1:8" ht="20.100000000000001" customHeight="1" x14ac:dyDescent="0.25">
      <c r="A11" s="74"/>
      <c r="B11" s="2">
        <v>45035</v>
      </c>
      <c r="C11" s="3">
        <v>4027205059</v>
      </c>
      <c r="D11" s="3">
        <v>10</v>
      </c>
      <c r="E11" s="4" t="s">
        <v>568</v>
      </c>
      <c r="F11" s="19" t="s">
        <v>569</v>
      </c>
      <c r="G11" s="10" t="s">
        <v>6</v>
      </c>
      <c r="H11" s="11">
        <v>4600</v>
      </c>
    </row>
    <row r="12" spans="1:8" ht="20.100000000000001" customHeight="1" x14ac:dyDescent="0.25">
      <c r="A12" s="74"/>
      <c r="B12" s="2">
        <v>45040</v>
      </c>
      <c r="C12" s="3">
        <v>1392791543</v>
      </c>
      <c r="D12" s="3">
        <v>8</v>
      </c>
      <c r="E12" s="4" t="s">
        <v>255</v>
      </c>
      <c r="F12" s="19" t="s">
        <v>265</v>
      </c>
      <c r="G12" s="10" t="s">
        <v>7</v>
      </c>
      <c r="H12" s="11">
        <v>2800</v>
      </c>
    </row>
    <row r="13" spans="1:8" ht="20.100000000000001" customHeight="1" x14ac:dyDescent="0.25">
      <c r="A13" s="74"/>
      <c r="B13" s="2">
        <v>45076</v>
      </c>
      <c r="C13" s="3">
        <v>347491152</v>
      </c>
      <c r="D13" s="3">
        <v>5</v>
      </c>
      <c r="E13" s="4" t="s">
        <v>654</v>
      </c>
      <c r="F13" s="19" t="s">
        <v>655</v>
      </c>
      <c r="G13" s="10" t="s">
        <v>16</v>
      </c>
      <c r="H13" s="11">
        <v>3400</v>
      </c>
    </row>
    <row r="14" spans="1:8" ht="20.100000000000001" customHeight="1" x14ac:dyDescent="0.25">
      <c r="A14" s="74"/>
      <c r="B14" s="2">
        <v>45111</v>
      </c>
      <c r="C14" s="3">
        <v>134762245</v>
      </c>
      <c r="D14" s="3">
        <v>5</v>
      </c>
      <c r="E14" s="4" t="s">
        <v>803</v>
      </c>
      <c r="F14" s="19" t="s">
        <v>827</v>
      </c>
      <c r="G14" s="10" t="s">
        <v>28</v>
      </c>
      <c r="H14" s="11">
        <v>2210</v>
      </c>
    </row>
    <row r="15" spans="1:8" ht="20.100000000000001" customHeight="1" x14ac:dyDescent="0.25">
      <c r="A15" s="74"/>
      <c r="B15" s="2">
        <v>45111</v>
      </c>
      <c r="C15" s="3">
        <v>134762245</v>
      </c>
      <c r="D15" s="3">
        <v>5</v>
      </c>
      <c r="E15" s="4" t="s">
        <v>803</v>
      </c>
      <c r="F15" s="19" t="s">
        <v>828</v>
      </c>
      <c r="G15" s="10" t="s">
        <v>28</v>
      </c>
      <c r="H15" s="11">
        <v>2210</v>
      </c>
    </row>
    <row r="16" spans="1:8" ht="30" x14ac:dyDescent="0.25">
      <c r="A16" s="74"/>
      <c r="B16" s="2">
        <v>45148</v>
      </c>
      <c r="C16" s="3">
        <v>1342522360</v>
      </c>
      <c r="D16" s="3">
        <v>10</v>
      </c>
      <c r="E16" s="4" t="s">
        <v>963</v>
      </c>
      <c r="F16" s="19" t="s">
        <v>980</v>
      </c>
      <c r="G16" s="10" t="s">
        <v>7</v>
      </c>
      <c r="H16" s="11">
        <v>5000</v>
      </c>
    </row>
    <row r="17" spans="1:8" ht="30" x14ac:dyDescent="0.25">
      <c r="A17" s="74"/>
      <c r="B17" s="2">
        <v>45182</v>
      </c>
      <c r="C17" s="3">
        <v>708593533</v>
      </c>
      <c r="D17" s="3">
        <v>10</v>
      </c>
      <c r="E17" s="4" t="s">
        <v>1055</v>
      </c>
      <c r="F17" s="19" t="s">
        <v>1070</v>
      </c>
      <c r="G17" s="10" t="s">
        <v>28</v>
      </c>
      <c r="H17" s="11">
        <v>3600</v>
      </c>
    </row>
    <row r="18" spans="1:8" ht="30" x14ac:dyDescent="0.25">
      <c r="A18" s="74"/>
      <c r="B18" s="2">
        <v>45196</v>
      </c>
      <c r="C18" s="3">
        <v>3217313154</v>
      </c>
      <c r="D18" s="3">
        <v>10</v>
      </c>
      <c r="E18" s="4" t="s">
        <v>748</v>
      </c>
      <c r="F18" s="19" t="s">
        <v>1477</v>
      </c>
      <c r="G18" s="10" t="s">
        <v>7</v>
      </c>
      <c r="H18" s="11">
        <v>4000</v>
      </c>
    </row>
    <row r="19" spans="1:8" ht="20.100000000000001" customHeight="1" x14ac:dyDescent="0.25">
      <c r="A19" s="74"/>
      <c r="B19" s="2">
        <v>45196</v>
      </c>
      <c r="C19" s="3">
        <v>3192736530</v>
      </c>
      <c r="D19" s="3">
        <v>10</v>
      </c>
      <c r="E19" s="4" t="s">
        <v>1071</v>
      </c>
      <c r="F19" s="19" t="s">
        <v>1072</v>
      </c>
      <c r="G19" s="10" t="s">
        <v>7</v>
      </c>
      <c r="H19" s="11">
        <v>4000</v>
      </c>
    </row>
    <row r="20" spans="1:8" ht="20.100000000000001" customHeight="1" x14ac:dyDescent="0.25">
      <c r="A20" s="74"/>
      <c r="B20" s="2">
        <v>45198</v>
      </c>
      <c r="C20" s="3">
        <v>1960725359</v>
      </c>
      <c r="D20" s="3">
        <v>10</v>
      </c>
      <c r="E20" s="4" t="s">
        <v>119</v>
      </c>
      <c r="F20" s="19" t="s">
        <v>1072</v>
      </c>
      <c r="G20" s="10" t="s">
        <v>14</v>
      </c>
      <c r="H20" s="11">
        <v>4500</v>
      </c>
    </row>
    <row r="21" spans="1:8" ht="20.100000000000001" customHeight="1" x14ac:dyDescent="0.25">
      <c r="A21" s="74"/>
      <c r="B21" s="2">
        <v>45257</v>
      </c>
      <c r="C21" s="3">
        <v>4146219565</v>
      </c>
      <c r="D21" s="3">
        <v>8</v>
      </c>
      <c r="E21" s="4" t="s">
        <v>1276</v>
      </c>
      <c r="F21" s="19" t="s">
        <v>1285</v>
      </c>
      <c r="G21" s="10" t="s">
        <v>6</v>
      </c>
      <c r="H21" s="11">
        <v>3500</v>
      </c>
    </row>
    <row r="22" spans="1:8" ht="20.100000000000001" customHeight="1" x14ac:dyDescent="0.25">
      <c r="A22" s="74"/>
      <c r="B22" s="2">
        <v>45260</v>
      </c>
      <c r="C22" s="3">
        <v>1816809261</v>
      </c>
      <c r="D22" s="3">
        <v>8</v>
      </c>
      <c r="E22" s="4" t="s">
        <v>1367</v>
      </c>
      <c r="F22" s="19" t="s">
        <v>1285</v>
      </c>
      <c r="G22" s="10" t="s">
        <v>6</v>
      </c>
      <c r="H22" s="11">
        <v>3897.6</v>
      </c>
    </row>
    <row r="23" spans="1:8" ht="20.100000000000001" customHeight="1" x14ac:dyDescent="0.25">
      <c r="A23" s="74"/>
      <c r="B23" s="2">
        <v>45268</v>
      </c>
      <c r="C23" s="3">
        <v>1388595424</v>
      </c>
      <c r="D23" s="3">
        <v>5</v>
      </c>
      <c r="E23" s="4" t="s">
        <v>356</v>
      </c>
      <c r="F23" s="19" t="s">
        <v>34</v>
      </c>
      <c r="G23" s="10" t="s">
        <v>6</v>
      </c>
      <c r="H23" s="11">
        <v>2500</v>
      </c>
    </row>
    <row r="24" spans="1:8" ht="15.75" x14ac:dyDescent="0.25">
      <c r="A24" s="75"/>
      <c r="B24" s="13"/>
      <c r="C24" s="14"/>
      <c r="D24" s="14"/>
      <c r="E24" s="14" t="s">
        <v>5</v>
      </c>
      <c r="F24" s="15"/>
      <c r="G24" s="16"/>
      <c r="H24" s="23">
        <f>SUM(H3:H23)</f>
        <v>65407.6</v>
      </c>
    </row>
  </sheetData>
  <mergeCells count="8">
    <mergeCell ref="A1:A24"/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21"/>
  <sheetViews>
    <sheetView topLeftCell="A111" workbookViewId="0">
      <selection activeCell="E117" sqref="E117"/>
    </sheetView>
  </sheetViews>
  <sheetFormatPr baseColWidth="10" defaultColWidth="9.140625" defaultRowHeight="15" x14ac:dyDescent="0.25"/>
  <cols>
    <col min="1" max="1" width="14.7109375" customWidth="1"/>
    <col min="2" max="2" width="12.7109375" bestFit="1" customWidth="1"/>
    <col min="3" max="3" width="17.42578125" customWidth="1"/>
    <col min="4" max="4" width="11" customWidth="1"/>
    <col min="5" max="5" width="37.140625" bestFit="1" customWidth="1"/>
    <col min="6" max="6" width="42.85546875" style="1" customWidth="1"/>
    <col min="7" max="7" width="16.140625" customWidth="1"/>
    <col min="8" max="8" width="16.42578125" bestFit="1" customWidth="1"/>
  </cols>
  <sheetData>
    <row r="1" spans="1:8" ht="15" customHeight="1" x14ac:dyDescent="0.25">
      <c r="A1" s="73" t="s">
        <v>39</v>
      </c>
      <c r="B1" s="71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4"/>
      <c r="B2" s="65"/>
      <c r="C2" s="67"/>
      <c r="D2" s="67"/>
      <c r="E2" s="67"/>
      <c r="F2" s="67"/>
      <c r="G2" s="61"/>
      <c r="H2" s="63"/>
    </row>
    <row r="3" spans="1:8" ht="24.95" customHeight="1" x14ac:dyDescent="0.25">
      <c r="A3" s="74"/>
      <c r="B3" s="2">
        <v>44931</v>
      </c>
      <c r="C3" s="3">
        <v>1878802740</v>
      </c>
      <c r="D3" s="3">
        <v>3</v>
      </c>
      <c r="E3" s="4" t="s">
        <v>93</v>
      </c>
      <c r="F3" s="19" t="s">
        <v>35</v>
      </c>
      <c r="G3" s="10" t="s">
        <v>28</v>
      </c>
      <c r="H3" s="11">
        <v>15000</v>
      </c>
    </row>
    <row r="4" spans="1:8" ht="24.95" customHeight="1" x14ac:dyDescent="0.25">
      <c r="A4" s="74"/>
      <c r="B4" s="2">
        <v>44949</v>
      </c>
      <c r="C4" s="3">
        <v>3707128998</v>
      </c>
      <c r="D4" s="3">
        <v>1</v>
      </c>
      <c r="E4" s="4" t="s">
        <v>179</v>
      </c>
      <c r="F4" s="19" t="s">
        <v>37</v>
      </c>
      <c r="G4" s="10" t="s">
        <v>6</v>
      </c>
      <c r="H4" s="11">
        <v>3000</v>
      </c>
    </row>
    <row r="5" spans="1:8" ht="24.95" customHeight="1" x14ac:dyDescent="0.25">
      <c r="A5" s="74"/>
      <c r="B5" s="2">
        <v>44949</v>
      </c>
      <c r="C5" s="3">
        <v>3707128998</v>
      </c>
      <c r="D5" s="3">
        <v>1</v>
      </c>
      <c r="E5" s="4" t="s">
        <v>179</v>
      </c>
      <c r="F5" s="19" t="s">
        <v>38</v>
      </c>
      <c r="G5" s="10" t="s">
        <v>7</v>
      </c>
      <c r="H5" s="11">
        <v>7000</v>
      </c>
    </row>
    <row r="6" spans="1:8" ht="24.95" customHeight="1" x14ac:dyDescent="0.25">
      <c r="A6" s="74"/>
      <c r="B6" s="2">
        <v>44951</v>
      </c>
      <c r="C6" s="3">
        <v>3612299139</v>
      </c>
      <c r="D6" s="3">
        <v>1</v>
      </c>
      <c r="E6" s="4" t="s">
        <v>180</v>
      </c>
      <c r="F6" s="19" t="s">
        <v>35</v>
      </c>
      <c r="G6" s="10" t="s">
        <v>28</v>
      </c>
      <c r="H6" s="11">
        <v>5000</v>
      </c>
    </row>
    <row r="7" spans="1:8" ht="24.95" customHeight="1" x14ac:dyDescent="0.25">
      <c r="A7" s="74"/>
      <c r="B7" s="2">
        <v>44951</v>
      </c>
      <c r="C7" s="3">
        <v>2363966048</v>
      </c>
      <c r="D7" s="3">
        <v>1</v>
      </c>
      <c r="E7" s="4" t="s">
        <v>105</v>
      </c>
      <c r="F7" s="19" t="s">
        <v>37</v>
      </c>
      <c r="G7" s="10" t="s">
        <v>7</v>
      </c>
      <c r="H7" s="11">
        <v>6000</v>
      </c>
    </row>
    <row r="8" spans="1:8" ht="24.95" customHeight="1" x14ac:dyDescent="0.25">
      <c r="A8" s="74"/>
      <c r="B8" s="2">
        <v>44951</v>
      </c>
      <c r="C8" s="3">
        <v>1261391501</v>
      </c>
      <c r="D8" s="3">
        <v>1</v>
      </c>
      <c r="E8" s="4" t="s">
        <v>105</v>
      </c>
      <c r="F8" s="19" t="s">
        <v>37</v>
      </c>
      <c r="G8" s="10" t="s">
        <v>7</v>
      </c>
      <c r="H8" s="11">
        <v>2000</v>
      </c>
    </row>
    <row r="9" spans="1:8" ht="24.95" customHeight="1" x14ac:dyDescent="0.25">
      <c r="A9" s="74"/>
      <c r="B9" s="2">
        <v>44951</v>
      </c>
      <c r="C9" s="3">
        <v>3393276124</v>
      </c>
      <c r="D9" s="3">
        <v>1</v>
      </c>
      <c r="E9" s="4" t="s">
        <v>105</v>
      </c>
      <c r="F9" s="19" t="s">
        <v>37</v>
      </c>
      <c r="G9" s="10" t="s">
        <v>7</v>
      </c>
      <c r="H9" s="11">
        <v>2000</v>
      </c>
    </row>
    <row r="10" spans="1:8" ht="24.95" customHeight="1" x14ac:dyDescent="0.25">
      <c r="A10" s="74"/>
      <c r="B10" s="2">
        <v>44951</v>
      </c>
      <c r="C10" s="3">
        <v>4048045569</v>
      </c>
      <c r="D10" s="3">
        <v>1</v>
      </c>
      <c r="E10" s="4" t="s">
        <v>105</v>
      </c>
      <c r="F10" s="19" t="s">
        <v>38</v>
      </c>
      <c r="G10" s="10" t="s">
        <v>7</v>
      </c>
      <c r="H10" s="11">
        <v>1200</v>
      </c>
    </row>
    <row r="11" spans="1:8" ht="24.95" customHeight="1" x14ac:dyDescent="0.25">
      <c r="A11" s="74"/>
      <c r="B11" s="2">
        <v>44951</v>
      </c>
      <c r="C11" s="3">
        <v>1475561296</v>
      </c>
      <c r="D11" s="3">
        <v>2</v>
      </c>
      <c r="E11" s="4" t="s">
        <v>181</v>
      </c>
      <c r="F11" s="19" t="s">
        <v>35</v>
      </c>
      <c r="G11" s="10" t="s">
        <v>7</v>
      </c>
      <c r="H11" s="11">
        <v>10000</v>
      </c>
    </row>
    <row r="12" spans="1:8" ht="24.95" customHeight="1" x14ac:dyDescent="0.25">
      <c r="A12" s="74"/>
      <c r="B12" s="2">
        <v>44951</v>
      </c>
      <c r="C12" s="3">
        <v>1562135199</v>
      </c>
      <c r="D12" s="3">
        <v>2</v>
      </c>
      <c r="E12" s="4" t="s">
        <v>182</v>
      </c>
      <c r="F12" s="19" t="s">
        <v>35</v>
      </c>
      <c r="G12" s="10" t="s">
        <v>7</v>
      </c>
      <c r="H12" s="11">
        <v>10000</v>
      </c>
    </row>
    <row r="13" spans="1:8" ht="15.75" x14ac:dyDescent="0.25">
      <c r="A13" s="74"/>
      <c r="B13" s="2">
        <v>44953</v>
      </c>
      <c r="C13" s="3">
        <v>2905163280</v>
      </c>
      <c r="D13" s="3">
        <v>2</v>
      </c>
      <c r="E13" s="4" t="s">
        <v>41</v>
      </c>
      <c r="F13" s="19" t="s">
        <v>35</v>
      </c>
      <c r="G13" s="10" t="s">
        <v>6</v>
      </c>
      <c r="H13" s="11">
        <v>10000</v>
      </c>
    </row>
    <row r="14" spans="1:8" ht="24.95" customHeight="1" x14ac:dyDescent="0.25">
      <c r="A14" s="74"/>
      <c r="B14" s="2">
        <v>44956</v>
      </c>
      <c r="C14" s="3">
        <v>680020621</v>
      </c>
      <c r="D14" s="3">
        <v>2</v>
      </c>
      <c r="E14" s="4" t="s">
        <v>183</v>
      </c>
      <c r="F14" s="19" t="s">
        <v>35</v>
      </c>
      <c r="G14" s="10" t="s">
        <v>6</v>
      </c>
      <c r="H14" s="11">
        <v>10000</v>
      </c>
    </row>
    <row r="15" spans="1:8" ht="24.95" customHeight="1" x14ac:dyDescent="0.25">
      <c r="A15" s="74"/>
      <c r="B15" s="2">
        <v>44956</v>
      </c>
      <c r="C15" s="3">
        <v>3972024361</v>
      </c>
      <c r="D15" s="3">
        <v>1</v>
      </c>
      <c r="E15" s="4" t="s">
        <v>27</v>
      </c>
      <c r="F15" s="19" t="s">
        <v>35</v>
      </c>
      <c r="G15" s="10" t="s">
        <v>28</v>
      </c>
      <c r="H15" s="11">
        <v>5000</v>
      </c>
    </row>
    <row r="16" spans="1:8" ht="30" x14ac:dyDescent="0.25">
      <c r="A16" s="74"/>
      <c r="B16" s="2">
        <v>44956</v>
      </c>
      <c r="C16" s="3">
        <v>3972024361</v>
      </c>
      <c r="D16" s="3">
        <v>1</v>
      </c>
      <c r="E16" s="4" t="s">
        <v>27</v>
      </c>
      <c r="F16" s="19" t="s">
        <v>184</v>
      </c>
      <c r="G16" s="10" t="s">
        <v>28</v>
      </c>
      <c r="H16" s="11">
        <v>1000</v>
      </c>
    </row>
    <row r="17" spans="1:8" ht="24.95" customHeight="1" x14ac:dyDescent="0.25">
      <c r="A17" s="74"/>
      <c r="B17" s="2">
        <v>44957</v>
      </c>
      <c r="C17" s="3">
        <v>1687899909</v>
      </c>
      <c r="D17" s="3">
        <v>2</v>
      </c>
      <c r="E17" s="4" t="s">
        <v>114</v>
      </c>
      <c r="F17" s="19" t="s">
        <v>35</v>
      </c>
      <c r="G17" s="10" t="s">
        <v>6</v>
      </c>
      <c r="H17" s="11">
        <v>10000</v>
      </c>
    </row>
    <row r="18" spans="1:8" ht="24.95" customHeight="1" x14ac:dyDescent="0.25">
      <c r="A18" s="74"/>
      <c r="B18" s="2">
        <v>44957</v>
      </c>
      <c r="C18" s="3">
        <v>3764669900</v>
      </c>
      <c r="D18" s="3">
        <v>1</v>
      </c>
      <c r="E18" s="4" t="s">
        <v>27</v>
      </c>
      <c r="F18" s="19" t="s">
        <v>38</v>
      </c>
      <c r="G18" s="10" t="s">
        <v>28</v>
      </c>
      <c r="H18" s="11">
        <v>4000</v>
      </c>
    </row>
    <row r="19" spans="1:8" ht="24.95" customHeight="1" x14ac:dyDescent="0.25">
      <c r="A19" s="74"/>
      <c r="B19" s="2">
        <v>44960</v>
      </c>
      <c r="C19" s="3">
        <v>3356574907</v>
      </c>
      <c r="D19" s="3">
        <v>2</v>
      </c>
      <c r="E19" s="4" t="s">
        <v>266</v>
      </c>
      <c r="F19" s="19" t="s">
        <v>35</v>
      </c>
      <c r="G19" s="10" t="s">
        <v>7</v>
      </c>
      <c r="H19" s="11">
        <v>10000</v>
      </c>
    </row>
    <row r="20" spans="1:8" ht="24.95" customHeight="1" x14ac:dyDescent="0.25">
      <c r="A20" s="74"/>
      <c r="B20" s="2">
        <v>44966</v>
      </c>
      <c r="C20" s="3">
        <v>2553496759</v>
      </c>
      <c r="D20" s="3">
        <v>2</v>
      </c>
      <c r="E20" s="4" t="s">
        <v>267</v>
      </c>
      <c r="F20" s="19" t="s">
        <v>35</v>
      </c>
      <c r="G20" s="10" t="s">
        <v>11</v>
      </c>
      <c r="H20" s="11">
        <v>10000</v>
      </c>
    </row>
    <row r="21" spans="1:8" ht="24.95" customHeight="1" x14ac:dyDescent="0.25">
      <c r="A21" s="74"/>
      <c r="B21" s="2">
        <v>44972</v>
      </c>
      <c r="C21" s="3">
        <v>3909766254</v>
      </c>
      <c r="D21" s="3">
        <v>2</v>
      </c>
      <c r="E21" s="4" t="s">
        <v>258</v>
      </c>
      <c r="F21" s="19" t="s">
        <v>35</v>
      </c>
      <c r="G21" s="10" t="s">
        <v>7</v>
      </c>
      <c r="H21" s="11">
        <v>10000</v>
      </c>
    </row>
    <row r="22" spans="1:8" ht="24.95" customHeight="1" x14ac:dyDescent="0.25">
      <c r="A22" s="74"/>
      <c r="B22" s="2">
        <v>44972</v>
      </c>
      <c r="C22" s="3">
        <v>2819113225</v>
      </c>
      <c r="D22" s="3">
        <v>2</v>
      </c>
      <c r="E22" s="4" t="s">
        <v>262</v>
      </c>
      <c r="F22" s="19" t="s">
        <v>35</v>
      </c>
      <c r="G22" s="10" t="s">
        <v>6</v>
      </c>
      <c r="H22" s="11">
        <v>10000</v>
      </c>
    </row>
    <row r="23" spans="1:8" ht="15.75" x14ac:dyDescent="0.25">
      <c r="A23" s="74"/>
      <c r="B23" s="2">
        <v>44980</v>
      </c>
      <c r="C23" s="3">
        <v>3415688531</v>
      </c>
      <c r="D23" s="3">
        <v>2</v>
      </c>
      <c r="E23" s="4" t="s">
        <v>268</v>
      </c>
      <c r="F23" s="19" t="s">
        <v>35</v>
      </c>
      <c r="G23" s="10" t="s">
        <v>28</v>
      </c>
      <c r="H23" s="11">
        <v>10000</v>
      </c>
    </row>
    <row r="24" spans="1:8" ht="24.95" customHeight="1" x14ac:dyDescent="0.25">
      <c r="A24" s="74"/>
      <c r="B24" s="2">
        <v>44987</v>
      </c>
      <c r="C24" s="3">
        <v>2891728103</v>
      </c>
      <c r="D24" s="3">
        <v>1</v>
      </c>
      <c r="E24" s="4" t="s">
        <v>395</v>
      </c>
      <c r="F24" s="19" t="s">
        <v>35</v>
      </c>
      <c r="G24" s="10" t="s">
        <v>7</v>
      </c>
      <c r="H24" s="11">
        <v>10000</v>
      </c>
    </row>
    <row r="25" spans="1:8" ht="24.95" customHeight="1" x14ac:dyDescent="0.25">
      <c r="A25" s="74"/>
      <c r="B25" s="2">
        <v>44992</v>
      </c>
      <c r="C25" s="3">
        <v>3842917466</v>
      </c>
      <c r="D25" s="3">
        <v>2</v>
      </c>
      <c r="E25" s="4" t="s">
        <v>396</v>
      </c>
      <c r="F25" s="19" t="s">
        <v>35</v>
      </c>
      <c r="G25" s="10" t="s">
        <v>7</v>
      </c>
      <c r="H25" s="11">
        <v>10000</v>
      </c>
    </row>
    <row r="26" spans="1:8" ht="24.95" customHeight="1" x14ac:dyDescent="0.25">
      <c r="A26" s="74"/>
      <c r="B26" s="2">
        <v>44992</v>
      </c>
      <c r="C26" s="3">
        <v>3842917466</v>
      </c>
      <c r="D26" s="3">
        <v>2</v>
      </c>
      <c r="E26" s="4" t="s">
        <v>396</v>
      </c>
      <c r="F26" s="19" t="s">
        <v>397</v>
      </c>
      <c r="G26" s="10" t="s">
        <v>7</v>
      </c>
      <c r="H26" s="11">
        <v>10000</v>
      </c>
    </row>
    <row r="27" spans="1:8" ht="24.95" customHeight="1" x14ac:dyDescent="0.25">
      <c r="A27" s="74"/>
      <c r="B27" s="2">
        <v>44992</v>
      </c>
      <c r="C27" s="3">
        <v>3842917466</v>
      </c>
      <c r="D27" s="3">
        <v>2</v>
      </c>
      <c r="E27" s="4" t="s">
        <v>396</v>
      </c>
      <c r="F27" s="19" t="s">
        <v>398</v>
      </c>
      <c r="G27" s="10" t="s">
        <v>7</v>
      </c>
      <c r="H27" s="11">
        <v>10000</v>
      </c>
    </row>
    <row r="28" spans="1:8" ht="24.95" customHeight="1" x14ac:dyDescent="0.25">
      <c r="A28" s="74"/>
      <c r="B28" s="2">
        <v>44992</v>
      </c>
      <c r="C28" s="3">
        <v>860048496</v>
      </c>
      <c r="D28" s="3">
        <v>3</v>
      </c>
      <c r="E28" s="4" t="s">
        <v>399</v>
      </c>
      <c r="F28" s="19" t="s">
        <v>35</v>
      </c>
      <c r="G28" s="10" t="s">
        <v>7</v>
      </c>
      <c r="H28" s="11">
        <v>15000</v>
      </c>
    </row>
    <row r="29" spans="1:8" ht="24.95" customHeight="1" x14ac:dyDescent="0.25">
      <c r="A29" s="74"/>
      <c r="B29" s="2">
        <v>44993</v>
      </c>
      <c r="C29" s="3">
        <v>390285133</v>
      </c>
      <c r="D29" s="3">
        <v>2</v>
      </c>
      <c r="E29" s="4" t="s">
        <v>341</v>
      </c>
      <c r="F29" s="19" t="s">
        <v>35</v>
      </c>
      <c r="G29" s="10" t="s">
        <v>6</v>
      </c>
      <c r="H29" s="11">
        <v>10000</v>
      </c>
    </row>
    <row r="30" spans="1:8" ht="24.95" customHeight="1" x14ac:dyDescent="0.25">
      <c r="A30" s="74"/>
      <c r="B30" s="2">
        <v>44993</v>
      </c>
      <c r="C30" s="3">
        <v>3710077578</v>
      </c>
      <c r="D30" s="3">
        <v>2</v>
      </c>
      <c r="E30" s="4" t="s">
        <v>400</v>
      </c>
      <c r="F30" s="19" t="s">
        <v>35</v>
      </c>
      <c r="G30" s="10" t="s">
        <v>6</v>
      </c>
      <c r="H30" s="11">
        <v>10000</v>
      </c>
    </row>
    <row r="31" spans="1:8" ht="24.95" customHeight="1" x14ac:dyDescent="0.25">
      <c r="A31" s="74"/>
      <c r="B31" s="2">
        <v>44993</v>
      </c>
      <c r="C31" s="3">
        <v>3710077578</v>
      </c>
      <c r="D31" s="3">
        <v>2</v>
      </c>
      <c r="E31" s="4" t="s">
        <v>400</v>
      </c>
      <c r="F31" s="19" t="s">
        <v>397</v>
      </c>
      <c r="G31" s="10" t="s">
        <v>6</v>
      </c>
      <c r="H31" s="11">
        <v>10000</v>
      </c>
    </row>
    <row r="32" spans="1:8" ht="24.95" customHeight="1" x14ac:dyDescent="0.25">
      <c r="A32" s="74"/>
      <c r="B32" s="2">
        <v>44999</v>
      </c>
      <c r="C32" s="3">
        <v>4057286388</v>
      </c>
      <c r="D32" s="3">
        <v>3</v>
      </c>
      <c r="E32" s="4" t="s">
        <v>380</v>
      </c>
      <c r="F32" s="19" t="s">
        <v>35</v>
      </c>
      <c r="G32" s="10" t="s">
        <v>7</v>
      </c>
      <c r="H32" s="11">
        <v>15000</v>
      </c>
    </row>
    <row r="33" spans="1:8" ht="24.95" customHeight="1" x14ac:dyDescent="0.25">
      <c r="A33" s="74"/>
      <c r="B33" s="2">
        <v>45005</v>
      </c>
      <c r="C33" s="3">
        <v>39978444415</v>
      </c>
      <c r="D33" s="3">
        <v>3</v>
      </c>
      <c r="E33" s="4" t="s">
        <v>401</v>
      </c>
      <c r="F33" s="19" t="s">
        <v>35</v>
      </c>
      <c r="G33" s="10" t="s">
        <v>7</v>
      </c>
      <c r="H33" s="11">
        <v>15000</v>
      </c>
    </row>
    <row r="34" spans="1:8" ht="24.95" customHeight="1" x14ac:dyDescent="0.25">
      <c r="A34" s="74"/>
      <c r="B34" s="2">
        <v>45007</v>
      </c>
      <c r="C34" s="3">
        <v>2286175063</v>
      </c>
      <c r="D34" s="3">
        <v>2</v>
      </c>
      <c r="E34" s="4" t="s">
        <v>349</v>
      </c>
      <c r="F34" s="19" t="s">
        <v>37</v>
      </c>
      <c r="G34" s="10" t="s">
        <v>7</v>
      </c>
      <c r="H34" s="11">
        <v>8000</v>
      </c>
    </row>
    <row r="35" spans="1:8" ht="24.95" customHeight="1" x14ac:dyDescent="0.25">
      <c r="A35" s="74"/>
      <c r="B35" s="2">
        <v>45007</v>
      </c>
      <c r="C35" s="3">
        <v>2286175063</v>
      </c>
      <c r="D35" s="3">
        <v>1</v>
      </c>
      <c r="E35" s="4" t="s">
        <v>349</v>
      </c>
      <c r="F35" s="19" t="s">
        <v>38</v>
      </c>
      <c r="G35" s="10" t="s">
        <v>14</v>
      </c>
      <c r="H35" s="11">
        <v>7000</v>
      </c>
    </row>
    <row r="36" spans="1:8" ht="24.95" customHeight="1" x14ac:dyDescent="0.25">
      <c r="A36" s="74"/>
      <c r="B36" s="2">
        <v>45007</v>
      </c>
      <c r="C36" s="3">
        <v>2928954010</v>
      </c>
      <c r="D36" s="3">
        <v>3</v>
      </c>
      <c r="E36" s="4" t="s">
        <v>309</v>
      </c>
      <c r="F36" s="19" t="s">
        <v>35</v>
      </c>
      <c r="G36" s="10" t="s">
        <v>6</v>
      </c>
      <c r="H36" s="11">
        <v>15000</v>
      </c>
    </row>
    <row r="37" spans="1:8" ht="24.95" customHeight="1" x14ac:dyDescent="0.25">
      <c r="A37" s="74"/>
      <c r="B37" s="2">
        <v>45008</v>
      </c>
      <c r="C37" s="3">
        <v>2716027603</v>
      </c>
      <c r="D37" s="3">
        <v>3</v>
      </c>
      <c r="E37" s="4" t="s">
        <v>350</v>
      </c>
      <c r="F37" s="19" t="s">
        <v>35</v>
      </c>
      <c r="G37" s="10" t="s">
        <v>7</v>
      </c>
      <c r="H37" s="11">
        <v>15000</v>
      </c>
    </row>
    <row r="38" spans="1:8" ht="24.95" customHeight="1" x14ac:dyDescent="0.25">
      <c r="A38" s="74"/>
      <c r="B38" s="2">
        <v>45013</v>
      </c>
      <c r="C38" s="3">
        <v>3822470474</v>
      </c>
      <c r="D38" s="3">
        <v>3</v>
      </c>
      <c r="E38" s="4" t="s">
        <v>402</v>
      </c>
      <c r="F38" s="19" t="s">
        <v>403</v>
      </c>
      <c r="G38" s="10" t="s">
        <v>7</v>
      </c>
      <c r="H38" s="11">
        <v>15000</v>
      </c>
    </row>
    <row r="39" spans="1:8" ht="24.95" customHeight="1" x14ac:dyDescent="0.25">
      <c r="A39" s="74"/>
      <c r="B39" s="2">
        <v>45014</v>
      </c>
      <c r="C39" s="3">
        <v>1916619661</v>
      </c>
      <c r="D39" s="3">
        <v>3</v>
      </c>
      <c r="E39" s="4" t="s">
        <v>404</v>
      </c>
      <c r="F39" s="19" t="s">
        <v>35</v>
      </c>
      <c r="G39" s="10" t="s">
        <v>7</v>
      </c>
      <c r="H39" s="11">
        <v>15000</v>
      </c>
    </row>
    <row r="40" spans="1:8" ht="15.75" x14ac:dyDescent="0.25">
      <c r="A40" s="74"/>
      <c r="B40" s="2">
        <v>45016</v>
      </c>
      <c r="C40" s="3">
        <v>1348028563</v>
      </c>
      <c r="D40" s="3">
        <v>2</v>
      </c>
      <c r="E40" s="4" t="s">
        <v>41</v>
      </c>
      <c r="F40" s="19" t="s">
        <v>35</v>
      </c>
      <c r="G40" s="10" t="s">
        <v>6</v>
      </c>
      <c r="H40" s="11">
        <v>10000</v>
      </c>
    </row>
    <row r="41" spans="1:8" ht="24.95" customHeight="1" x14ac:dyDescent="0.25">
      <c r="A41" s="74"/>
      <c r="B41" s="2">
        <v>45016</v>
      </c>
      <c r="C41" s="3">
        <v>1348028563</v>
      </c>
      <c r="D41" s="3">
        <v>2</v>
      </c>
      <c r="E41" s="4" t="s">
        <v>41</v>
      </c>
      <c r="F41" s="19" t="s">
        <v>405</v>
      </c>
      <c r="G41" s="10" t="s">
        <v>6</v>
      </c>
      <c r="H41" s="11">
        <v>10000</v>
      </c>
    </row>
    <row r="42" spans="1:8" ht="24.95" customHeight="1" x14ac:dyDescent="0.25">
      <c r="A42" s="74"/>
      <c r="B42" s="2">
        <v>45026</v>
      </c>
      <c r="C42" s="3">
        <v>196822109</v>
      </c>
      <c r="D42" s="3">
        <v>1</v>
      </c>
      <c r="E42" s="4" t="s">
        <v>570</v>
      </c>
      <c r="F42" s="19" t="s">
        <v>37</v>
      </c>
      <c r="G42" s="10" t="s">
        <v>14</v>
      </c>
      <c r="H42" s="11">
        <v>6000</v>
      </c>
    </row>
    <row r="43" spans="1:8" ht="24.95" customHeight="1" x14ac:dyDescent="0.25">
      <c r="A43" s="74"/>
      <c r="B43" s="2">
        <v>45026</v>
      </c>
      <c r="C43" s="3">
        <v>196822109</v>
      </c>
      <c r="D43" s="3">
        <v>2</v>
      </c>
      <c r="E43" s="4" t="s">
        <v>570</v>
      </c>
      <c r="F43" s="19" t="s">
        <v>38</v>
      </c>
      <c r="G43" s="10" t="s">
        <v>6</v>
      </c>
      <c r="H43" s="11">
        <v>9000</v>
      </c>
    </row>
    <row r="44" spans="1:8" ht="24.95" customHeight="1" x14ac:dyDescent="0.25">
      <c r="A44" s="74"/>
      <c r="B44" s="2">
        <v>45026</v>
      </c>
      <c r="C44" s="3">
        <v>196822109</v>
      </c>
      <c r="D44" s="3">
        <v>3</v>
      </c>
      <c r="E44" s="4" t="s">
        <v>570</v>
      </c>
      <c r="F44" s="19" t="s">
        <v>571</v>
      </c>
      <c r="G44" s="10" t="s">
        <v>6</v>
      </c>
      <c r="H44" s="11">
        <v>15000</v>
      </c>
    </row>
    <row r="45" spans="1:8" ht="24.95" customHeight="1" x14ac:dyDescent="0.25">
      <c r="A45" s="74"/>
      <c r="B45" s="2">
        <v>45034</v>
      </c>
      <c r="C45" s="3">
        <v>1652772142</v>
      </c>
      <c r="D45" s="3">
        <v>3</v>
      </c>
      <c r="E45" s="4" t="s">
        <v>460</v>
      </c>
      <c r="F45" s="19" t="s">
        <v>35</v>
      </c>
      <c r="G45" s="10" t="s">
        <v>28</v>
      </c>
      <c r="H45" s="11">
        <v>15000</v>
      </c>
    </row>
    <row r="46" spans="1:8" ht="24.95" customHeight="1" x14ac:dyDescent="0.25">
      <c r="A46" s="74"/>
      <c r="B46" s="2">
        <v>45035</v>
      </c>
      <c r="C46" s="3">
        <v>127943002</v>
      </c>
      <c r="D46" s="3">
        <v>3</v>
      </c>
      <c r="E46" s="4" t="s">
        <v>123</v>
      </c>
      <c r="F46" s="19" t="s">
        <v>35</v>
      </c>
      <c r="G46" s="10" t="s">
        <v>28</v>
      </c>
      <c r="H46" s="11">
        <v>15000</v>
      </c>
    </row>
    <row r="47" spans="1:8" ht="24.95" customHeight="1" x14ac:dyDescent="0.25">
      <c r="A47" s="74"/>
      <c r="B47" s="2">
        <v>45035</v>
      </c>
      <c r="C47" s="3">
        <v>489376884</v>
      </c>
      <c r="D47" s="3">
        <v>3</v>
      </c>
      <c r="E47" s="4" t="s">
        <v>545</v>
      </c>
      <c r="F47" s="19" t="s">
        <v>35</v>
      </c>
      <c r="G47" s="10" t="s">
        <v>7</v>
      </c>
      <c r="H47" s="11">
        <v>15000</v>
      </c>
    </row>
    <row r="48" spans="1:8" ht="24.95" customHeight="1" x14ac:dyDescent="0.25">
      <c r="A48" s="74"/>
      <c r="B48" s="2">
        <v>45035</v>
      </c>
      <c r="C48" s="3">
        <v>3099279606</v>
      </c>
      <c r="D48" s="3">
        <v>1</v>
      </c>
      <c r="E48" s="4" t="s">
        <v>572</v>
      </c>
      <c r="F48" s="19" t="s">
        <v>573</v>
      </c>
      <c r="G48" s="10" t="s">
        <v>6</v>
      </c>
      <c r="H48" s="11">
        <v>5000</v>
      </c>
    </row>
    <row r="49" spans="1:8" ht="24.95" customHeight="1" x14ac:dyDescent="0.25">
      <c r="A49" s="74"/>
      <c r="B49" s="2">
        <v>45035</v>
      </c>
      <c r="C49" s="3">
        <v>3099279606</v>
      </c>
      <c r="D49" s="3">
        <v>2</v>
      </c>
      <c r="E49" s="4" t="s">
        <v>572</v>
      </c>
      <c r="F49" s="19" t="s">
        <v>35</v>
      </c>
      <c r="G49" s="10" t="s">
        <v>6</v>
      </c>
      <c r="H49" s="11">
        <v>10000</v>
      </c>
    </row>
    <row r="50" spans="1:8" ht="24.95" customHeight="1" x14ac:dyDescent="0.25">
      <c r="A50" s="74"/>
      <c r="B50" s="2">
        <v>45036</v>
      </c>
      <c r="C50" s="3">
        <v>3687727969</v>
      </c>
      <c r="D50" s="3">
        <v>3</v>
      </c>
      <c r="E50" s="4" t="s">
        <v>574</v>
      </c>
      <c r="F50" s="19" t="s">
        <v>35</v>
      </c>
      <c r="G50" s="10" t="s">
        <v>16</v>
      </c>
      <c r="H50" s="11">
        <v>15000</v>
      </c>
    </row>
    <row r="51" spans="1:8" ht="24.95" customHeight="1" x14ac:dyDescent="0.25">
      <c r="A51" s="74"/>
      <c r="B51" s="2">
        <v>45036</v>
      </c>
      <c r="C51" s="3">
        <v>504777842</v>
      </c>
      <c r="D51" s="3">
        <v>1</v>
      </c>
      <c r="E51" s="4" t="s">
        <v>448</v>
      </c>
      <c r="F51" s="19" t="s">
        <v>35</v>
      </c>
      <c r="G51" s="10" t="s">
        <v>14</v>
      </c>
      <c r="H51" s="11">
        <v>5000</v>
      </c>
    </row>
    <row r="52" spans="1:8" ht="24.95" customHeight="1" x14ac:dyDescent="0.25">
      <c r="A52" s="74"/>
      <c r="B52" s="2">
        <v>45044</v>
      </c>
      <c r="C52" s="3">
        <v>227361391</v>
      </c>
      <c r="D52" s="3">
        <v>3</v>
      </c>
      <c r="E52" s="4" t="s">
        <v>575</v>
      </c>
      <c r="F52" s="19" t="s">
        <v>35</v>
      </c>
      <c r="G52" s="10" t="s">
        <v>7</v>
      </c>
      <c r="H52" s="11">
        <v>15000</v>
      </c>
    </row>
    <row r="53" spans="1:8" ht="24.95" customHeight="1" x14ac:dyDescent="0.25">
      <c r="A53" s="74"/>
      <c r="B53" s="2">
        <v>45048</v>
      </c>
      <c r="C53" s="3">
        <v>1404650004</v>
      </c>
      <c r="D53" s="3">
        <v>3</v>
      </c>
      <c r="E53" s="4" t="s">
        <v>656</v>
      </c>
      <c r="F53" s="19" t="s">
        <v>35</v>
      </c>
      <c r="G53" s="10" t="s">
        <v>28</v>
      </c>
      <c r="H53" s="11">
        <v>15000</v>
      </c>
    </row>
    <row r="54" spans="1:8" ht="24.95" customHeight="1" x14ac:dyDescent="0.25">
      <c r="A54" s="74"/>
      <c r="B54" s="2">
        <v>45048</v>
      </c>
      <c r="C54" s="3">
        <v>3585820799</v>
      </c>
      <c r="D54" s="3">
        <v>1</v>
      </c>
      <c r="E54" s="4" t="s">
        <v>587</v>
      </c>
      <c r="F54" s="19" t="s">
        <v>35</v>
      </c>
      <c r="G54" s="10" t="s">
        <v>14</v>
      </c>
      <c r="H54" s="11">
        <v>5000</v>
      </c>
    </row>
    <row r="55" spans="1:8" ht="24.95" customHeight="1" x14ac:dyDescent="0.25">
      <c r="A55" s="74"/>
      <c r="B55" s="2">
        <v>45049</v>
      </c>
      <c r="C55" s="3">
        <v>2718189749</v>
      </c>
      <c r="D55" s="3">
        <v>3</v>
      </c>
      <c r="E55" s="4" t="s">
        <v>657</v>
      </c>
      <c r="F55" s="19" t="s">
        <v>35</v>
      </c>
      <c r="G55" s="10" t="s">
        <v>14</v>
      </c>
      <c r="H55" s="11">
        <v>15000</v>
      </c>
    </row>
    <row r="56" spans="1:8" ht="24.95" customHeight="1" x14ac:dyDescent="0.25">
      <c r="A56" s="74"/>
      <c r="B56" s="2">
        <v>45050</v>
      </c>
      <c r="C56" s="3">
        <v>503005415</v>
      </c>
      <c r="D56" s="3">
        <v>2</v>
      </c>
      <c r="E56" s="4" t="s">
        <v>658</v>
      </c>
      <c r="F56" s="19" t="s">
        <v>35</v>
      </c>
      <c r="G56" s="10" t="s">
        <v>28</v>
      </c>
      <c r="H56" s="11">
        <v>10000</v>
      </c>
    </row>
    <row r="57" spans="1:8" ht="24.95" customHeight="1" x14ac:dyDescent="0.25">
      <c r="A57" s="74"/>
      <c r="B57" s="2">
        <v>45050</v>
      </c>
      <c r="C57" s="3">
        <v>2951496203</v>
      </c>
      <c r="D57" s="3">
        <v>2</v>
      </c>
      <c r="E57" s="4" t="s">
        <v>521</v>
      </c>
      <c r="F57" s="19" t="s">
        <v>35</v>
      </c>
      <c r="G57" s="10" t="s">
        <v>28</v>
      </c>
      <c r="H57" s="11">
        <v>10000</v>
      </c>
    </row>
    <row r="58" spans="1:8" ht="24.95" customHeight="1" x14ac:dyDescent="0.25">
      <c r="A58" s="74"/>
      <c r="B58" s="2">
        <v>45051</v>
      </c>
      <c r="C58" s="3">
        <v>3306311605</v>
      </c>
      <c r="D58" s="3">
        <v>2</v>
      </c>
      <c r="E58" s="4" t="s">
        <v>43</v>
      </c>
      <c r="F58" s="19" t="s">
        <v>35</v>
      </c>
      <c r="G58" s="10" t="s">
        <v>11</v>
      </c>
      <c r="H58" s="11">
        <v>10000</v>
      </c>
    </row>
    <row r="59" spans="1:8" ht="24.95" customHeight="1" x14ac:dyDescent="0.25">
      <c r="A59" s="74"/>
      <c r="B59" s="2">
        <v>45061</v>
      </c>
      <c r="C59" s="3">
        <v>2087145124</v>
      </c>
      <c r="D59" s="3">
        <v>2</v>
      </c>
      <c r="E59" s="4" t="s">
        <v>611</v>
      </c>
      <c r="F59" s="19" t="s">
        <v>403</v>
      </c>
      <c r="G59" s="10" t="s">
        <v>7</v>
      </c>
      <c r="H59" s="11">
        <v>10000</v>
      </c>
    </row>
    <row r="60" spans="1:8" ht="24.95" customHeight="1" x14ac:dyDescent="0.25">
      <c r="A60" s="74"/>
      <c r="B60" s="2">
        <v>45061</v>
      </c>
      <c r="C60" s="3">
        <v>2087145124</v>
      </c>
      <c r="D60" s="3">
        <v>2</v>
      </c>
      <c r="E60" s="4" t="s">
        <v>611</v>
      </c>
      <c r="F60" s="19" t="s">
        <v>659</v>
      </c>
      <c r="G60" s="10" t="s">
        <v>7</v>
      </c>
      <c r="H60" s="11">
        <v>10000</v>
      </c>
    </row>
    <row r="61" spans="1:8" ht="24.95" customHeight="1" x14ac:dyDescent="0.25">
      <c r="A61" s="74"/>
      <c r="B61" s="2">
        <v>45061</v>
      </c>
      <c r="C61" s="3">
        <v>2087145124</v>
      </c>
      <c r="D61" s="3">
        <v>2</v>
      </c>
      <c r="E61" s="4" t="s">
        <v>611</v>
      </c>
      <c r="F61" s="19" t="s">
        <v>660</v>
      </c>
      <c r="G61" s="10" t="s">
        <v>7</v>
      </c>
      <c r="H61" s="11">
        <v>10000</v>
      </c>
    </row>
    <row r="62" spans="1:8" ht="24.95" customHeight="1" x14ac:dyDescent="0.25">
      <c r="A62" s="74"/>
      <c r="B62" s="2">
        <v>45063</v>
      </c>
      <c r="C62" s="3">
        <v>2645772969</v>
      </c>
      <c r="D62" s="3">
        <v>3</v>
      </c>
      <c r="E62" s="4" t="s">
        <v>661</v>
      </c>
      <c r="F62" s="19" t="s">
        <v>35</v>
      </c>
      <c r="G62" s="10" t="s">
        <v>28</v>
      </c>
      <c r="H62" s="11">
        <v>15000</v>
      </c>
    </row>
    <row r="63" spans="1:8" ht="24.95" customHeight="1" x14ac:dyDescent="0.25">
      <c r="A63" s="74"/>
      <c r="B63" s="2">
        <v>45063</v>
      </c>
      <c r="C63" s="3">
        <v>1366970006</v>
      </c>
      <c r="D63" s="3">
        <v>1</v>
      </c>
      <c r="E63" s="4" t="s">
        <v>587</v>
      </c>
      <c r="F63" s="19" t="s">
        <v>35</v>
      </c>
      <c r="G63" s="10" t="s">
        <v>14</v>
      </c>
      <c r="H63" s="11">
        <v>5000</v>
      </c>
    </row>
    <row r="64" spans="1:8" ht="24.95" customHeight="1" x14ac:dyDescent="0.25">
      <c r="A64" s="74"/>
      <c r="B64" s="2">
        <v>45064</v>
      </c>
      <c r="C64" s="3">
        <v>2044872307</v>
      </c>
      <c r="D64" s="3">
        <v>3</v>
      </c>
      <c r="E64" s="4" t="s">
        <v>613</v>
      </c>
      <c r="F64" s="19" t="s">
        <v>35</v>
      </c>
      <c r="G64" s="10" t="s">
        <v>7</v>
      </c>
      <c r="H64" s="11">
        <v>15000</v>
      </c>
    </row>
    <row r="65" spans="1:8" ht="24.95" customHeight="1" x14ac:dyDescent="0.25">
      <c r="A65" s="74"/>
      <c r="B65" s="2">
        <v>45064</v>
      </c>
      <c r="C65" s="3">
        <v>1373522395</v>
      </c>
      <c r="D65" s="3">
        <v>3</v>
      </c>
      <c r="E65" s="4" t="s">
        <v>662</v>
      </c>
      <c r="F65" s="19" t="s">
        <v>35</v>
      </c>
      <c r="G65" s="10" t="s">
        <v>7</v>
      </c>
      <c r="H65" s="11">
        <v>15000</v>
      </c>
    </row>
    <row r="66" spans="1:8" ht="24.95" customHeight="1" x14ac:dyDescent="0.25">
      <c r="A66" s="74"/>
      <c r="B66" s="2">
        <v>45071</v>
      </c>
      <c r="C66" s="3">
        <v>3132901162</v>
      </c>
      <c r="D66" s="3">
        <v>2</v>
      </c>
      <c r="E66" s="4" t="s">
        <v>663</v>
      </c>
      <c r="F66" s="19" t="s">
        <v>35</v>
      </c>
      <c r="G66" s="10" t="s">
        <v>7</v>
      </c>
      <c r="H66" s="11">
        <v>11500</v>
      </c>
    </row>
    <row r="67" spans="1:8" ht="24.95" customHeight="1" x14ac:dyDescent="0.25">
      <c r="A67" s="74"/>
      <c r="B67" s="2">
        <v>45079</v>
      </c>
      <c r="C67" s="3">
        <v>658917159</v>
      </c>
      <c r="D67" s="3">
        <v>2</v>
      </c>
      <c r="E67" s="4" t="s">
        <v>719</v>
      </c>
      <c r="F67" s="19" t="s">
        <v>35</v>
      </c>
      <c r="G67" s="10" t="s">
        <v>7</v>
      </c>
      <c r="H67" s="11">
        <v>10000</v>
      </c>
    </row>
    <row r="68" spans="1:8" ht="24.95" customHeight="1" x14ac:dyDescent="0.25">
      <c r="A68" s="74"/>
      <c r="B68" s="2">
        <v>45079</v>
      </c>
      <c r="C68" s="3">
        <v>658917159</v>
      </c>
      <c r="D68" s="3">
        <v>1</v>
      </c>
      <c r="E68" s="4" t="s">
        <v>719</v>
      </c>
      <c r="F68" s="19" t="s">
        <v>736</v>
      </c>
      <c r="G68" s="10" t="s">
        <v>7</v>
      </c>
      <c r="H68" s="11">
        <v>5000</v>
      </c>
    </row>
    <row r="69" spans="1:8" ht="24.95" customHeight="1" x14ac:dyDescent="0.25">
      <c r="A69" s="74"/>
      <c r="B69" s="2">
        <v>45100</v>
      </c>
      <c r="C69" s="3">
        <v>3243721494</v>
      </c>
      <c r="D69" s="3">
        <v>2</v>
      </c>
      <c r="E69" s="4" t="s">
        <v>737</v>
      </c>
      <c r="F69" s="19" t="s">
        <v>35</v>
      </c>
      <c r="G69" s="10" t="s">
        <v>6</v>
      </c>
      <c r="H69" s="11">
        <v>10000</v>
      </c>
    </row>
    <row r="70" spans="1:8" ht="24.95" customHeight="1" x14ac:dyDescent="0.25">
      <c r="A70" s="74"/>
      <c r="B70" s="2">
        <v>45105</v>
      </c>
      <c r="C70" s="3">
        <v>1334134386</v>
      </c>
      <c r="D70" s="3">
        <v>2</v>
      </c>
      <c r="E70" s="4" t="s">
        <v>727</v>
      </c>
      <c r="F70" s="19" t="s">
        <v>35</v>
      </c>
      <c r="G70" s="10" t="s">
        <v>7</v>
      </c>
      <c r="H70" s="11">
        <v>10000</v>
      </c>
    </row>
    <row r="71" spans="1:8" ht="24.95" customHeight="1" x14ac:dyDescent="0.25">
      <c r="A71" s="74"/>
      <c r="B71" s="2">
        <v>45105</v>
      </c>
      <c r="C71" s="3">
        <v>1048399389</v>
      </c>
      <c r="D71" s="3">
        <v>2</v>
      </c>
      <c r="E71" s="4" t="s">
        <v>738</v>
      </c>
      <c r="F71" s="19" t="s">
        <v>35</v>
      </c>
      <c r="G71" s="10" t="s">
        <v>28</v>
      </c>
      <c r="H71" s="11">
        <v>10000</v>
      </c>
    </row>
    <row r="72" spans="1:8" ht="24.95" customHeight="1" x14ac:dyDescent="0.25">
      <c r="A72" s="74"/>
      <c r="B72" s="2">
        <v>45106</v>
      </c>
      <c r="C72" s="3">
        <v>2747156665</v>
      </c>
      <c r="D72" s="3">
        <v>1</v>
      </c>
      <c r="E72" s="4" t="s">
        <v>739</v>
      </c>
      <c r="F72" s="19" t="s">
        <v>35</v>
      </c>
      <c r="G72" s="10" t="s">
        <v>7</v>
      </c>
      <c r="H72" s="11">
        <v>5000</v>
      </c>
    </row>
    <row r="73" spans="1:8" ht="15.75" x14ac:dyDescent="0.25">
      <c r="A73" s="74"/>
      <c r="B73" s="2">
        <v>45106</v>
      </c>
      <c r="C73" s="3">
        <v>3889188407</v>
      </c>
      <c r="D73" s="3">
        <v>2</v>
      </c>
      <c r="E73" s="4" t="s">
        <v>688</v>
      </c>
      <c r="F73" s="19" t="s">
        <v>35</v>
      </c>
      <c r="G73" s="10" t="s">
        <v>16</v>
      </c>
      <c r="H73" s="11">
        <v>10000</v>
      </c>
    </row>
    <row r="74" spans="1:8" ht="24.95" customHeight="1" x14ac:dyDescent="0.25">
      <c r="A74" s="74"/>
      <c r="B74" s="2">
        <v>45107</v>
      </c>
      <c r="C74" s="3">
        <v>3031649342</v>
      </c>
      <c r="D74" s="3">
        <v>1</v>
      </c>
      <c r="E74" s="4" t="s">
        <v>719</v>
      </c>
      <c r="F74" s="19" t="s">
        <v>397</v>
      </c>
      <c r="G74" s="10" t="s">
        <v>7</v>
      </c>
      <c r="H74" s="11">
        <v>5000</v>
      </c>
    </row>
    <row r="75" spans="1:8" ht="24.95" customHeight="1" x14ac:dyDescent="0.25">
      <c r="A75" s="74"/>
      <c r="B75" s="2">
        <v>45107</v>
      </c>
      <c r="C75" s="3">
        <v>3031649342</v>
      </c>
      <c r="D75" s="3">
        <v>2</v>
      </c>
      <c r="E75" s="4" t="s">
        <v>719</v>
      </c>
      <c r="F75" s="19" t="s">
        <v>741</v>
      </c>
      <c r="G75" s="10" t="s">
        <v>7</v>
      </c>
      <c r="H75" s="11">
        <v>10000</v>
      </c>
    </row>
    <row r="76" spans="1:8" ht="24.95" customHeight="1" x14ac:dyDescent="0.25">
      <c r="A76" s="74"/>
      <c r="B76" s="2">
        <v>45107</v>
      </c>
      <c r="C76" s="3">
        <v>3404416133</v>
      </c>
      <c r="D76" s="3">
        <v>2</v>
      </c>
      <c r="E76" s="4" t="s">
        <v>740</v>
      </c>
      <c r="F76" s="19" t="s">
        <v>35</v>
      </c>
      <c r="G76" s="10" t="s">
        <v>7</v>
      </c>
      <c r="H76" s="11">
        <v>10000</v>
      </c>
    </row>
    <row r="77" spans="1:8" ht="24.95" customHeight="1" x14ac:dyDescent="0.25">
      <c r="A77" s="74"/>
      <c r="B77" s="2">
        <v>45111</v>
      </c>
      <c r="C77" s="3">
        <v>1112621802</v>
      </c>
      <c r="D77" s="3">
        <v>2</v>
      </c>
      <c r="E77" s="4" t="s">
        <v>739</v>
      </c>
      <c r="F77" s="19" t="s">
        <v>35</v>
      </c>
      <c r="G77" s="10" t="s">
        <v>11</v>
      </c>
      <c r="H77" s="11">
        <v>10000</v>
      </c>
    </row>
    <row r="78" spans="1:8" ht="24.95" customHeight="1" x14ac:dyDescent="0.25">
      <c r="A78" s="74"/>
      <c r="B78" s="2">
        <v>45112</v>
      </c>
      <c r="C78" s="3">
        <v>4250091701</v>
      </c>
      <c r="D78" s="3">
        <v>2</v>
      </c>
      <c r="E78" s="4" t="s">
        <v>191</v>
      </c>
      <c r="F78" s="19" t="s">
        <v>398</v>
      </c>
      <c r="G78" s="10" t="s">
        <v>7</v>
      </c>
      <c r="H78" s="11">
        <v>10000</v>
      </c>
    </row>
    <row r="79" spans="1:8" ht="24.95" customHeight="1" x14ac:dyDescent="0.25">
      <c r="A79" s="74"/>
      <c r="B79" s="2">
        <v>45114</v>
      </c>
      <c r="C79" s="3">
        <v>1720405875</v>
      </c>
      <c r="D79" s="3">
        <v>3</v>
      </c>
      <c r="E79" s="4" t="s">
        <v>829</v>
      </c>
      <c r="F79" s="19" t="s">
        <v>35</v>
      </c>
      <c r="G79" s="10" t="s">
        <v>7</v>
      </c>
      <c r="H79" s="11">
        <v>15000</v>
      </c>
    </row>
    <row r="80" spans="1:8" ht="24.95" customHeight="1" x14ac:dyDescent="0.25">
      <c r="A80" s="74"/>
      <c r="B80" s="2">
        <v>45118</v>
      </c>
      <c r="C80" s="3">
        <v>3524218724</v>
      </c>
      <c r="D80" s="3">
        <v>3</v>
      </c>
      <c r="E80" s="4" t="s">
        <v>830</v>
      </c>
      <c r="F80" s="19" t="s">
        <v>35</v>
      </c>
      <c r="G80" s="10" t="s">
        <v>7</v>
      </c>
      <c r="H80" s="11">
        <v>15000</v>
      </c>
    </row>
    <row r="81" spans="1:8" ht="24.95" customHeight="1" x14ac:dyDescent="0.25">
      <c r="A81" s="74"/>
      <c r="B81" s="2">
        <v>45125</v>
      </c>
      <c r="C81" s="3">
        <v>2263237027</v>
      </c>
      <c r="D81" s="3">
        <v>2</v>
      </c>
      <c r="E81" s="4" t="s">
        <v>831</v>
      </c>
      <c r="F81" s="19" t="s">
        <v>35</v>
      </c>
      <c r="G81" s="10" t="s">
        <v>6</v>
      </c>
      <c r="H81" s="11">
        <v>10000</v>
      </c>
    </row>
    <row r="82" spans="1:8" ht="24.95" customHeight="1" x14ac:dyDescent="0.25">
      <c r="A82" s="74"/>
      <c r="B82" s="2">
        <v>45132</v>
      </c>
      <c r="C82" s="3">
        <v>4083958391</v>
      </c>
      <c r="D82" s="3">
        <v>2</v>
      </c>
      <c r="E82" s="4" t="s">
        <v>801</v>
      </c>
      <c r="F82" s="19" t="s">
        <v>398</v>
      </c>
      <c r="G82" s="10" t="s">
        <v>7</v>
      </c>
      <c r="H82" s="11">
        <v>10000</v>
      </c>
    </row>
    <row r="83" spans="1:8" ht="24.95" customHeight="1" x14ac:dyDescent="0.25">
      <c r="A83" s="74"/>
      <c r="B83" s="2">
        <v>45140</v>
      </c>
      <c r="C83" s="3">
        <v>1058949859</v>
      </c>
      <c r="D83" s="3">
        <v>3</v>
      </c>
      <c r="E83" s="4" t="s">
        <v>981</v>
      </c>
      <c r="F83" s="19" t="s">
        <v>35</v>
      </c>
      <c r="G83" s="10" t="s">
        <v>7</v>
      </c>
      <c r="H83" s="11">
        <v>15000</v>
      </c>
    </row>
    <row r="84" spans="1:8" ht="24.95" customHeight="1" x14ac:dyDescent="0.25">
      <c r="A84" s="74"/>
      <c r="B84" s="2">
        <v>45146</v>
      </c>
      <c r="C84" s="3">
        <v>4139207465</v>
      </c>
      <c r="D84" s="3">
        <v>2</v>
      </c>
      <c r="E84" s="4" t="s">
        <v>982</v>
      </c>
      <c r="F84" s="19" t="s">
        <v>35</v>
      </c>
      <c r="G84" s="10" t="s">
        <v>6</v>
      </c>
      <c r="H84" s="11">
        <v>10000</v>
      </c>
    </row>
    <row r="85" spans="1:8" ht="24.95" customHeight="1" x14ac:dyDescent="0.25">
      <c r="A85" s="74"/>
      <c r="B85" s="2">
        <v>45146</v>
      </c>
      <c r="C85" s="3">
        <v>2286568144</v>
      </c>
      <c r="D85" s="3">
        <v>2</v>
      </c>
      <c r="E85" s="4" t="s">
        <v>983</v>
      </c>
      <c r="F85" s="19" t="s">
        <v>35</v>
      </c>
      <c r="G85" s="10" t="s">
        <v>11</v>
      </c>
      <c r="H85" s="11">
        <v>10000</v>
      </c>
    </row>
    <row r="86" spans="1:8" ht="24.95" customHeight="1" x14ac:dyDescent="0.25">
      <c r="A86" s="74"/>
      <c r="B86" s="2">
        <v>45148</v>
      </c>
      <c r="C86" s="3">
        <v>1770014721</v>
      </c>
      <c r="D86" s="3">
        <v>2</v>
      </c>
      <c r="E86" s="4" t="s">
        <v>984</v>
      </c>
      <c r="F86" s="19" t="s">
        <v>35</v>
      </c>
      <c r="G86" s="10" t="s">
        <v>7</v>
      </c>
      <c r="H86" s="11">
        <v>10000</v>
      </c>
    </row>
    <row r="87" spans="1:8" ht="24.95" customHeight="1" x14ac:dyDescent="0.25">
      <c r="A87" s="74"/>
      <c r="B87" s="2">
        <v>45148</v>
      </c>
      <c r="C87" s="3">
        <v>3021950244</v>
      </c>
      <c r="D87" s="3">
        <v>2</v>
      </c>
      <c r="E87" s="4" t="s">
        <v>847</v>
      </c>
      <c r="F87" s="19" t="s">
        <v>35</v>
      </c>
      <c r="G87" s="10" t="s">
        <v>7</v>
      </c>
      <c r="H87" s="11">
        <v>10000</v>
      </c>
    </row>
    <row r="88" spans="1:8" ht="24.95" customHeight="1" x14ac:dyDescent="0.25">
      <c r="A88" s="74"/>
      <c r="B88" s="2">
        <v>45154</v>
      </c>
      <c r="C88" s="3">
        <v>2330936660</v>
      </c>
      <c r="D88" s="3">
        <v>2</v>
      </c>
      <c r="E88" s="4" t="s">
        <v>985</v>
      </c>
      <c r="F88" s="19" t="s">
        <v>35</v>
      </c>
      <c r="G88" s="10" t="s">
        <v>7</v>
      </c>
      <c r="H88" s="11">
        <v>10000</v>
      </c>
    </row>
    <row r="89" spans="1:8" ht="24.95" customHeight="1" x14ac:dyDescent="0.25">
      <c r="A89" s="74"/>
      <c r="B89" s="2">
        <v>45154</v>
      </c>
      <c r="C89" s="3">
        <v>1165315459</v>
      </c>
      <c r="D89" s="3">
        <v>2</v>
      </c>
      <c r="E89" s="4" t="s">
        <v>986</v>
      </c>
      <c r="F89" s="19" t="s">
        <v>35</v>
      </c>
      <c r="G89" s="10" t="s">
        <v>7</v>
      </c>
      <c r="H89" s="11">
        <v>10000</v>
      </c>
    </row>
    <row r="90" spans="1:8" ht="24.95" customHeight="1" x14ac:dyDescent="0.25">
      <c r="A90" s="74"/>
      <c r="B90" s="2">
        <v>45154</v>
      </c>
      <c r="C90" s="3">
        <v>114444286</v>
      </c>
      <c r="D90" s="3">
        <v>2</v>
      </c>
      <c r="E90" s="4" t="s">
        <v>987</v>
      </c>
      <c r="F90" s="19" t="s">
        <v>35</v>
      </c>
      <c r="G90" s="10" t="s">
        <v>7</v>
      </c>
      <c r="H90" s="11">
        <v>10000</v>
      </c>
    </row>
    <row r="91" spans="1:8" ht="24.95" customHeight="1" x14ac:dyDescent="0.25">
      <c r="A91" s="74"/>
      <c r="B91" s="2">
        <v>45154</v>
      </c>
      <c r="C91" s="3">
        <v>2071479089</v>
      </c>
      <c r="D91" s="3">
        <v>1</v>
      </c>
      <c r="E91" s="4" t="s">
        <v>988</v>
      </c>
      <c r="F91" s="19" t="s">
        <v>35</v>
      </c>
      <c r="G91" s="10" t="s">
        <v>7</v>
      </c>
      <c r="H91" s="11">
        <v>5000</v>
      </c>
    </row>
    <row r="92" spans="1:8" ht="24.95" customHeight="1" x14ac:dyDescent="0.25">
      <c r="A92" s="74"/>
      <c r="B92" s="2">
        <v>45154</v>
      </c>
      <c r="C92" s="3">
        <v>2071479089</v>
      </c>
      <c r="D92" s="3">
        <v>2</v>
      </c>
      <c r="E92" s="4" t="s">
        <v>988</v>
      </c>
      <c r="F92" s="19" t="s">
        <v>397</v>
      </c>
      <c r="G92" s="10" t="s">
        <v>7</v>
      </c>
      <c r="H92" s="11">
        <v>10000</v>
      </c>
    </row>
    <row r="93" spans="1:8" ht="24.95" customHeight="1" x14ac:dyDescent="0.25">
      <c r="A93" s="74"/>
      <c r="B93" s="2">
        <v>45154</v>
      </c>
      <c r="C93" s="3">
        <v>535445952</v>
      </c>
      <c r="D93" s="3">
        <v>2</v>
      </c>
      <c r="E93" s="4" t="s">
        <v>988</v>
      </c>
      <c r="F93" s="19" t="s">
        <v>989</v>
      </c>
      <c r="G93" s="10" t="s">
        <v>7</v>
      </c>
      <c r="H93" s="11">
        <v>10000</v>
      </c>
    </row>
    <row r="94" spans="1:8" ht="24.95" customHeight="1" x14ac:dyDescent="0.25">
      <c r="A94" s="74"/>
      <c r="B94" s="2">
        <v>45154</v>
      </c>
      <c r="C94" s="3">
        <v>535445952</v>
      </c>
      <c r="D94" s="3">
        <v>2</v>
      </c>
      <c r="E94" s="4" t="s">
        <v>988</v>
      </c>
      <c r="F94" s="19" t="s">
        <v>990</v>
      </c>
      <c r="G94" s="10" t="s">
        <v>7</v>
      </c>
      <c r="H94" s="11">
        <v>10000</v>
      </c>
    </row>
    <row r="95" spans="1:8" ht="24.95" customHeight="1" x14ac:dyDescent="0.25">
      <c r="A95" s="74"/>
      <c r="B95" s="2">
        <v>45154</v>
      </c>
      <c r="C95" s="3">
        <v>535445952</v>
      </c>
      <c r="D95" s="3">
        <v>2</v>
      </c>
      <c r="E95" s="4" t="s">
        <v>988</v>
      </c>
      <c r="F95" s="19" t="s">
        <v>991</v>
      </c>
      <c r="G95" s="10" t="s">
        <v>7</v>
      </c>
      <c r="H95" s="11">
        <v>10000</v>
      </c>
    </row>
    <row r="96" spans="1:8" ht="24.95" customHeight="1" x14ac:dyDescent="0.25">
      <c r="A96" s="74"/>
      <c r="B96" s="2">
        <v>45156</v>
      </c>
      <c r="C96" s="3">
        <v>2591638306</v>
      </c>
      <c r="D96" s="3">
        <v>1</v>
      </c>
      <c r="E96" s="4" t="s">
        <v>988</v>
      </c>
      <c r="F96" s="19" t="s">
        <v>35</v>
      </c>
      <c r="G96" s="10" t="s">
        <v>28</v>
      </c>
      <c r="H96" s="11">
        <v>5000</v>
      </c>
    </row>
    <row r="97" spans="1:8" ht="24.95" customHeight="1" x14ac:dyDescent="0.25">
      <c r="A97" s="74"/>
      <c r="B97" s="2">
        <v>45161</v>
      </c>
      <c r="C97" s="3">
        <v>559959742</v>
      </c>
      <c r="D97" s="3">
        <v>2</v>
      </c>
      <c r="E97" s="4" t="s">
        <v>992</v>
      </c>
      <c r="F97" s="19" t="s">
        <v>35</v>
      </c>
      <c r="G97" s="10" t="s">
        <v>6</v>
      </c>
      <c r="H97" s="11">
        <v>10000</v>
      </c>
    </row>
    <row r="98" spans="1:8" ht="24.95" customHeight="1" x14ac:dyDescent="0.25">
      <c r="A98" s="74"/>
      <c r="B98" s="2">
        <v>45181</v>
      </c>
      <c r="C98" s="3">
        <v>19742888</v>
      </c>
      <c r="D98" s="3">
        <v>2</v>
      </c>
      <c r="E98" s="4" t="s">
        <v>1073</v>
      </c>
      <c r="F98" s="19" t="s">
        <v>35</v>
      </c>
      <c r="G98" s="10" t="s">
        <v>7</v>
      </c>
      <c r="H98" s="11">
        <v>10000</v>
      </c>
    </row>
    <row r="99" spans="1:8" ht="24.95" customHeight="1" x14ac:dyDescent="0.25">
      <c r="A99" s="74"/>
      <c r="B99" s="2">
        <v>45188</v>
      </c>
      <c r="C99" s="3">
        <v>3828174079</v>
      </c>
      <c r="D99" s="3">
        <v>2</v>
      </c>
      <c r="E99" s="4" t="s">
        <v>1074</v>
      </c>
      <c r="F99" s="19" t="s">
        <v>35</v>
      </c>
      <c r="G99" s="10" t="s">
        <v>7</v>
      </c>
      <c r="H99" s="11">
        <v>10000</v>
      </c>
    </row>
    <row r="100" spans="1:8" ht="24.95" customHeight="1" x14ac:dyDescent="0.25">
      <c r="A100" s="74"/>
      <c r="B100" s="2">
        <v>45194</v>
      </c>
      <c r="C100" s="3">
        <v>3753984464</v>
      </c>
      <c r="D100" s="3">
        <v>2</v>
      </c>
      <c r="E100" s="4" t="s">
        <v>1075</v>
      </c>
      <c r="F100" s="19" t="s">
        <v>35</v>
      </c>
      <c r="G100" s="10" t="s">
        <v>28</v>
      </c>
      <c r="H100" s="11">
        <v>10000</v>
      </c>
    </row>
    <row r="101" spans="1:8" ht="24.95" customHeight="1" x14ac:dyDescent="0.25">
      <c r="A101" s="74"/>
      <c r="B101" s="2">
        <v>45198</v>
      </c>
      <c r="C101" s="3">
        <v>2400407331</v>
      </c>
      <c r="D101" s="3">
        <v>2</v>
      </c>
      <c r="E101" s="4" t="s">
        <v>1023</v>
      </c>
      <c r="F101" s="19" t="s">
        <v>35</v>
      </c>
      <c r="G101" s="10" t="s">
        <v>1032</v>
      </c>
      <c r="H101" s="11">
        <v>10000</v>
      </c>
    </row>
    <row r="102" spans="1:8" ht="24.95" customHeight="1" x14ac:dyDescent="0.25">
      <c r="A102" s="74"/>
      <c r="B102" s="2">
        <v>45202</v>
      </c>
      <c r="C102" s="3">
        <v>3165275652</v>
      </c>
      <c r="D102" s="3">
        <v>2</v>
      </c>
      <c r="E102" s="4" t="s">
        <v>1160</v>
      </c>
      <c r="F102" s="19" t="s">
        <v>1161</v>
      </c>
      <c r="G102" s="10" t="s">
        <v>28</v>
      </c>
      <c r="H102" s="11">
        <v>10000</v>
      </c>
    </row>
    <row r="103" spans="1:8" ht="24.95" customHeight="1" x14ac:dyDescent="0.25">
      <c r="A103" s="74"/>
      <c r="B103" s="2">
        <v>45203</v>
      </c>
      <c r="C103" s="3">
        <v>2852405253</v>
      </c>
      <c r="D103" s="3">
        <v>3</v>
      </c>
      <c r="E103" s="4" t="s">
        <v>1162</v>
      </c>
      <c r="F103" s="19" t="s">
        <v>1161</v>
      </c>
      <c r="G103" s="10" t="s">
        <v>28</v>
      </c>
      <c r="H103" s="11">
        <v>15000</v>
      </c>
    </row>
    <row r="104" spans="1:8" ht="24.95" customHeight="1" x14ac:dyDescent="0.25">
      <c r="A104" s="74"/>
      <c r="B104" s="2">
        <v>45204</v>
      </c>
      <c r="C104" s="3">
        <v>2177191099</v>
      </c>
      <c r="D104" s="3">
        <v>3</v>
      </c>
      <c r="E104" s="4" t="s">
        <v>1163</v>
      </c>
      <c r="F104" s="19" t="s">
        <v>1164</v>
      </c>
      <c r="G104" s="10" t="s">
        <v>16</v>
      </c>
      <c r="H104" s="11">
        <v>15000</v>
      </c>
    </row>
    <row r="105" spans="1:8" ht="24.95" customHeight="1" x14ac:dyDescent="0.25">
      <c r="A105" s="74"/>
      <c r="B105" s="2">
        <v>45223</v>
      </c>
      <c r="C105" s="3">
        <v>3438166719</v>
      </c>
      <c r="D105" s="3">
        <v>2</v>
      </c>
      <c r="E105" s="4" t="s">
        <v>1165</v>
      </c>
      <c r="F105" s="19" t="s">
        <v>1166</v>
      </c>
      <c r="G105" s="10" t="s">
        <v>28</v>
      </c>
      <c r="H105" s="11">
        <v>10000</v>
      </c>
    </row>
    <row r="106" spans="1:8" ht="24.95" customHeight="1" x14ac:dyDescent="0.25">
      <c r="A106" s="74"/>
      <c r="B106" s="2">
        <v>45225</v>
      </c>
      <c r="C106" s="3">
        <v>4091889431</v>
      </c>
      <c r="D106" s="3">
        <v>3</v>
      </c>
      <c r="E106" s="4" t="s">
        <v>1145</v>
      </c>
      <c r="F106" s="19" t="s">
        <v>1166</v>
      </c>
      <c r="G106" s="10" t="s">
        <v>16</v>
      </c>
      <c r="H106" s="11">
        <v>15000</v>
      </c>
    </row>
    <row r="107" spans="1:8" ht="24.95" customHeight="1" x14ac:dyDescent="0.25">
      <c r="A107" s="74"/>
      <c r="B107" s="2">
        <v>45226</v>
      </c>
      <c r="C107" s="3">
        <v>2352826216</v>
      </c>
      <c r="D107" s="3">
        <v>1</v>
      </c>
      <c r="E107" s="4" t="s">
        <v>1167</v>
      </c>
      <c r="F107" s="19" t="s">
        <v>1166</v>
      </c>
      <c r="G107" s="10" t="s">
        <v>7</v>
      </c>
      <c r="H107" s="11">
        <v>5000</v>
      </c>
    </row>
    <row r="108" spans="1:8" ht="24.95" customHeight="1" x14ac:dyDescent="0.25">
      <c r="A108" s="74"/>
      <c r="B108" s="2">
        <v>45229</v>
      </c>
      <c r="C108" s="3">
        <v>3139454743</v>
      </c>
      <c r="D108" s="3">
        <v>2</v>
      </c>
      <c r="E108" s="4" t="s">
        <v>1168</v>
      </c>
      <c r="F108" s="19" t="s">
        <v>1166</v>
      </c>
      <c r="G108" s="10" t="s">
        <v>6</v>
      </c>
      <c r="H108" s="11">
        <v>10000</v>
      </c>
    </row>
    <row r="109" spans="1:8" ht="24.95" customHeight="1" x14ac:dyDescent="0.25">
      <c r="A109" s="74"/>
      <c r="B109" s="2">
        <v>45237</v>
      </c>
      <c r="C109" s="3">
        <v>3280356856</v>
      </c>
      <c r="D109" s="3">
        <v>2</v>
      </c>
      <c r="E109" s="4" t="s">
        <v>1215</v>
      </c>
      <c r="F109" s="19" t="s">
        <v>1218</v>
      </c>
      <c r="G109" s="10" t="s">
        <v>7</v>
      </c>
      <c r="H109" s="11">
        <v>10000</v>
      </c>
    </row>
    <row r="110" spans="1:8" ht="24.95" customHeight="1" x14ac:dyDescent="0.25">
      <c r="A110" s="74"/>
      <c r="B110" s="2">
        <v>45237</v>
      </c>
      <c r="C110" s="3">
        <v>1948272867</v>
      </c>
      <c r="D110" s="3">
        <v>3</v>
      </c>
      <c r="E110" s="4" t="s">
        <v>1201</v>
      </c>
      <c r="F110" s="19" t="s">
        <v>1219</v>
      </c>
      <c r="G110" s="10" t="s">
        <v>7</v>
      </c>
      <c r="H110" s="11">
        <v>15000</v>
      </c>
    </row>
    <row r="111" spans="1:8" ht="24.95" customHeight="1" x14ac:dyDescent="0.25">
      <c r="A111" s="74"/>
      <c r="B111" s="2">
        <v>45243</v>
      </c>
      <c r="C111" s="3">
        <v>4023340016</v>
      </c>
      <c r="D111" s="3">
        <v>2</v>
      </c>
      <c r="E111" s="4" t="s">
        <v>1286</v>
      </c>
      <c r="F111" s="19" t="s">
        <v>1287</v>
      </c>
      <c r="G111" s="10" t="s">
        <v>28</v>
      </c>
      <c r="H111" s="11">
        <v>10000</v>
      </c>
    </row>
    <row r="112" spans="1:8" ht="24.95" customHeight="1" x14ac:dyDescent="0.25">
      <c r="A112" s="74"/>
      <c r="B112" s="2">
        <v>45245</v>
      </c>
      <c r="C112" s="3">
        <v>3904716992</v>
      </c>
      <c r="D112" s="3">
        <v>2</v>
      </c>
      <c r="E112" s="4" t="s">
        <v>1288</v>
      </c>
      <c r="F112" s="19" t="s">
        <v>1219</v>
      </c>
      <c r="G112" s="10" t="s">
        <v>7</v>
      </c>
      <c r="H112" s="11">
        <v>10000</v>
      </c>
    </row>
    <row r="113" spans="1:8" ht="24.95" customHeight="1" x14ac:dyDescent="0.25">
      <c r="A113" s="74"/>
      <c r="B113" s="2">
        <v>45254</v>
      </c>
      <c r="C113" s="3">
        <v>1835286531</v>
      </c>
      <c r="D113" s="3">
        <v>1</v>
      </c>
      <c r="E113" s="4" t="s">
        <v>1248</v>
      </c>
      <c r="F113" s="19" t="s">
        <v>1219</v>
      </c>
      <c r="G113" s="10" t="s">
        <v>7</v>
      </c>
      <c r="H113" s="11">
        <v>5000</v>
      </c>
    </row>
    <row r="114" spans="1:8" ht="24.95" customHeight="1" x14ac:dyDescent="0.25">
      <c r="A114" s="74"/>
      <c r="B114" s="2">
        <v>45254</v>
      </c>
      <c r="C114" s="3">
        <v>3809559995</v>
      </c>
      <c r="D114" s="3">
        <v>2</v>
      </c>
      <c r="E114" s="4" t="s">
        <v>1249</v>
      </c>
      <c r="F114" s="19" t="s">
        <v>1219</v>
      </c>
      <c r="G114" s="10" t="s">
        <v>7</v>
      </c>
      <c r="H114" s="11">
        <v>10000</v>
      </c>
    </row>
    <row r="115" spans="1:8" ht="24.95" customHeight="1" x14ac:dyDescent="0.25">
      <c r="A115" s="74"/>
      <c r="B115" s="2">
        <v>45258</v>
      </c>
      <c r="C115" s="3">
        <v>3086045164</v>
      </c>
      <c r="D115" s="3">
        <v>2</v>
      </c>
      <c r="E115" s="4" t="s">
        <v>1289</v>
      </c>
      <c r="F115" s="19" t="s">
        <v>1219</v>
      </c>
      <c r="G115" s="10" t="s">
        <v>28</v>
      </c>
      <c r="H115" s="11">
        <v>10000</v>
      </c>
    </row>
    <row r="116" spans="1:8" ht="24.95" customHeight="1" x14ac:dyDescent="0.25">
      <c r="A116" s="74"/>
      <c r="B116" s="2">
        <v>45271</v>
      </c>
      <c r="C116" s="3">
        <v>1256475003</v>
      </c>
      <c r="D116" s="3">
        <v>2</v>
      </c>
      <c r="E116" s="4" t="s">
        <v>1446</v>
      </c>
      <c r="F116" s="19" t="s">
        <v>35</v>
      </c>
      <c r="G116" s="10" t="s">
        <v>28</v>
      </c>
      <c r="H116" s="11">
        <v>10000</v>
      </c>
    </row>
    <row r="117" spans="1:8" ht="24.95" customHeight="1" x14ac:dyDescent="0.25">
      <c r="A117" s="74"/>
      <c r="B117" s="2">
        <v>45272</v>
      </c>
      <c r="C117" s="3">
        <v>3530375743</v>
      </c>
      <c r="D117" s="3">
        <v>2</v>
      </c>
      <c r="E117" s="4" t="s">
        <v>1447</v>
      </c>
      <c r="F117" s="19" t="s">
        <v>35</v>
      </c>
      <c r="G117" s="10" t="s">
        <v>7</v>
      </c>
      <c r="H117" s="11">
        <v>10000</v>
      </c>
    </row>
    <row r="118" spans="1:8" ht="24.95" customHeight="1" x14ac:dyDescent="0.25">
      <c r="A118" s="74"/>
      <c r="B118" s="2">
        <v>45275</v>
      </c>
      <c r="C118" s="3">
        <v>1263158553</v>
      </c>
      <c r="D118" s="3">
        <v>2</v>
      </c>
      <c r="E118" s="4" t="s">
        <v>1448</v>
      </c>
      <c r="F118" s="19" t="s">
        <v>35</v>
      </c>
      <c r="G118" s="10" t="s">
        <v>6</v>
      </c>
      <c r="H118" s="11">
        <v>10000</v>
      </c>
    </row>
    <row r="119" spans="1:8" ht="24.95" customHeight="1" x14ac:dyDescent="0.25">
      <c r="A119" s="74"/>
      <c r="B119" s="2">
        <v>45278</v>
      </c>
      <c r="C119" s="3">
        <v>3977330738</v>
      </c>
      <c r="D119" s="3">
        <v>2</v>
      </c>
      <c r="E119" s="4" t="s">
        <v>1449</v>
      </c>
      <c r="F119" s="19" t="s">
        <v>1450</v>
      </c>
      <c r="G119" s="10" t="s">
        <v>7</v>
      </c>
      <c r="H119" s="11">
        <v>10000</v>
      </c>
    </row>
    <row r="120" spans="1:8" ht="24.95" customHeight="1" x14ac:dyDescent="0.25">
      <c r="A120" s="74"/>
      <c r="B120" s="2">
        <v>45279</v>
      </c>
      <c r="C120" s="3">
        <v>1916421311</v>
      </c>
      <c r="D120" s="3">
        <v>2</v>
      </c>
      <c r="E120" s="4" t="s">
        <v>1445</v>
      </c>
      <c r="F120" s="19" t="s">
        <v>35</v>
      </c>
      <c r="G120" s="10" t="s">
        <v>7</v>
      </c>
      <c r="H120" s="11">
        <v>10000</v>
      </c>
    </row>
    <row r="121" spans="1:8" ht="15.75" x14ac:dyDescent="0.25">
      <c r="A121" s="75"/>
      <c r="B121" s="13"/>
      <c r="C121" s="14"/>
      <c r="D121" s="14"/>
      <c r="E121" s="14" t="s">
        <v>5</v>
      </c>
      <c r="F121" s="15"/>
      <c r="G121" s="16"/>
      <c r="H121" s="23">
        <f>SUM(H3:H120)</f>
        <v>1182700</v>
      </c>
    </row>
  </sheetData>
  <autoFilter ref="B1:H121" xr:uid="{00000000-0009-0000-0000-00000E000000}"/>
  <mergeCells count="8">
    <mergeCell ref="A1:A121"/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"/>
  <sheetViews>
    <sheetView workbookViewId="0">
      <selection activeCell="E21" sqref="E21"/>
    </sheetView>
  </sheetViews>
  <sheetFormatPr baseColWidth="10" defaultColWidth="9.140625" defaultRowHeight="15" x14ac:dyDescent="0.25"/>
  <cols>
    <col min="1" max="1" width="18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29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40</v>
      </c>
      <c r="B1" s="65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4"/>
      <c r="B2" s="66"/>
      <c r="C2" s="67"/>
      <c r="D2" s="67"/>
      <c r="E2" s="67"/>
      <c r="F2" s="67"/>
      <c r="G2" s="61"/>
      <c r="H2" s="63"/>
    </row>
    <row r="3" spans="1:8" ht="20.100000000000001" customHeight="1" x14ac:dyDescent="0.25">
      <c r="A3" s="74"/>
      <c r="B3" s="2">
        <v>44974</v>
      </c>
      <c r="C3" s="3">
        <v>135104321</v>
      </c>
      <c r="D3" s="3">
        <v>2</v>
      </c>
      <c r="E3" s="4" t="s">
        <v>269</v>
      </c>
      <c r="F3" s="19" t="s">
        <v>40</v>
      </c>
      <c r="G3" s="10" t="s">
        <v>6</v>
      </c>
      <c r="H3" s="11">
        <v>1950</v>
      </c>
    </row>
    <row r="4" spans="1:8" ht="20.100000000000001" customHeight="1" x14ac:dyDescent="0.25">
      <c r="A4" s="74"/>
      <c r="B4" s="2">
        <v>44978</v>
      </c>
      <c r="C4" s="3">
        <v>496257727</v>
      </c>
      <c r="D4" s="3">
        <v>3</v>
      </c>
      <c r="E4" s="4" t="s">
        <v>270</v>
      </c>
      <c r="F4" s="19" t="s">
        <v>40</v>
      </c>
      <c r="G4" s="10" t="s">
        <v>6</v>
      </c>
      <c r="H4" s="11">
        <v>2550</v>
      </c>
    </row>
    <row r="5" spans="1:8" ht="20.100000000000001" customHeight="1" x14ac:dyDescent="0.25">
      <c r="A5" s="74"/>
      <c r="B5" s="2">
        <v>44978</v>
      </c>
      <c r="C5" s="3">
        <v>2865907652</v>
      </c>
      <c r="D5" s="3">
        <v>1</v>
      </c>
      <c r="E5" s="4" t="s">
        <v>271</v>
      </c>
      <c r="F5" s="19" t="s">
        <v>40</v>
      </c>
      <c r="G5" s="10" t="s">
        <v>14</v>
      </c>
      <c r="H5" s="11">
        <v>800</v>
      </c>
    </row>
    <row r="6" spans="1:8" ht="15.75" x14ac:dyDescent="0.25">
      <c r="A6" s="75"/>
      <c r="B6" s="13"/>
      <c r="C6" s="14"/>
      <c r="D6" s="14"/>
      <c r="E6" s="14" t="s">
        <v>5</v>
      </c>
      <c r="F6" s="15"/>
      <c r="G6" s="16"/>
      <c r="H6" s="23">
        <f>SUM(H3:H5)</f>
        <v>5300</v>
      </c>
    </row>
  </sheetData>
  <mergeCells count="8">
    <mergeCell ref="A1:A6"/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"/>
  <sheetViews>
    <sheetView workbookViewId="0">
      <selection activeCell="E13" sqref="E13"/>
    </sheetView>
  </sheetViews>
  <sheetFormatPr baseColWidth="10" defaultColWidth="9.140625" defaultRowHeight="15" x14ac:dyDescent="0.25"/>
  <cols>
    <col min="1" max="1" width="18.71093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60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42</v>
      </c>
      <c r="B1" s="71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4"/>
      <c r="B2" s="65"/>
      <c r="C2" s="67"/>
      <c r="D2" s="67"/>
      <c r="E2" s="67"/>
      <c r="F2" s="67"/>
      <c r="G2" s="61"/>
      <c r="H2" s="63"/>
    </row>
    <row r="3" spans="1:8" ht="30" x14ac:dyDescent="0.25">
      <c r="A3" s="74"/>
      <c r="B3" s="2">
        <v>44930</v>
      </c>
      <c r="C3" s="3">
        <v>3021422995</v>
      </c>
      <c r="D3" s="3">
        <v>6</v>
      </c>
      <c r="E3" s="4" t="s">
        <v>156</v>
      </c>
      <c r="F3" s="19" t="s">
        <v>185</v>
      </c>
      <c r="G3" s="10" t="s">
        <v>7</v>
      </c>
      <c r="H3" s="11">
        <v>1596</v>
      </c>
    </row>
    <row r="4" spans="1:8" ht="15.75" x14ac:dyDescent="0.25">
      <c r="A4" s="75"/>
      <c r="B4" s="13"/>
      <c r="C4" s="14"/>
      <c r="D4" s="14"/>
      <c r="E4" s="14" t="s">
        <v>5</v>
      </c>
      <c r="F4" s="15"/>
      <c r="G4" s="16"/>
      <c r="H4" s="23">
        <f>SUM(H3:H3)</f>
        <v>1596</v>
      </c>
    </row>
  </sheetData>
  <mergeCells count="8">
    <mergeCell ref="F1:F2"/>
    <mergeCell ref="G1:G2"/>
    <mergeCell ref="H1:H2"/>
    <mergeCell ref="A1:A4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2"/>
  <sheetViews>
    <sheetView workbookViewId="0">
      <selection activeCell="E19" sqref="E19"/>
    </sheetView>
  </sheetViews>
  <sheetFormatPr baseColWidth="10" defaultColWidth="9.140625" defaultRowHeight="15" x14ac:dyDescent="0.25"/>
  <cols>
    <col min="1" max="1" width="14.855468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2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44</v>
      </c>
      <c r="B1" s="71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4"/>
      <c r="B2" s="65"/>
      <c r="C2" s="67"/>
      <c r="D2" s="67"/>
      <c r="E2" s="67"/>
      <c r="F2" s="67"/>
      <c r="G2" s="61"/>
      <c r="H2" s="63"/>
    </row>
    <row r="3" spans="1:8" ht="15" customHeight="1" x14ac:dyDescent="0.25">
      <c r="A3" s="74"/>
      <c r="B3" s="2">
        <v>45135</v>
      </c>
      <c r="C3" s="3">
        <v>942162860</v>
      </c>
      <c r="D3" s="3">
        <v>1</v>
      </c>
      <c r="E3" s="4" t="s">
        <v>832</v>
      </c>
      <c r="F3" s="19" t="s">
        <v>833</v>
      </c>
      <c r="G3" s="10" t="s">
        <v>6</v>
      </c>
      <c r="H3" s="11">
        <v>3000</v>
      </c>
    </row>
    <row r="4" spans="1:8" ht="15" customHeight="1" x14ac:dyDescent="0.25">
      <c r="A4" s="74"/>
      <c r="B4" s="2">
        <v>45253</v>
      </c>
      <c r="C4" s="3">
        <v>2194294972</v>
      </c>
      <c r="D4" s="3">
        <v>2</v>
      </c>
      <c r="E4" s="4" t="s">
        <v>1245</v>
      </c>
      <c r="F4" s="19" t="s">
        <v>1290</v>
      </c>
      <c r="G4" s="10" t="s">
        <v>6</v>
      </c>
      <c r="H4" s="11">
        <v>5000</v>
      </c>
    </row>
    <row r="5" spans="1:8" ht="15" customHeight="1" x14ac:dyDescent="0.25">
      <c r="A5" s="74"/>
      <c r="B5" s="2">
        <v>45259</v>
      </c>
      <c r="C5" s="3">
        <v>1157187004</v>
      </c>
      <c r="D5" s="3">
        <v>2</v>
      </c>
      <c r="E5" s="4" t="s">
        <v>1291</v>
      </c>
      <c r="F5" s="19" t="s">
        <v>1290</v>
      </c>
      <c r="G5" s="10" t="s">
        <v>7</v>
      </c>
      <c r="H5" s="11">
        <v>5000</v>
      </c>
    </row>
    <row r="6" spans="1:8" ht="15" customHeight="1" x14ac:dyDescent="0.25">
      <c r="A6" s="74"/>
      <c r="B6" s="2">
        <v>45266</v>
      </c>
      <c r="C6" s="3">
        <v>2525646246</v>
      </c>
      <c r="D6" s="3">
        <v>1</v>
      </c>
      <c r="E6" s="4" t="s">
        <v>90</v>
      </c>
      <c r="F6" s="19" t="s">
        <v>833</v>
      </c>
      <c r="G6" s="10" t="s">
        <v>6</v>
      </c>
      <c r="H6" s="11">
        <v>2500</v>
      </c>
    </row>
    <row r="7" spans="1:8" ht="15" customHeight="1" x14ac:dyDescent="0.25">
      <c r="A7" s="74"/>
      <c r="B7" s="2">
        <v>45272</v>
      </c>
      <c r="C7" s="3">
        <v>2205044553</v>
      </c>
      <c r="D7" s="3">
        <v>1</v>
      </c>
      <c r="E7" s="4" t="s">
        <v>705</v>
      </c>
      <c r="F7" s="19" t="s">
        <v>1451</v>
      </c>
      <c r="G7" s="10" t="s">
        <v>7</v>
      </c>
      <c r="H7" s="11">
        <v>375</v>
      </c>
    </row>
    <row r="8" spans="1:8" ht="15" customHeight="1" x14ac:dyDescent="0.25">
      <c r="A8" s="74"/>
      <c r="B8" s="2">
        <v>45272</v>
      </c>
      <c r="C8" s="3">
        <v>1297172486</v>
      </c>
      <c r="D8" s="3">
        <v>1</v>
      </c>
      <c r="E8" s="4" t="s">
        <v>705</v>
      </c>
      <c r="F8" s="19" t="s">
        <v>1452</v>
      </c>
      <c r="G8" s="10" t="s">
        <v>7</v>
      </c>
      <c r="H8" s="11">
        <v>2125</v>
      </c>
    </row>
    <row r="9" spans="1:8" ht="15" customHeight="1" x14ac:dyDescent="0.25">
      <c r="A9" s="74"/>
      <c r="B9" s="2">
        <v>45272</v>
      </c>
      <c r="C9" s="3" t="s">
        <v>13</v>
      </c>
      <c r="D9" s="3">
        <v>1</v>
      </c>
      <c r="E9" s="4" t="s">
        <v>1465</v>
      </c>
      <c r="F9" s="19" t="s">
        <v>833</v>
      </c>
      <c r="G9" s="10" t="s">
        <v>14</v>
      </c>
      <c r="H9" s="11">
        <v>1250</v>
      </c>
    </row>
    <row r="10" spans="1:8" ht="15" customHeight="1" x14ac:dyDescent="0.25">
      <c r="A10" s="74"/>
      <c r="B10" s="2">
        <v>45273</v>
      </c>
      <c r="C10" s="3">
        <v>4105324177</v>
      </c>
      <c r="D10" s="3">
        <v>1</v>
      </c>
      <c r="E10" s="4" t="s">
        <v>1453</v>
      </c>
      <c r="F10" s="19" t="s">
        <v>833</v>
      </c>
      <c r="G10" s="10" t="s">
        <v>6</v>
      </c>
      <c r="H10" s="11">
        <v>2500</v>
      </c>
    </row>
    <row r="11" spans="1:8" ht="15" customHeight="1" x14ac:dyDescent="0.25">
      <c r="A11" s="74"/>
      <c r="B11" s="2">
        <v>45274</v>
      </c>
      <c r="C11" s="3">
        <v>1990544598</v>
      </c>
      <c r="D11" s="3">
        <v>1</v>
      </c>
      <c r="E11" s="4" t="s">
        <v>1454</v>
      </c>
      <c r="F11" s="19" t="s">
        <v>833</v>
      </c>
      <c r="G11" s="10" t="s">
        <v>7</v>
      </c>
      <c r="H11" s="11">
        <v>5000</v>
      </c>
    </row>
    <row r="12" spans="1:8" ht="15.75" x14ac:dyDescent="0.25">
      <c r="A12" s="75"/>
      <c r="B12" s="13"/>
      <c r="C12" s="14"/>
      <c r="D12" s="14"/>
      <c r="E12" s="14" t="s">
        <v>5</v>
      </c>
      <c r="F12" s="15"/>
      <c r="G12" s="16"/>
      <c r="H12" s="23">
        <f>SUM(H3:H11)</f>
        <v>26750</v>
      </c>
    </row>
  </sheetData>
  <mergeCells count="8">
    <mergeCell ref="A1:A12"/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71"/>
  <sheetViews>
    <sheetView tabSelected="1" topLeftCell="A127" workbookViewId="0">
      <selection activeCell="E172" sqref="E172"/>
    </sheetView>
  </sheetViews>
  <sheetFormatPr baseColWidth="10" defaultColWidth="9.140625" defaultRowHeight="15" x14ac:dyDescent="0.25"/>
  <cols>
    <col min="1" max="1" width="16.57031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2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47</v>
      </c>
      <c r="B1" s="65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4"/>
      <c r="B2" s="66"/>
      <c r="C2" s="67"/>
      <c r="D2" s="67"/>
      <c r="E2" s="67"/>
      <c r="F2" s="67"/>
      <c r="G2" s="61"/>
      <c r="H2" s="63"/>
    </row>
    <row r="3" spans="1:8" ht="15.75" x14ac:dyDescent="0.25">
      <c r="A3" s="74"/>
      <c r="B3" s="2">
        <v>44930</v>
      </c>
      <c r="C3" s="3">
        <v>3620160573</v>
      </c>
      <c r="D3" s="3">
        <v>3</v>
      </c>
      <c r="E3" s="4" t="s">
        <v>123</v>
      </c>
      <c r="F3" s="19" t="s">
        <v>45</v>
      </c>
      <c r="G3" s="10" t="s">
        <v>28</v>
      </c>
      <c r="H3" s="11">
        <v>2880</v>
      </c>
    </row>
    <row r="4" spans="1:8" ht="15.75" x14ac:dyDescent="0.25">
      <c r="A4" s="74"/>
      <c r="B4" s="2">
        <v>44949</v>
      </c>
      <c r="C4" s="3">
        <v>828653815</v>
      </c>
      <c r="D4" s="3">
        <v>3</v>
      </c>
      <c r="E4" s="4" t="s">
        <v>186</v>
      </c>
      <c r="F4" s="19" t="s">
        <v>45</v>
      </c>
      <c r="G4" s="10" t="s">
        <v>28</v>
      </c>
      <c r="H4" s="11">
        <v>3360</v>
      </c>
    </row>
    <row r="5" spans="1:8" ht="15.75" x14ac:dyDescent="0.25">
      <c r="A5" s="74"/>
      <c r="B5" s="2">
        <v>44952</v>
      </c>
      <c r="C5" s="3">
        <v>1869037945</v>
      </c>
      <c r="D5" s="3">
        <v>1</v>
      </c>
      <c r="E5" s="4" t="s">
        <v>94</v>
      </c>
      <c r="F5" s="19" t="s">
        <v>46</v>
      </c>
      <c r="G5" s="10" t="s">
        <v>16</v>
      </c>
      <c r="H5" s="11">
        <v>800</v>
      </c>
    </row>
    <row r="6" spans="1:8" ht="15.75" x14ac:dyDescent="0.25">
      <c r="A6" s="74"/>
      <c r="B6" s="2">
        <v>44958</v>
      </c>
      <c r="C6" s="3">
        <v>2348895448</v>
      </c>
      <c r="D6" s="3">
        <v>1</v>
      </c>
      <c r="E6" s="4" t="s">
        <v>272</v>
      </c>
      <c r="F6" s="19" t="s">
        <v>45</v>
      </c>
      <c r="G6" s="10" t="s">
        <v>6</v>
      </c>
      <c r="H6" s="11">
        <v>1600</v>
      </c>
    </row>
    <row r="7" spans="1:8" ht="15.75" x14ac:dyDescent="0.25">
      <c r="A7" s="74"/>
      <c r="B7" s="2">
        <v>44958</v>
      </c>
      <c r="C7" s="3">
        <v>2348895448</v>
      </c>
      <c r="D7" s="3">
        <v>1</v>
      </c>
      <c r="E7" s="4" t="s">
        <v>272</v>
      </c>
      <c r="F7" s="19" t="s">
        <v>273</v>
      </c>
      <c r="G7" s="10" t="s">
        <v>6</v>
      </c>
      <c r="H7" s="11">
        <v>1400</v>
      </c>
    </row>
    <row r="8" spans="1:8" ht="15.75" x14ac:dyDescent="0.25">
      <c r="A8" s="74"/>
      <c r="B8" s="2">
        <v>44958</v>
      </c>
      <c r="C8" s="3">
        <v>2348895448</v>
      </c>
      <c r="D8" s="3">
        <v>1</v>
      </c>
      <c r="E8" s="4" t="s">
        <v>272</v>
      </c>
      <c r="F8" s="19" t="s">
        <v>274</v>
      </c>
      <c r="G8" s="10" t="s">
        <v>6</v>
      </c>
      <c r="H8" s="11">
        <v>1500</v>
      </c>
    </row>
    <row r="9" spans="1:8" ht="15.75" x14ac:dyDescent="0.25">
      <c r="A9" s="74"/>
      <c r="B9" s="2">
        <v>44958</v>
      </c>
      <c r="C9" s="3">
        <v>2348895448</v>
      </c>
      <c r="D9" s="3">
        <v>1</v>
      </c>
      <c r="E9" s="4" t="s">
        <v>272</v>
      </c>
      <c r="F9" s="19" t="s">
        <v>275</v>
      </c>
      <c r="G9" s="10" t="s">
        <v>6</v>
      </c>
      <c r="H9" s="11">
        <v>1350</v>
      </c>
    </row>
    <row r="10" spans="1:8" ht="15.75" x14ac:dyDescent="0.25">
      <c r="A10" s="74"/>
      <c r="B10" s="2">
        <v>44958</v>
      </c>
      <c r="C10" s="3">
        <v>2348895448</v>
      </c>
      <c r="D10" s="3">
        <v>1</v>
      </c>
      <c r="E10" s="4" t="s">
        <v>272</v>
      </c>
      <c r="F10" s="19" t="s">
        <v>276</v>
      </c>
      <c r="G10" s="10" t="s">
        <v>6</v>
      </c>
      <c r="H10" s="11">
        <v>1600</v>
      </c>
    </row>
    <row r="11" spans="1:8" ht="15.75" x14ac:dyDescent="0.25">
      <c r="A11" s="74"/>
      <c r="B11" s="2">
        <v>44959</v>
      </c>
      <c r="C11" s="3">
        <v>484722330</v>
      </c>
      <c r="D11" s="3">
        <v>1</v>
      </c>
      <c r="E11" s="4" t="s">
        <v>43</v>
      </c>
      <c r="F11" s="19" t="s">
        <v>45</v>
      </c>
      <c r="G11" s="10" t="s">
        <v>28</v>
      </c>
      <c r="H11" s="11">
        <v>1600</v>
      </c>
    </row>
    <row r="12" spans="1:8" ht="15.75" x14ac:dyDescent="0.25">
      <c r="A12" s="74"/>
      <c r="B12" s="2">
        <v>44965</v>
      </c>
      <c r="C12" s="3">
        <v>2990883213</v>
      </c>
      <c r="D12" s="3">
        <v>3</v>
      </c>
      <c r="E12" s="4" t="s">
        <v>225</v>
      </c>
      <c r="F12" s="19" t="s">
        <v>45</v>
      </c>
      <c r="G12" s="10" t="s">
        <v>7</v>
      </c>
      <c r="H12" s="11">
        <v>3360</v>
      </c>
    </row>
    <row r="13" spans="1:8" ht="15.75" x14ac:dyDescent="0.25">
      <c r="A13" s="74"/>
      <c r="B13" s="2">
        <v>44967</v>
      </c>
      <c r="C13" s="3">
        <v>1075922045</v>
      </c>
      <c r="D13" s="3">
        <v>3</v>
      </c>
      <c r="E13" s="4" t="s">
        <v>277</v>
      </c>
      <c r="F13" s="19" t="s">
        <v>278</v>
      </c>
      <c r="G13" s="10" t="s">
        <v>6</v>
      </c>
      <c r="H13" s="11">
        <v>1800</v>
      </c>
    </row>
    <row r="14" spans="1:8" ht="15.75" x14ac:dyDescent="0.25">
      <c r="A14" s="74"/>
      <c r="B14" s="2">
        <v>44970</v>
      </c>
      <c r="C14" s="3">
        <v>133842754</v>
      </c>
      <c r="D14" s="3">
        <v>3</v>
      </c>
      <c r="E14" s="4" t="s">
        <v>234</v>
      </c>
      <c r="F14" s="19" t="s">
        <v>45</v>
      </c>
      <c r="G14" s="10" t="s">
        <v>7</v>
      </c>
      <c r="H14" s="11">
        <v>3360</v>
      </c>
    </row>
    <row r="15" spans="1:8" ht="15.75" x14ac:dyDescent="0.25">
      <c r="A15" s="74"/>
      <c r="B15" s="2">
        <v>44972</v>
      </c>
      <c r="C15" s="3">
        <v>3623897139</v>
      </c>
      <c r="D15" s="3">
        <v>3</v>
      </c>
      <c r="E15" s="4" t="s">
        <v>279</v>
      </c>
      <c r="F15" s="19" t="s">
        <v>45</v>
      </c>
      <c r="G15" s="10" t="s">
        <v>6</v>
      </c>
      <c r="H15" s="11">
        <v>3000</v>
      </c>
    </row>
    <row r="16" spans="1:8" ht="15.75" x14ac:dyDescent="0.25">
      <c r="A16" s="74"/>
      <c r="B16" s="2">
        <v>44977</v>
      </c>
      <c r="C16" s="3">
        <v>2847361366</v>
      </c>
      <c r="D16" s="3">
        <v>1</v>
      </c>
      <c r="E16" s="4" t="s">
        <v>280</v>
      </c>
      <c r="F16" s="19" t="s">
        <v>281</v>
      </c>
      <c r="G16" s="10" t="s">
        <v>14</v>
      </c>
      <c r="H16" s="11">
        <v>500</v>
      </c>
    </row>
    <row r="17" spans="1:8" ht="30" x14ac:dyDescent="0.25">
      <c r="A17" s="74"/>
      <c r="B17" s="2">
        <v>44977</v>
      </c>
      <c r="C17" s="3">
        <v>2847361366</v>
      </c>
      <c r="D17" s="3">
        <v>1</v>
      </c>
      <c r="E17" s="4" t="s">
        <v>280</v>
      </c>
      <c r="F17" s="19" t="s">
        <v>282</v>
      </c>
      <c r="G17" s="10" t="s">
        <v>11</v>
      </c>
      <c r="H17" s="11">
        <v>1100</v>
      </c>
    </row>
    <row r="18" spans="1:8" ht="15.75" x14ac:dyDescent="0.25">
      <c r="A18" s="74"/>
      <c r="B18" s="2">
        <v>44979</v>
      </c>
      <c r="C18" s="3">
        <v>559235892</v>
      </c>
      <c r="D18" s="3">
        <v>3</v>
      </c>
      <c r="E18" s="4" t="s">
        <v>283</v>
      </c>
      <c r="F18" s="19" t="s">
        <v>45</v>
      </c>
      <c r="G18" s="10" t="s">
        <v>6</v>
      </c>
      <c r="H18" s="11">
        <v>3000</v>
      </c>
    </row>
    <row r="19" spans="1:8" ht="15.75" x14ac:dyDescent="0.25">
      <c r="A19" s="74"/>
      <c r="B19" s="2">
        <v>44980</v>
      </c>
      <c r="C19" s="3">
        <v>2493991755</v>
      </c>
      <c r="D19" s="3">
        <v>1</v>
      </c>
      <c r="E19" s="4" t="s">
        <v>284</v>
      </c>
      <c r="F19" s="19" t="s">
        <v>46</v>
      </c>
      <c r="G19" s="10" t="s">
        <v>16</v>
      </c>
      <c r="H19" s="11">
        <v>800</v>
      </c>
    </row>
    <row r="20" spans="1:8" ht="15.75" x14ac:dyDescent="0.25">
      <c r="A20" s="74"/>
      <c r="B20" s="2">
        <v>44980</v>
      </c>
      <c r="C20" s="3">
        <v>764232959</v>
      </c>
      <c r="D20" s="3">
        <v>3</v>
      </c>
      <c r="E20" s="4" t="s">
        <v>43</v>
      </c>
      <c r="F20" s="19" t="s">
        <v>45</v>
      </c>
      <c r="G20" s="10" t="s">
        <v>6</v>
      </c>
      <c r="H20" s="11">
        <v>3000</v>
      </c>
    </row>
    <row r="21" spans="1:8" ht="15.75" x14ac:dyDescent="0.25">
      <c r="A21" s="74"/>
      <c r="B21" s="2">
        <v>44981</v>
      </c>
      <c r="C21" s="3">
        <v>3123921249</v>
      </c>
      <c r="D21" s="3">
        <v>3</v>
      </c>
      <c r="E21" s="4" t="s">
        <v>285</v>
      </c>
      <c r="F21" s="19" t="s">
        <v>45</v>
      </c>
      <c r="G21" s="10" t="s">
        <v>28</v>
      </c>
      <c r="H21" s="11">
        <v>3000</v>
      </c>
    </row>
    <row r="22" spans="1:8" ht="15.75" x14ac:dyDescent="0.25">
      <c r="A22" s="74"/>
      <c r="B22" s="2">
        <v>44984</v>
      </c>
      <c r="C22" s="3">
        <v>1003897088</v>
      </c>
      <c r="D22" s="3">
        <v>3</v>
      </c>
      <c r="E22" s="4" t="s">
        <v>286</v>
      </c>
      <c r="F22" s="19" t="s">
        <v>45</v>
      </c>
      <c r="G22" s="10" t="s">
        <v>6</v>
      </c>
      <c r="H22" s="11">
        <v>3000</v>
      </c>
    </row>
    <row r="23" spans="1:8" ht="15.75" x14ac:dyDescent="0.25">
      <c r="A23" s="74"/>
      <c r="B23" s="2">
        <v>44986</v>
      </c>
      <c r="C23" s="3">
        <v>166743469</v>
      </c>
      <c r="D23" s="3">
        <v>3</v>
      </c>
      <c r="E23" s="4" t="s">
        <v>406</v>
      </c>
      <c r="F23" s="19" t="s">
        <v>45</v>
      </c>
      <c r="G23" s="10" t="s">
        <v>6</v>
      </c>
      <c r="H23" s="11">
        <v>3000</v>
      </c>
    </row>
    <row r="24" spans="1:8" ht="15.75" x14ac:dyDescent="0.25">
      <c r="A24" s="74"/>
      <c r="B24" s="2">
        <v>44988</v>
      </c>
      <c r="C24" s="3">
        <v>3842982853</v>
      </c>
      <c r="D24" s="3">
        <v>2</v>
      </c>
      <c r="E24" s="4" t="s">
        <v>334</v>
      </c>
      <c r="F24" s="19" t="s">
        <v>45</v>
      </c>
      <c r="G24" s="10" t="s">
        <v>6</v>
      </c>
      <c r="H24" s="11">
        <v>2240</v>
      </c>
    </row>
    <row r="25" spans="1:8" ht="15.75" x14ac:dyDescent="0.25">
      <c r="A25" s="74"/>
      <c r="B25" s="2">
        <v>45007</v>
      </c>
      <c r="C25" s="3">
        <v>2014595898</v>
      </c>
      <c r="D25" s="3">
        <v>1</v>
      </c>
      <c r="E25" s="4" t="s">
        <v>43</v>
      </c>
      <c r="F25" s="19" t="s">
        <v>45</v>
      </c>
      <c r="G25" s="10" t="s">
        <v>7</v>
      </c>
      <c r="H25" s="11">
        <v>1600</v>
      </c>
    </row>
    <row r="26" spans="1:8" ht="30" x14ac:dyDescent="0.25">
      <c r="A26" s="74"/>
      <c r="B26" s="2">
        <v>45008</v>
      </c>
      <c r="C26" s="3">
        <v>592989588</v>
      </c>
      <c r="D26" s="3">
        <v>1</v>
      </c>
      <c r="E26" s="4" t="s">
        <v>407</v>
      </c>
      <c r="F26" s="19" t="s">
        <v>408</v>
      </c>
      <c r="G26" s="10" t="s">
        <v>7</v>
      </c>
      <c r="H26" s="11">
        <v>1000</v>
      </c>
    </row>
    <row r="27" spans="1:8" ht="15.75" x14ac:dyDescent="0.25">
      <c r="A27" s="74"/>
      <c r="B27" s="2">
        <v>45014</v>
      </c>
      <c r="C27" s="3">
        <v>1916619661</v>
      </c>
      <c r="D27" s="3">
        <v>3</v>
      </c>
      <c r="E27" s="4" t="s">
        <v>404</v>
      </c>
      <c r="F27" s="19" t="s">
        <v>45</v>
      </c>
      <c r="G27" s="10" t="s">
        <v>7</v>
      </c>
      <c r="H27" s="11">
        <v>3360</v>
      </c>
    </row>
    <row r="28" spans="1:8" ht="30" x14ac:dyDescent="0.25">
      <c r="A28" s="74"/>
      <c r="B28" s="2">
        <v>45030</v>
      </c>
      <c r="C28" s="3">
        <v>1962426740</v>
      </c>
      <c r="D28" s="3">
        <v>1</v>
      </c>
      <c r="E28" s="4" t="s">
        <v>576</v>
      </c>
      <c r="F28" s="19" t="s">
        <v>45</v>
      </c>
      <c r="G28" s="10" t="s">
        <v>14</v>
      </c>
      <c r="H28" s="11">
        <v>1000</v>
      </c>
    </row>
    <row r="29" spans="1:8" ht="30" x14ac:dyDescent="0.25">
      <c r="A29" s="74"/>
      <c r="B29" s="2">
        <v>45030</v>
      </c>
      <c r="C29" s="3">
        <v>1962426740</v>
      </c>
      <c r="D29" s="3">
        <v>1</v>
      </c>
      <c r="E29" s="4" t="s">
        <v>576</v>
      </c>
      <c r="F29" s="19" t="s">
        <v>577</v>
      </c>
      <c r="G29" s="10" t="s">
        <v>14</v>
      </c>
      <c r="H29" s="11">
        <v>500</v>
      </c>
    </row>
    <row r="30" spans="1:8" ht="30" x14ac:dyDescent="0.25">
      <c r="A30" s="74"/>
      <c r="B30" s="2">
        <v>45035</v>
      </c>
      <c r="C30" s="3">
        <v>2788769973</v>
      </c>
      <c r="D30" s="3">
        <v>1</v>
      </c>
      <c r="E30" s="4" t="s">
        <v>407</v>
      </c>
      <c r="F30" s="19" t="s">
        <v>578</v>
      </c>
      <c r="G30" s="10" t="s">
        <v>28</v>
      </c>
      <c r="H30" s="11">
        <v>600</v>
      </c>
    </row>
    <row r="31" spans="1:8" ht="15.75" x14ac:dyDescent="0.25">
      <c r="A31" s="74"/>
      <c r="B31" s="2">
        <v>45036</v>
      </c>
      <c r="C31" s="3">
        <v>2447525762</v>
      </c>
      <c r="D31" s="3">
        <v>1</v>
      </c>
      <c r="E31" s="4" t="s">
        <v>564</v>
      </c>
      <c r="F31" s="19" t="s">
        <v>273</v>
      </c>
      <c r="G31" s="10" t="s">
        <v>6</v>
      </c>
      <c r="H31" s="11">
        <v>1400</v>
      </c>
    </row>
    <row r="32" spans="1:8" ht="15.75" x14ac:dyDescent="0.25">
      <c r="A32" s="74"/>
      <c r="B32" s="2">
        <v>45036</v>
      </c>
      <c r="C32" s="3">
        <v>711347008</v>
      </c>
      <c r="D32" s="3">
        <v>1</v>
      </c>
      <c r="E32" s="4" t="s">
        <v>94</v>
      </c>
      <c r="F32" s="19" t="s">
        <v>579</v>
      </c>
      <c r="G32" s="10" t="s">
        <v>16</v>
      </c>
      <c r="H32" s="11">
        <v>800</v>
      </c>
    </row>
    <row r="33" spans="1:8" ht="15.75" x14ac:dyDescent="0.25">
      <c r="A33" s="74"/>
      <c r="B33" s="2">
        <v>45036</v>
      </c>
      <c r="C33" s="3">
        <v>2552907131</v>
      </c>
      <c r="D33" s="3">
        <v>1</v>
      </c>
      <c r="E33" s="4" t="s">
        <v>580</v>
      </c>
      <c r="F33" s="19" t="s">
        <v>45</v>
      </c>
      <c r="G33" s="10" t="s">
        <v>7</v>
      </c>
      <c r="H33" s="11">
        <v>1220</v>
      </c>
    </row>
    <row r="34" spans="1:8" ht="15.75" x14ac:dyDescent="0.25">
      <c r="A34" s="74"/>
      <c r="B34" s="2">
        <v>45042</v>
      </c>
      <c r="C34" s="3">
        <v>3409006256</v>
      </c>
      <c r="D34" s="3">
        <v>1</v>
      </c>
      <c r="E34" s="4" t="s">
        <v>581</v>
      </c>
      <c r="F34" s="19" t="s">
        <v>45</v>
      </c>
      <c r="G34" s="10" t="s">
        <v>6</v>
      </c>
      <c r="H34" s="11">
        <v>1000</v>
      </c>
    </row>
    <row r="35" spans="1:8" ht="30" x14ac:dyDescent="0.25">
      <c r="A35" s="74"/>
      <c r="B35" s="2">
        <v>45044</v>
      </c>
      <c r="C35" s="3">
        <v>1716735554</v>
      </c>
      <c r="D35" s="3">
        <v>1</v>
      </c>
      <c r="E35" s="4" t="s">
        <v>576</v>
      </c>
      <c r="F35" s="19" t="s">
        <v>582</v>
      </c>
      <c r="G35" s="10" t="s">
        <v>11</v>
      </c>
      <c r="H35" s="11">
        <v>500</v>
      </c>
    </row>
    <row r="36" spans="1:8" ht="30" x14ac:dyDescent="0.25">
      <c r="A36" s="74"/>
      <c r="B36" s="2">
        <v>45044</v>
      </c>
      <c r="C36" s="3">
        <v>1716735554</v>
      </c>
      <c r="D36" s="3">
        <v>1</v>
      </c>
      <c r="E36" s="4" t="s">
        <v>576</v>
      </c>
      <c r="F36" s="19" t="s">
        <v>45</v>
      </c>
      <c r="G36" s="10" t="s">
        <v>11</v>
      </c>
      <c r="H36" s="11">
        <v>1000</v>
      </c>
    </row>
    <row r="37" spans="1:8" ht="15.75" x14ac:dyDescent="0.25">
      <c r="A37" s="74"/>
      <c r="B37" s="2">
        <v>45048</v>
      </c>
      <c r="C37" s="3">
        <v>319441993</v>
      </c>
      <c r="D37" s="3">
        <v>1</v>
      </c>
      <c r="E37" s="4" t="s">
        <v>621</v>
      </c>
      <c r="F37" s="19" t="s">
        <v>273</v>
      </c>
      <c r="G37" s="10" t="s">
        <v>28</v>
      </c>
      <c r="H37" s="11">
        <v>900</v>
      </c>
    </row>
    <row r="38" spans="1:8" ht="15.75" x14ac:dyDescent="0.25">
      <c r="A38" s="74"/>
      <c r="B38" s="2">
        <v>45050</v>
      </c>
      <c r="C38" s="3">
        <v>4007611036</v>
      </c>
      <c r="D38" s="3">
        <v>4</v>
      </c>
      <c r="E38" s="4" t="s">
        <v>664</v>
      </c>
      <c r="F38" s="19" t="s">
        <v>45</v>
      </c>
      <c r="G38" s="10" t="s">
        <v>6</v>
      </c>
      <c r="H38" s="11">
        <v>4480</v>
      </c>
    </row>
    <row r="39" spans="1:8" ht="15.75" x14ac:dyDescent="0.25">
      <c r="A39" s="74"/>
      <c r="B39" s="2">
        <v>45055</v>
      </c>
      <c r="C39" s="3">
        <v>1037452307</v>
      </c>
      <c r="D39" s="3">
        <v>1</v>
      </c>
      <c r="E39" s="4" t="s">
        <v>651</v>
      </c>
      <c r="F39" s="19" t="s">
        <v>665</v>
      </c>
      <c r="G39" s="10" t="s">
        <v>6</v>
      </c>
      <c r="H39" s="11">
        <v>950</v>
      </c>
    </row>
    <row r="40" spans="1:8" ht="15.75" x14ac:dyDescent="0.25">
      <c r="A40" s="74"/>
      <c r="B40" s="2">
        <v>45057</v>
      </c>
      <c r="C40" s="3">
        <v>3814411844</v>
      </c>
      <c r="D40" s="3">
        <v>3</v>
      </c>
      <c r="E40" s="4" t="s">
        <v>666</v>
      </c>
      <c r="F40" s="19" t="s">
        <v>45</v>
      </c>
      <c r="G40" s="10" t="s">
        <v>7</v>
      </c>
      <c r="H40" s="11">
        <v>2400</v>
      </c>
    </row>
    <row r="41" spans="1:8" ht="15.75" x14ac:dyDescent="0.25">
      <c r="A41" s="74"/>
      <c r="B41" s="2">
        <v>45057</v>
      </c>
      <c r="C41" s="3">
        <v>3814411844</v>
      </c>
      <c r="D41" s="3">
        <v>3</v>
      </c>
      <c r="E41" s="4" t="s">
        <v>297</v>
      </c>
      <c r="F41" s="19" t="s">
        <v>45</v>
      </c>
      <c r="G41" s="10" t="s">
        <v>7</v>
      </c>
      <c r="H41" s="11">
        <v>2400</v>
      </c>
    </row>
    <row r="42" spans="1:8" ht="15.75" x14ac:dyDescent="0.25">
      <c r="A42" s="74"/>
      <c r="B42" s="2">
        <v>45057</v>
      </c>
      <c r="C42" s="3">
        <v>211962018</v>
      </c>
      <c r="D42" s="3">
        <v>2</v>
      </c>
      <c r="E42" s="4" t="s">
        <v>667</v>
      </c>
      <c r="F42" s="19" t="s">
        <v>45</v>
      </c>
      <c r="G42" s="10" t="s">
        <v>28</v>
      </c>
      <c r="H42" s="11">
        <v>1778</v>
      </c>
    </row>
    <row r="43" spans="1:8" ht="15.75" x14ac:dyDescent="0.25">
      <c r="A43" s="74"/>
      <c r="B43" s="2">
        <v>45057</v>
      </c>
      <c r="C43" s="3">
        <v>211962018</v>
      </c>
      <c r="D43" s="3">
        <v>1</v>
      </c>
      <c r="E43" s="4" t="s">
        <v>667</v>
      </c>
      <c r="F43" s="19" t="s">
        <v>45</v>
      </c>
      <c r="G43" s="10" t="s">
        <v>28</v>
      </c>
      <c r="H43" s="11">
        <v>890</v>
      </c>
    </row>
    <row r="44" spans="1:8" ht="15.75" x14ac:dyDescent="0.25">
      <c r="A44" s="74"/>
      <c r="B44" s="2">
        <v>45058</v>
      </c>
      <c r="C44" s="3">
        <v>2631287458</v>
      </c>
      <c r="D44" s="3">
        <v>2</v>
      </c>
      <c r="E44" s="4" t="s">
        <v>651</v>
      </c>
      <c r="F44" s="19" t="s">
        <v>45</v>
      </c>
      <c r="G44" s="10" t="s">
        <v>6</v>
      </c>
      <c r="H44" s="11">
        <v>1778</v>
      </c>
    </row>
    <row r="45" spans="1:8" ht="15.75" x14ac:dyDescent="0.25">
      <c r="A45" s="74"/>
      <c r="B45" s="2">
        <v>45058</v>
      </c>
      <c r="C45" s="3">
        <v>2631287458</v>
      </c>
      <c r="D45" s="3">
        <v>1</v>
      </c>
      <c r="E45" s="4" t="s">
        <v>651</v>
      </c>
      <c r="F45" s="19" t="s">
        <v>45</v>
      </c>
      <c r="G45" s="10" t="s">
        <v>6</v>
      </c>
      <c r="H45" s="11">
        <v>890</v>
      </c>
    </row>
    <row r="46" spans="1:8" ht="15.75" x14ac:dyDescent="0.25">
      <c r="A46" s="74"/>
      <c r="B46" s="2">
        <v>45061</v>
      </c>
      <c r="C46" s="3">
        <v>2696694181</v>
      </c>
      <c r="D46" s="3">
        <v>3</v>
      </c>
      <c r="E46" s="4" t="s">
        <v>108</v>
      </c>
      <c r="F46" s="19" t="s">
        <v>45</v>
      </c>
      <c r="G46" s="10" t="s">
        <v>11</v>
      </c>
      <c r="H46" s="11">
        <v>2400</v>
      </c>
    </row>
    <row r="47" spans="1:8" ht="15.75" x14ac:dyDescent="0.25">
      <c r="A47" s="74"/>
      <c r="B47" s="2">
        <v>45061</v>
      </c>
      <c r="C47" s="3">
        <v>2087145124</v>
      </c>
      <c r="D47" s="3">
        <v>2</v>
      </c>
      <c r="E47" s="4" t="s">
        <v>611</v>
      </c>
      <c r="F47" s="19" t="s">
        <v>45</v>
      </c>
      <c r="G47" s="10" t="s">
        <v>7</v>
      </c>
      <c r="H47" s="11">
        <v>2200</v>
      </c>
    </row>
    <row r="48" spans="1:8" ht="15.75" x14ac:dyDescent="0.25">
      <c r="A48" s="74"/>
      <c r="B48" s="2">
        <v>45061</v>
      </c>
      <c r="C48" s="3">
        <v>1365003707</v>
      </c>
      <c r="D48" s="3">
        <v>3</v>
      </c>
      <c r="E48" s="4" t="s">
        <v>645</v>
      </c>
      <c r="F48" s="19" t="s">
        <v>45</v>
      </c>
      <c r="G48" s="10" t="s">
        <v>7</v>
      </c>
      <c r="H48" s="11">
        <v>2688</v>
      </c>
    </row>
    <row r="49" spans="1:8" ht="15.75" x14ac:dyDescent="0.25">
      <c r="A49" s="74"/>
      <c r="B49" s="2">
        <v>45069</v>
      </c>
      <c r="C49" s="3">
        <v>3771680502</v>
      </c>
      <c r="D49" s="3">
        <v>3</v>
      </c>
      <c r="E49" s="4" t="s">
        <v>668</v>
      </c>
      <c r="F49" s="19" t="s">
        <v>45</v>
      </c>
      <c r="G49" s="10" t="s">
        <v>11</v>
      </c>
      <c r="H49" s="11">
        <v>2400</v>
      </c>
    </row>
    <row r="50" spans="1:8" ht="15.75" x14ac:dyDescent="0.25">
      <c r="A50" s="74"/>
      <c r="B50" s="2">
        <v>45069</v>
      </c>
      <c r="C50" s="3">
        <v>2070954684</v>
      </c>
      <c r="D50" s="3">
        <v>1</v>
      </c>
      <c r="E50" s="4" t="s">
        <v>94</v>
      </c>
      <c r="F50" s="19" t="s">
        <v>579</v>
      </c>
      <c r="G50" s="10" t="s">
        <v>16</v>
      </c>
      <c r="H50" s="11">
        <v>800</v>
      </c>
    </row>
    <row r="51" spans="1:8" ht="15.75" x14ac:dyDescent="0.25">
      <c r="A51" s="74"/>
      <c r="B51" s="2">
        <v>45069</v>
      </c>
      <c r="C51" s="3">
        <v>1167082082</v>
      </c>
      <c r="D51" s="3">
        <v>3</v>
      </c>
      <c r="E51" s="4" t="s">
        <v>669</v>
      </c>
      <c r="F51" s="19" t="s">
        <v>45</v>
      </c>
      <c r="G51" s="10" t="s">
        <v>28</v>
      </c>
      <c r="H51" s="11">
        <v>2688</v>
      </c>
    </row>
    <row r="52" spans="1:8" ht="15.75" x14ac:dyDescent="0.25">
      <c r="A52" s="74"/>
      <c r="B52" s="2">
        <v>45071</v>
      </c>
      <c r="C52" s="3">
        <v>1788036851</v>
      </c>
      <c r="D52" s="3">
        <v>3</v>
      </c>
      <c r="E52" s="4" t="s">
        <v>670</v>
      </c>
      <c r="F52" s="19" t="s">
        <v>45</v>
      </c>
      <c r="G52" s="10" t="s">
        <v>11</v>
      </c>
      <c r="H52" s="11">
        <v>2400</v>
      </c>
    </row>
    <row r="53" spans="1:8" ht="15.75" x14ac:dyDescent="0.25">
      <c r="A53" s="74"/>
      <c r="B53" s="2">
        <v>45072</v>
      </c>
      <c r="C53" s="3">
        <v>2946320206</v>
      </c>
      <c r="D53" s="3">
        <v>3</v>
      </c>
      <c r="E53" s="4" t="s">
        <v>671</v>
      </c>
      <c r="F53" s="19" t="s">
        <v>45</v>
      </c>
      <c r="G53" s="10" t="s">
        <v>11</v>
      </c>
      <c r="H53" s="11">
        <v>2400</v>
      </c>
    </row>
    <row r="54" spans="1:8" ht="15.75" x14ac:dyDescent="0.25">
      <c r="A54" s="74"/>
      <c r="B54" s="2">
        <v>45075</v>
      </c>
      <c r="C54" s="3">
        <v>83181822</v>
      </c>
      <c r="D54" s="3">
        <v>1</v>
      </c>
      <c r="E54" s="4" t="s">
        <v>672</v>
      </c>
      <c r="F54" s="19" t="s">
        <v>45</v>
      </c>
      <c r="G54" s="10" t="s">
        <v>7</v>
      </c>
      <c r="H54" s="11">
        <v>1000</v>
      </c>
    </row>
    <row r="55" spans="1:8" ht="15.75" x14ac:dyDescent="0.25">
      <c r="A55" s="74"/>
      <c r="B55" s="2">
        <v>45076</v>
      </c>
      <c r="C55" s="3">
        <v>2587575711</v>
      </c>
      <c r="D55" s="3">
        <v>1</v>
      </c>
      <c r="E55" s="4" t="s">
        <v>673</v>
      </c>
      <c r="F55" s="19" t="s">
        <v>674</v>
      </c>
      <c r="G55" s="10" t="s">
        <v>7</v>
      </c>
      <c r="H55" s="11">
        <v>1600</v>
      </c>
    </row>
    <row r="56" spans="1:8" ht="15.75" x14ac:dyDescent="0.25">
      <c r="A56" s="74"/>
      <c r="B56" s="2">
        <v>45076</v>
      </c>
      <c r="C56" s="3">
        <v>1956005445</v>
      </c>
      <c r="D56" s="3">
        <v>3</v>
      </c>
      <c r="E56" s="4" t="s">
        <v>675</v>
      </c>
      <c r="F56" s="19" t="s">
        <v>45</v>
      </c>
      <c r="G56" s="10" t="s">
        <v>11</v>
      </c>
      <c r="H56" s="11">
        <v>2400</v>
      </c>
    </row>
    <row r="57" spans="1:8" ht="15.75" x14ac:dyDescent="0.25">
      <c r="A57" s="74"/>
      <c r="B57" s="2">
        <v>45076</v>
      </c>
      <c r="C57" s="3">
        <v>1956005445</v>
      </c>
      <c r="D57" s="3">
        <v>2</v>
      </c>
      <c r="E57" s="4" t="s">
        <v>675</v>
      </c>
      <c r="F57" s="19" t="s">
        <v>273</v>
      </c>
      <c r="G57" s="10" t="s">
        <v>11</v>
      </c>
      <c r="H57" s="11">
        <v>1332</v>
      </c>
    </row>
    <row r="58" spans="1:8" ht="15.75" x14ac:dyDescent="0.25">
      <c r="A58" s="74"/>
      <c r="B58" s="2">
        <v>45076</v>
      </c>
      <c r="C58" s="3">
        <v>1956005445</v>
      </c>
      <c r="D58" s="3">
        <v>1</v>
      </c>
      <c r="E58" s="4" t="s">
        <v>675</v>
      </c>
      <c r="F58" s="19" t="s">
        <v>273</v>
      </c>
      <c r="G58" s="10" t="s">
        <v>11</v>
      </c>
      <c r="H58" s="11">
        <v>668</v>
      </c>
    </row>
    <row r="59" spans="1:8" ht="15.75" x14ac:dyDescent="0.25">
      <c r="A59" s="74"/>
      <c r="B59" s="2">
        <v>45077</v>
      </c>
      <c r="C59" s="3">
        <v>221858533</v>
      </c>
      <c r="D59" s="3">
        <v>3</v>
      </c>
      <c r="E59" s="4" t="s">
        <v>676</v>
      </c>
      <c r="F59" s="19" t="s">
        <v>45</v>
      </c>
      <c r="G59" s="10" t="s">
        <v>6</v>
      </c>
      <c r="H59" s="11">
        <v>3000</v>
      </c>
    </row>
    <row r="60" spans="1:8" ht="15.75" x14ac:dyDescent="0.25">
      <c r="A60" s="74"/>
      <c r="B60" s="2">
        <v>45078</v>
      </c>
      <c r="C60" s="3">
        <v>3522119651</v>
      </c>
      <c r="D60" s="3">
        <v>3</v>
      </c>
      <c r="E60" s="4" t="s">
        <v>1478</v>
      </c>
      <c r="F60" s="19" t="s">
        <v>45</v>
      </c>
      <c r="G60" s="10" t="s">
        <v>11</v>
      </c>
      <c r="H60" s="11">
        <v>2400</v>
      </c>
    </row>
    <row r="61" spans="1:8" ht="15.75" x14ac:dyDescent="0.25">
      <c r="A61" s="74"/>
      <c r="B61" s="2">
        <v>45078</v>
      </c>
      <c r="C61" s="3">
        <v>1564429837</v>
      </c>
      <c r="D61" s="3">
        <v>1</v>
      </c>
      <c r="E61" s="4" t="s">
        <v>666</v>
      </c>
      <c r="F61" s="19" t="s">
        <v>742</v>
      </c>
      <c r="G61" s="10" t="s">
        <v>7</v>
      </c>
      <c r="H61" s="11">
        <v>300</v>
      </c>
    </row>
    <row r="62" spans="1:8" ht="15.75" x14ac:dyDescent="0.25">
      <c r="A62" s="74"/>
      <c r="B62" s="2">
        <v>45090</v>
      </c>
      <c r="C62" s="3">
        <v>2665369517</v>
      </c>
      <c r="D62" s="3">
        <v>1</v>
      </c>
      <c r="E62" s="4" t="s">
        <v>709</v>
      </c>
      <c r="F62" s="19" t="s">
        <v>743</v>
      </c>
      <c r="G62" s="10" t="s">
        <v>7</v>
      </c>
      <c r="H62" s="11">
        <v>2000</v>
      </c>
    </row>
    <row r="63" spans="1:8" ht="30" x14ac:dyDescent="0.25">
      <c r="A63" s="74"/>
      <c r="B63" s="2">
        <v>45090</v>
      </c>
      <c r="C63" s="3">
        <v>2665369517</v>
      </c>
      <c r="D63" s="3">
        <v>1</v>
      </c>
      <c r="E63" s="4" t="s">
        <v>709</v>
      </c>
      <c r="F63" s="19" t="s">
        <v>744</v>
      </c>
      <c r="G63" s="10" t="s">
        <v>7</v>
      </c>
      <c r="H63" s="11">
        <v>1000</v>
      </c>
    </row>
    <row r="64" spans="1:8" ht="15.75" x14ac:dyDescent="0.25">
      <c r="A64" s="74"/>
      <c r="B64" s="2">
        <v>45090</v>
      </c>
      <c r="C64" s="3">
        <v>2014986318</v>
      </c>
      <c r="D64" s="3">
        <v>1</v>
      </c>
      <c r="E64" s="4" t="s">
        <v>437</v>
      </c>
      <c r="F64" s="19" t="s">
        <v>45</v>
      </c>
      <c r="G64" s="10" t="s">
        <v>11</v>
      </c>
      <c r="H64" s="11">
        <v>1600</v>
      </c>
    </row>
    <row r="65" spans="1:8" ht="15.75" x14ac:dyDescent="0.25">
      <c r="A65" s="74"/>
      <c r="B65" s="2">
        <v>45098</v>
      </c>
      <c r="C65" s="3">
        <v>2312609699</v>
      </c>
      <c r="D65" s="3">
        <v>1</v>
      </c>
      <c r="E65" s="4" t="s">
        <v>94</v>
      </c>
      <c r="F65" s="19" t="s">
        <v>45</v>
      </c>
      <c r="G65" s="10" t="s">
        <v>16</v>
      </c>
      <c r="H65" s="11">
        <v>800</v>
      </c>
    </row>
    <row r="66" spans="1:8" ht="15.75" x14ac:dyDescent="0.25">
      <c r="A66" s="74"/>
      <c r="B66" s="2">
        <v>45098</v>
      </c>
      <c r="C66" s="3">
        <v>345198690</v>
      </c>
      <c r="D66" s="3">
        <v>2</v>
      </c>
      <c r="E66" s="4" t="s">
        <v>295</v>
      </c>
      <c r="F66" s="19" t="s">
        <v>743</v>
      </c>
      <c r="G66" s="10" t="s">
        <v>28</v>
      </c>
      <c r="H66" s="11">
        <v>3800</v>
      </c>
    </row>
    <row r="67" spans="1:8" ht="15.75" x14ac:dyDescent="0.25">
      <c r="A67" s="74"/>
      <c r="B67" s="2">
        <v>45099</v>
      </c>
      <c r="C67" s="3">
        <v>1683177515</v>
      </c>
      <c r="D67" s="3">
        <v>2</v>
      </c>
      <c r="E67" s="4" t="s">
        <v>43</v>
      </c>
      <c r="F67" s="19" t="s">
        <v>743</v>
      </c>
      <c r="G67" s="10" t="s">
        <v>28</v>
      </c>
      <c r="H67" s="11">
        <v>3800</v>
      </c>
    </row>
    <row r="68" spans="1:8" ht="15.75" x14ac:dyDescent="0.25">
      <c r="A68" s="74"/>
      <c r="B68" s="2">
        <v>45100</v>
      </c>
      <c r="C68" s="3">
        <v>1437941989</v>
      </c>
      <c r="D68" s="3">
        <v>3</v>
      </c>
      <c r="E68" s="4" t="s">
        <v>41</v>
      </c>
      <c r="F68" s="19" t="s">
        <v>45</v>
      </c>
      <c r="G68" s="10" t="s">
        <v>6</v>
      </c>
      <c r="H68" s="11">
        <v>2400</v>
      </c>
    </row>
    <row r="69" spans="1:8" ht="15.75" x14ac:dyDescent="0.25">
      <c r="A69" s="74"/>
      <c r="B69" s="2">
        <v>45104</v>
      </c>
      <c r="C69" s="3">
        <v>988760668</v>
      </c>
      <c r="D69" s="3">
        <v>2</v>
      </c>
      <c r="E69" s="4" t="s">
        <v>734</v>
      </c>
      <c r="F69" s="19" t="s">
        <v>45</v>
      </c>
      <c r="G69" s="10" t="s">
        <v>6</v>
      </c>
      <c r="H69" s="11">
        <v>2878.4</v>
      </c>
    </row>
    <row r="70" spans="1:8" ht="15.75" x14ac:dyDescent="0.25">
      <c r="A70" s="74"/>
      <c r="B70" s="2">
        <v>45105</v>
      </c>
      <c r="C70" s="3">
        <v>2892448716</v>
      </c>
      <c r="D70" s="3">
        <v>1</v>
      </c>
      <c r="E70" s="4" t="s">
        <v>672</v>
      </c>
      <c r="F70" s="19" t="s">
        <v>45</v>
      </c>
      <c r="G70" s="10" t="s">
        <v>6</v>
      </c>
      <c r="H70" s="11">
        <v>1000</v>
      </c>
    </row>
    <row r="71" spans="1:8" ht="15.75" x14ac:dyDescent="0.25">
      <c r="A71" s="74"/>
      <c r="B71" s="2">
        <v>45105</v>
      </c>
      <c r="C71" s="3">
        <v>1598309211</v>
      </c>
      <c r="D71" s="3">
        <v>2</v>
      </c>
      <c r="E71" s="4" t="s">
        <v>671</v>
      </c>
      <c r="F71" s="19" t="s">
        <v>45</v>
      </c>
      <c r="G71" s="10" t="s">
        <v>11</v>
      </c>
      <c r="H71" s="11">
        <v>2600</v>
      </c>
    </row>
    <row r="72" spans="1:8" ht="30" x14ac:dyDescent="0.25">
      <c r="A72" s="74"/>
      <c r="B72" s="2">
        <v>45106</v>
      </c>
      <c r="C72" s="3">
        <v>2747156665</v>
      </c>
      <c r="D72" s="3">
        <v>2</v>
      </c>
      <c r="E72" s="4" t="s">
        <v>739</v>
      </c>
      <c r="F72" s="19" t="s">
        <v>45</v>
      </c>
      <c r="G72" s="10" t="s">
        <v>7</v>
      </c>
      <c r="H72" s="11">
        <v>2266</v>
      </c>
    </row>
    <row r="73" spans="1:8" ht="30" x14ac:dyDescent="0.25">
      <c r="A73" s="74"/>
      <c r="B73" s="2">
        <v>45106</v>
      </c>
      <c r="C73" s="3">
        <v>2747156665</v>
      </c>
      <c r="D73" s="3">
        <v>1</v>
      </c>
      <c r="E73" s="4" t="s">
        <v>739</v>
      </c>
      <c r="F73" s="19" t="s">
        <v>45</v>
      </c>
      <c r="G73" s="10" t="s">
        <v>7</v>
      </c>
      <c r="H73" s="11">
        <v>1134</v>
      </c>
    </row>
    <row r="74" spans="1:8" ht="15.75" x14ac:dyDescent="0.25">
      <c r="A74" s="74"/>
      <c r="B74" s="2">
        <v>45107</v>
      </c>
      <c r="C74" s="3">
        <v>2141212070</v>
      </c>
      <c r="D74" s="3">
        <v>3</v>
      </c>
      <c r="E74" s="4" t="s">
        <v>745</v>
      </c>
      <c r="F74" s="19" t="s">
        <v>45</v>
      </c>
      <c r="G74" s="10" t="s">
        <v>11</v>
      </c>
      <c r="H74" s="11">
        <v>3000</v>
      </c>
    </row>
    <row r="75" spans="1:8" ht="15.75" x14ac:dyDescent="0.25">
      <c r="A75" s="74"/>
      <c r="B75" s="2">
        <v>45112</v>
      </c>
      <c r="C75" s="3">
        <v>4250091701</v>
      </c>
      <c r="D75" s="3">
        <v>3</v>
      </c>
      <c r="E75" s="4" t="s">
        <v>191</v>
      </c>
      <c r="F75" s="19" t="s">
        <v>45</v>
      </c>
      <c r="G75" s="10" t="s">
        <v>7</v>
      </c>
      <c r="H75" s="11">
        <v>3000</v>
      </c>
    </row>
    <row r="76" spans="1:8" ht="15.75" x14ac:dyDescent="0.25">
      <c r="A76" s="74"/>
      <c r="B76" s="2">
        <v>45112</v>
      </c>
      <c r="C76" s="3">
        <v>1634878310</v>
      </c>
      <c r="D76" s="3">
        <v>3</v>
      </c>
      <c r="E76" s="4" t="s">
        <v>834</v>
      </c>
      <c r="F76" s="19" t="s">
        <v>45</v>
      </c>
      <c r="G76" s="10" t="s">
        <v>28</v>
      </c>
      <c r="H76" s="11">
        <v>3000</v>
      </c>
    </row>
    <row r="77" spans="1:8" ht="15.75" x14ac:dyDescent="0.25">
      <c r="A77" s="74"/>
      <c r="B77" s="2">
        <v>45113</v>
      </c>
      <c r="C77" s="3">
        <v>3871690244</v>
      </c>
      <c r="D77" s="3">
        <v>2</v>
      </c>
      <c r="E77" s="4" t="s">
        <v>272</v>
      </c>
      <c r="F77" s="19" t="s">
        <v>45</v>
      </c>
      <c r="G77" s="10" t="s">
        <v>7</v>
      </c>
      <c r="H77" s="11">
        <v>2600</v>
      </c>
    </row>
    <row r="78" spans="1:8" ht="15.75" x14ac:dyDescent="0.25">
      <c r="A78" s="74"/>
      <c r="B78" s="2">
        <v>45113</v>
      </c>
      <c r="C78" s="3">
        <v>3871690244</v>
      </c>
      <c r="D78" s="3">
        <v>2</v>
      </c>
      <c r="E78" s="4" t="s">
        <v>272</v>
      </c>
      <c r="F78" s="19" t="s">
        <v>45</v>
      </c>
      <c r="G78" s="10" t="s">
        <v>7</v>
      </c>
      <c r="H78" s="11">
        <v>2600</v>
      </c>
    </row>
    <row r="79" spans="1:8" ht="15.75" x14ac:dyDescent="0.25">
      <c r="A79" s="74"/>
      <c r="B79" s="2">
        <v>45114</v>
      </c>
      <c r="C79" s="3">
        <v>3490531432</v>
      </c>
      <c r="D79" s="3">
        <v>3</v>
      </c>
      <c r="E79" s="4" t="s">
        <v>835</v>
      </c>
      <c r="F79" s="19" t="s">
        <v>45</v>
      </c>
      <c r="G79" s="10" t="s">
        <v>7</v>
      </c>
      <c r="H79" s="11">
        <v>3000</v>
      </c>
    </row>
    <row r="80" spans="1:8" ht="15.75" x14ac:dyDescent="0.25">
      <c r="A80" s="74"/>
      <c r="B80" s="2">
        <v>45118</v>
      </c>
      <c r="C80" s="3">
        <v>3427551550</v>
      </c>
      <c r="D80" s="3">
        <v>3</v>
      </c>
      <c r="E80" s="4" t="s">
        <v>836</v>
      </c>
      <c r="F80" s="19" t="s">
        <v>45</v>
      </c>
      <c r="G80" s="10" t="s">
        <v>11</v>
      </c>
      <c r="H80" s="11">
        <v>3000</v>
      </c>
    </row>
    <row r="81" spans="1:8" ht="15.75" x14ac:dyDescent="0.25">
      <c r="A81" s="74"/>
      <c r="B81" s="2">
        <v>45118</v>
      </c>
      <c r="C81" s="3">
        <v>2111391586</v>
      </c>
      <c r="D81" s="3">
        <v>3</v>
      </c>
      <c r="E81" s="4" t="s">
        <v>821</v>
      </c>
      <c r="F81" s="19" t="s">
        <v>45</v>
      </c>
      <c r="G81" s="10" t="s">
        <v>7</v>
      </c>
      <c r="H81" s="11">
        <v>3000</v>
      </c>
    </row>
    <row r="82" spans="1:8" ht="15.75" x14ac:dyDescent="0.25">
      <c r="A82" s="74"/>
      <c r="B82" s="2">
        <v>45118</v>
      </c>
      <c r="C82" s="3">
        <v>3524218724</v>
      </c>
      <c r="D82" s="3">
        <v>3</v>
      </c>
      <c r="E82" s="4" t="s">
        <v>830</v>
      </c>
      <c r="F82" s="19" t="s">
        <v>45</v>
      </c>
      <c r="G82" s="10" t="s">
        <v>7</v>
      </c>
      <c r="H82" s="11">
        <v>3000</v>
      </c>
    </row>
    <row r="83" spans="1:8" ht="15.75" x14ac:dyDescent="0.25">
      <c r="A83" s="74"/>
      <c r="B83" s="2">
        <v>45118</v>
      </c>
      <c r="C83" s="3">
        <v>1139360929</v>
      </c>
      <c r="D83" s="3">
        <v>3</v>
      </c>
      <c r="E83" s="4" t="s">
        <v>812</v>
      </c>
      <c r="F83" s="19" t="s">
        <v>45</v>
      </c>
      <c r="G83" s="10" t="s">
        <v>7</v>
      </c>
      <c r="H83" s="11">
        <v>3000</v>
      </c>
    </row>
    <row r="84" spans="1:8" ht="15.75" x14ac:dyDescent="0.25">
      <c r="A84" s="74"/>
      <c r="B84" s="2">
        <v>45119</v>
      </c>
      <c r="C84" s="3">
        <v>1481920057</v>
      </c>
      <c r="D84" s="3">
        <v>3</v>
      </c>
      <c r="E84" s="4" t="s">
        <v>837</v>
      </c>
      <c r="F84" s="19" t="s">
        <v>45</v>
      </c>
      <c r="G84" s="10" t="s">
        <v>28</v>
      </c>
      <c r="H84" s="11">
        <v>3000</v>
      </c>
    </row>
    <row r="85" spans="1:8" ht="15.75" x14ac:dyDescent="0.25">
      <c r="A85" s="74"/>
      <c r="B85" s="2">
        <v>45125</v>
      </c>
      <c r="C85" s="3">
        <v>3176480898</v>
      </c>
      <c r="D85" s="3">
        <v>3</v>
      </c>
      <c r="E85" s="4" t="s">
        <v>244</v>
      </c>
      <c r="F85" s="19" t="s">
        <v>45</v>
      </c>
      <c r="G85" s="10" t="s">
        <v>28</v>
      </c>
      <c r="H85" s="11">
        <v>3000</v>
      </c>
    </row>
    <row r="86" spans="1:8" ht="15.75" x14ac:dyDescent="0.25">
      <c r="A86" s="74"/>
      <c r="B86" s="2">
        <v>45126</v>
      </c>
      <c r="C86" s="3">
        <v>1741112446</v>
      </c>
      <c r="D86" s="3">
        <v>3</v>
      </c>
      <c r="E86" s="4" t="s">
        <v>838</v>
      </c>
      <c r="F86" s="19" t="s">
        <v>45</v>
      </c>
      <c r="G86" s="10" t="s">
        <v>7</v>
      </c>
      <c r="H86" s="11">
        <v>3000</v>
      </c>
    </row>
    <row r="87" spans="1:8" ht="15.75" x14ac:dyDescent="0.25">
      <c r="A87" s="74"/>
      <c r="B87" s="2">
        <v>45128</v>
      </c>
      <c r="C87" s="3">
        <v>2184659409</v>
      </c>
      <c r="D87" s="3">
        <v>3</v>
      </c>
      <c r="E87" s="4" t="s">
        <v>824</v>
      </c>
      <c r="F87" s="19" t="s">
        <v>45</v>
      </c>
      <c r="G87" s="10" t="s">
        <v>6</v>
      </c>
      <c r="H87" s="11">
        <v>3000</v>
      </c>
    </row>
    <row r="88" spans="1:8" ht="15.75" x14ac:dyDescent="0.25">
      <c r="A88" s="74"/>
      <c r="B88" s="2">
        <v>45131</v>
      </c>
      <c r="C88" s="3">
        <v>672416924</v>
      </c>
      <c r="D88" s="3">
        <v>3</v>
      </c>
      <c r="E88" s="4" t="s">
        <v>800</v>
      </c>
      <c r="F88" s="19" t="s">
        <v>45</v>
      </c>
      <c r="G88" s="10" t="s">
        <v>7</v>
      </c>
      <c r="H88" s="11">
        <v>3000</v>
      </c>
    </row>
    <row r="89" spans="1:8" ht="15.75" x14ac:dyDescent="0.25">
      <c r="A89" s="74"/>
      <c r="B89" s="2">
        <v>45132</v>
      </c>
      <c r="C89" s="3">
        <v>259409504</v>
      </c>
      <c r="D89" s="3">
        <v>1</v>
      </c>
      <c r="E89" s="4" t="s">
        <v>673</v>
      </c>
      <c r="F89" s="19" t="s">
        <v>45</v>
      </c>
      <c r="G89" s="10" t="s">
        <v>6</v>
      </c>
      <c r="H89" s="11">
        <v>1600</v>
      </c>
    </row>
    <row r="90" spans="1:8" ht="15.75" x14ac:dyDescent="0.25">
      <c r="A90" s="74"/>
      <c r="B90" s="2">
        <v>45132</v>
      </c>
      <c r="C90" s="3">
        <v>1507413994</v>
      </c>
      <c r="D90" s="3">
        <v>3</v>
      </c>
      <c r="E90" s="4" t="s">
        <v>839</v>
      </c>
      <c r="F90" s="19" t="s">
        <v>45</v>
      </c>
      <c r="G90" s="10" t="s">
        <v>7</v>
      </c>
      <c r="H90" s="11">
        <v>3000</v>
      </c>
    </row>
    <row r="91" spans="1:8" ht="30" x14ac:dyDescent="0.25">
      <c r="A91" s="74"/>
      <c r="B91" s="2">
        <v>45132</v>
      </c>
      <c r="C91" s="3">
        <v>1420902486</v>
      </c>
      <c r="D91" s="3">
        <v>3</v>
      </c>
      <c r="E91" s="4" t="s">
        <v>818</v>
      </c>
      <c r="F91" s="19" t="s">
        <v>45</v>
      </c>
      <c r="G91" s="10" t="s">
        <v>7</v>
      </c>
      <c r="H91" s="11">
        <v>3300</v>
      </c>
    </row>
    <row r="92" spans="1:8" ht="15.75" x14ac:dyDescent="0.25">
      <c r="A92" s="74"/>
      <c r="B92" s="2">
        <v>45132</v>
      </c>
      <c r="C92" s="3">
        <v>1744063022</v>
      </c>
      <c r="D92" s="3">
        <v>3</v>
      </c>
      <c r="E92" s="4" t="s">
        <v>819</v>
      </c>
      <c r="F92" s="19" t="s">
        <v>45</v>
      </c>
      <c r="G92" s="10" t="s">
        <v>7</v>
      </c>
      <c r="H92" s="11">
        <v>3300</v>
      </c>
    </row>
    <row r="93" spans="1:8" ht="15.75" x14ac:dyDescent="0.25">
      <c r="A93" s="74"/>
      <c r="B93" s="2">
        <v>45140</v>
      </c>
      <c r="C93" s="3">
        <v>1058949859</v>
      </c>
      <c r="D93" s="3">
        <v>3</v>
      </c>
      <c r="E93" s="4" t="s">
        <v>981</v>
      </c>
      <c r="F93" s="19" t="s">
        <v>45</v>
      </c>
      <c r="G93" s="10" t="s">
        <v>7</v>
      </c>
      <c r="H93" s="11">
        <v>3300</v>
      </c>
    </row>
    <row r="94" spans="1:8" ht="15.75" x14ac:dyDescent="0.25">
      <c r="A94" s="74"/>
      <c r="B94" s="2">
        <v>45140</v>
      </c>
      <c r="C94" s="3">
        <v>2259632809</v>
      </c>
      <c r="D94" s="3">
        <v>1</v>
      </c>
      <c r="E94" s="4" t="s">
        <v>284</v>
      </c>
      <c r="F94" s="19" t="s">
        <v>579</v>
      </c>
      <c r="G94" s="10" t="s">
        <v>16</v>
      </c>
      <c r="H94" s="11">
        <v>800</v>
      </c>
    </row>
    <row r="95" spans="1:8" ht="15.75" x14ac:dyDescent="0.25">
      <c r="A95" s="74"/>
      <c r="B95" s="2">
        <v>45145</v>
      </c>
      <c r="C95" s="3">
        <v>674776753</v>
      </c>
      <c r="D95" s="3">
        <v>3</v>
      </c>
      <c r="E95" s="4" t="s">
        <v>954</v>
      </c>
      <c r="F95" s="19" t="s">
        <v>743</v>
      </c>
      <c r="G95" s="10" t="s">
        <v>7</v>
      </c>
      <c r="H95" s="11">
        <v>4800</v>
      </c>
    </row>
    <row r="96" spans="1:8" ht="15.75" x14ac:dyDescent="0.25">
      <c r="A96" s="74"/>
      <c r="B96" s="2">
        <v>45146</v>
      </c>
      <c r="C96" s="3">
        <v>2372487029</v>
      </c>
      <c r="D96" s="3">
        <v>1</v>
      </c>
      <c r="E96" s="4" t="s">
        <v>993</v>
      </c>
      <c r="F96" s="19" t="s">
        <v>46</v>
      </c>
      <c r="G96" s="10" t="s">
        <v>7</v>
      </c>
      <c r="H96" s="11">
        <v>1000</v>
      </c>
    </row>
    <row r="97" spans="1:8" ht="15.75" x14ac:dyDescent="0.25">
      <c r="A97" s="74"/>
      <c r="B97" s="2">
        <v>45146</v>
      </c>
      <c r="C97" s="3">
        <v>4139207465</v>
      </c>
      <c r="D97" s="3">
        <v>2</v>
      </c>
      <c r="E97" s="4" t="s">
        <v>982</v>
      </c>
      <c r="F97" s="19" t="s">
        <v>45</v>
      </c>
      <c r="G97" s="10" t="s">
        <v>6</v>
      </c>
      <c r="H97" s="11">
        <v>2200</v>
      </c>
    </row>
    <row r="98" spans="1:8" ht="30" x14ac:dyDescent="0.25">
      <c r="A98" s="74"/>
      <c r="B98" s="2">
        <v>45154</v>
      </c>
      <c r="C98" s="3">
        <v>535445952</v>
      </c>
      <c r="D98" s="3">
        <v>1</v>
      </c>
      <c r="E98" s="4" t="s">
        <v>988</v>
      </c>
      <c r="F98" s="19" t="s">
        <v>743</v>
      </c>
      <c r="G98" s="10" t="s">
        <v>7</v>
      </c>
      <c r="H98" s="11">
        <v>1100</v>
      </c>
    </row>
    <row r="99" spans="1:8" ht="30" x14ac:dyDescent="0.25">
      <c r="A99" s="74"/>
      <c r="B99" s="2">
        <v>45154</v>
      </c>
      <c r="C99" s="3">
        <v>1395279651</v>
      </c>
      <c r="D99" s="3">
        <v>3</v>
      </c>
      <c r="E99" s="4" t="s">
        <v>987</v>
      </c>
      <c r="F99" s="19" t="s">
        <v>45</v>
      </c>
      <c r="G99" s="10" t="s">
        <v>7</v>
      </c>
      <c r="H99" s="11">
        <v>3300</v>
      </c>
    </row>
    <row r="100" spans="1:8" ht="30" x14ac:dyDescent="0.25">
      <c r="A100" s="74"/>
      <c r="B100" s="2">
        <v>45154</v>
      </c>
      <c r="C100" s="3">
        <v>275858399</v>
      </c>
      <c r="D100" s="3">
        <v>3</v>
      </c>
      <c r="E100" s="4" t="s">
        <v>985</v>
      </c>
      <c r="F100" s="19" t="s">
        <v>45</v>
      </c>
      <c r="G100" s="10" t="s">
        <v>7</v>
      </c>
      <c r="H100" s="11">
        <v>3300</v>
      </c>
    </row>
    <row r="101" spans="1:8" ht="15.75" x14ac:dyDescent="0.25">
      <c r="A101" s="74"/>
      <c r="B101" s="2">
        <v>45155</v>
      </c>
      <c r="C101" s="3">
        <v>619727175</v>
      </c>
      <c r="D101" s="3">
        <v>3</v>
      </c>
      <c r="E101" s="4" t="s">
        <v>986</v>
      </c>
      <c r="F101" s="19" t="s">
        <v>45</v>
      </c>
      <c r="G101" s="10" t="s">
        <v>28</v>
      </c>
      <c r="H101" s="11">
        <v>3300</v>
      </c>
    </row>
    <row r="102" spans="1:8" ht="15.75" x14ac:dyDescent="0.25">
      <c r="A102" s="74"/>
      <c r="B102" s="2">
        <v>45161</v>
      </c>
      <c r="C102" s="3">
        <v>559959742</v>
      </c>
      <c r="D102" s="3">
        <v>3</v>
      </c>
      <c r="E102" s="4" t="s">
        <v>992</v>
      </c>
      <c r="F102" s="19" t="s">
        <v>45</v>
      </c>
      <c r="G102" s="10" t="s">
        <v>6</v>
      </c>
      <c r="H102" s="11">
        <v>3000</v>
      </c>
    </row>
    <row r="103" spans="1:8" ht="15.75" x14ac:dyDescent="0.25">
      <c r="A103" s="74"/>
      <c r="B103" s="2">
        <v>45167</v>
      </c>
      <c r="C103" s="3">
        <v>4114697761</v>
      </c>
      <c r="D103" s="3">
        <v>3</v>
      </c>
      <c r="E103" s="4" t="s">
        <v>994</v>
      </c>
      <c r="F103" s="19" t="s">
        <v>743</v>
      </c>
      <c r="G103" s="10" t="s">
        <v>14</v>
      </c>
      <c r="H103" s="11">
        <v>4800</v>
      </c>
    </row>
    <row r="104" spans="1:8" ht="15.75" x14ac:dyDescent="0.25">
      <c r="A104" s="74"/>
      <c r="B104" s="2">
        <v>45173</v>
      </c>
      <c r="C104" s="3">
        <v>1410747146</v>
      </c>
      <c r="D104" s="3">
        <v>1</v>
      </c>
      <c r="E104" s="4" t="s">
        <v>1076</v>
      </c>
      <c r="F104" s="19" t="s">
        <v>1077</v>
      </c>
      <c r="G104" s="10" t="s">
        <v>28</v>
      </c>
      <c r="H104" s="11">
        <v>934</v>
      </c>
    </row>
    <row r="105" spans="1:8" ht="15.75" x14ac:dyDescent="0.25">
      <c r="A105" s="74"/>
      <c r="B105" s="2">
        <v>45173</v>
      </c>
      <c r="C105" s="3">
        <v>1410747146</v>
      </c>
      <c r="D105" s="3">
        <v>2</v>
      </c>
      <c r="E105" s="4" t="s">
        <v>1076</v>
      </c>
      <c r="F105" s="19" t="s">
        <v>1077</v>
      </c>
      <c r="G105" s="10" t="s">
        <v>28</v>
      </c>
      <c r="H105" s="11">
        <v>1866</v>
      </c>
    </row>
    <row r="106" spans="1:8" ht="15.75" x14ac:dyDescent="0.25">
      <c r="A106" s="74"/>
      <c r="B106" s="2">
        <v>45175</v>
      </c>
      <c r="C106" s="3">
        <v>1361593560</v>
      </c>
      <c r="D106" s="3">
        <v>2</v>
      </c>
      <c r="E106" s="4" t="s">
        <v>1078</v>
      </c>
      <c r="F106" s="19" t="s">
        <v>45</v>
      </c>
      <c r="G106" s="10" t="s">
        <v>28</v>
      </c>
      <c r="H106" s="11">
        <v>1866</v>
      </c>
    </row>
    <row r="107" spans="1:8" ht="15.75" x14ac:dyDescent="0.25">
      <c r="A107" s="74"/>
      <c r="B107" s="2">
        <v>45175</v>
      </c>
      <c r="C107" s="3">
        <v>1361593560</v>
      </c>
      <c r="D107" s="3">
        <v>1</v>
      </c>
      <c r="E107" s="4" t="s">
        <v>1078</v>
      </c>
      <c r="F107" s="19" t="s">
        <v>45</v>
      </c>
      <c r="G107" s="10" t="s">
        <v>28</v>
      </c>
      <c r="H107" s="11">
        <v>934</v>
      </c>
    </row>
    <row r="108" spans="1:8" ht="15.75" x14ac:dyDescent="0.25">
      <c r="A108" s="74"/>
      <c r="B108" s="2">
        <v>45176</v>
      </c>
      <c r="C108" s="3">
        <v>97049123</v>
      </c>
      <c r="D108" s="3">
        <v>2</v>
      </c>
      <c r="E108" s="4" t="s">
        <v>1079</v>
      </c>
      <c r="F108" s="19" t="s">
        <v>1077</v>
      </c>
      <c r="G108" s="10" t="s">
        <v>7</v>
      </c>
      <c r="H108" s="11">
        <v>1866</v>
      </c>
    </row>
    <row r="109" spans="1:8" ht="15.75" x14ac:dyDescent="0.25">
      <c r="A109" s="74"/>
      <c r="B109" s="2">
        <v>45176</v>
      </c>
      <c r="C109" s="3">
        <v>97049123</v>
      </c>
      <c r="D109" s="3">
        <v>1</v>
      </c>
      <c r="E109" s="4" t="s">
        <v>1079</v>
      </c>
      <c r="F109" s="19" t="s">
        <v>1077</v>
      </c>
      <c r="G109" s="10" t="s">
        <v>7</v>
      </c>
      <c r="H109" s="11">
        <v>934</v>
      </c>
    </row>
    <row r="110" spans="1:8" ht="15.75" x14ac:dyDescent="0.25">
      <c r="A110" s="74"/>
      <c r="B110" s="2">
        <v>45176</v>
      </c>
      <c r="C110" s="3">
        <v>4187246477</v>
      </c>
      <c r="D110" s="3">
        <v>2</v>
      </c>
      <c r="E110" s="4" t="s">
        <v>1080</v>
      </c>
      <c r="F110" s="19" t="s">
        <v>1077</v>
      </c>
      <c r="G110" s="10" t="s">
        <v>28</v>
      </c>
      <c r="H110" s="11">
        <v>1866</v>
      </c>
    </row>
    <row r="111" spans="1:8" ht="15.75" x14ac:dyDescent="0.25">
      <c r="A111" s="74"/>
      <c r="B111" s="2">
        <v>45176</v>
      </c>
      <c r="C111" s="3">
        <v>4187246477</v>
      </c>
      <c r="D111" s="3">
        <v>1</v>
      </c>
      <c r="E111" s="4" t="s">
        <v>1080</v>
      </c>
      <c r="F111" s="19" t="s">
        <v>1077</v>
      </c>
      <c r="G111" s="10" t="s">
        <v>28</v>
      </c>
      <c r="H111" s="11">
        <v>934</v>
      </c>
    </row>
    <row r="112" spans="1:8" ht="15.75" x14ac:dyDescent="0.25">
      <c r="A112" s="74"/>
      <c r="B112" s="2">
        <v>45176</v>
      </c>
      <c r="C112" s="3">
        <v>3762897800</v>
      </c>
      <c r="D112" s="3">
        <v>1</v>
      </c>
      <c r="E112" s="4" t="s">
        <v>284</v>
      </c>
      <c r="F112" s="19" t="s">
        <v>579</v>
      </c>
      <c r="G112" s="10" t="s">
        <v>6</v>
      </c>
      <c r="H112" s="11">
        <v>800</v>
      </c>
    </row>
    <row r="113" spans="1:8" ht="15.75" x14ac:dyDescent="0.25">
      <c r="A113" s="74"/>
      <c r="B113" s="2">
        <v>45176</v>
      </c>
      <c r="C113" s="3">
        <v>648692414</v>
      </c>
      <c r="D113" s="3">
        <v>2</v>
      </c>
      <c r="E113" s="4" t="s">
        <v>1036</v>
      </c>
      <c r="F113" s="19" t="s">
        <v>1077</v>
      </c>
      <c r="G113" s="10" t="s">
        <v>7</v>
      </c>
      <c r="H113" s="11">
        <v>1866</v>
      </c>
    </row>
    <row r="114" spans="1:8" ht="15.75" x14ac:dyDescent="0.25">
      <c r="A114" s="74"/>
      <c r="B114" s="2">
        <v>45176</v>
      </c>
      <c r="C114" s="3">
        <v>648692414</v>
      </c>
      <c r="D114" s="3">
        <v>1</v>
      </c>
      <c r="E114" s="4" t="s">
        <v>1036</v>
      </c>
      <c r="F114" s="19" t="s">
        <v>1077</v>
      </c>
      <c r="G114" s="10" t="s">
        <v>7</v>
      </c>
      <c r="H114" s="11">
        <v>934</v>
      </c>
    </row>
    <row r="115" spans="1:8" ht="15.75" x14ac:dyDescent="0.25">
      <c r="A115" s="74"/>
      <c r="B115" s="2">
        <v>45177</v>
      </c>
      <c r="C115" s="3">
        <v>1967214446</v>
      </c>
      <c r="D115" s="3">
        <v>2</v>
      </c>
      <c r="E115" s="4" t="s">
        <v>1081</v>
      </c>
      <c r="F115" s="19" t="s">
        <v>1077</v>
      </c>
      <c r="G115" s="10" t="s">
        <v>28</v>
      </c>
      <c r="H115" s="11">
        <v>1866</v>
      </c>
    </row>
    <row r="116" spans="1:8" ht="15.75" x14ac:dyDescent="0.25">
      <c r="A116" s="74"/>
      <c r="B116" s="2">
        <v>45177</v>
      </c>
      <c r="C116" s="3">
        <v>1967214446</v>
      </c>
      <c r="D116" s="3">
        <v>1</v>
      </c>
      <c r="E116" s="4" t="s">
        <v>1081</v>
      </c>
      <c r="F116" s="19" t="s">
        <v>1077</v>
      </c>
      <c r="G116" s="10" t="s">
        <v>28</v>
      </c>
      <c r="H116" s="11">
        <v>934</v>
      </c>
    </row>
    <row r="117" spans="1:8" ht="15.75" x14ac:dyDescent="0.25">
      <c r="A117" s="74"/>
      <c r="B117" s="2">
        <v>45180</v>
      </c>
      <c r="C117" s="3">
        <v>4261695292</v>
      </c>
      <c r="D117" s="3">
        <v>2</v>
      </c>
      <c r="E117" s="4" t="s">
        <v>1074</v>
      </c>
      <c r="F117" s="19" t="s">
        <v>45</v>
      </c>
      <c r="G117" s="10" t="s">
        <v>28</v>
      </c>
      <c r="H117" s="11">
        <v>1866</v>
      </c>
    </row>
    <row r="118" spans="1:8" ht="15.75" x14ac:dyDescent="0.25">
      <c r="A118" s="74"/>
      <c r="B118" s="2">
        <v>45180</v>
      </c>
      <c r="C118" s="3">
        <v>4261695292</v>
      </c>
      <c r="D118" s="3">
        <v>1</v>
      </c>
      <c r="E118" s="4" t="s">
        <v>1074</v>
      </c>
      <c r="F118" s="19" t="s">
        <v>45</v>
      </c>
      <c r="G118" s="10" t="s">
        <v>28</v>
      </c>
      <c r="H118" s="11">
        <v>934</v>
      </c>
    </row>
    <row r="119" spans="1:8" ht="15.75" x14ac:dyDescent="0.25">
      <c r="A119" s="74"/>
      <c r="B119" s="2">
        <v>45180</v>
      </c>
      <c r="C119" s="3">
        <v>2241154763</v>
      </c>
      <c r="D119" s="3">
        <v>2</v>
      </c>
      <c r="E119" s="4" t="s">
        <v>1082</v>
      </c>
      <c r="F119" s="19" t="s">
        <v>45</v>
      </c>
      <c r="G119" s="10" t="s">
        <v>6</v>
      </c>
      <c r="H119" s="11">
        <v>1866</v>
      </c>
    </row>
    <row r="120" spans="1:8" ht="15.75" x14ac:dyDescent="0.25">
      <c r="A120" s="74"/>
      <c r="B120" s="2">
        <v>45180</v>
      </c>
      <c r="C120" s="3">
        <v>2241154763</v>
      </c>
      <c r="D120" s="3">
        <v>1</v>
      </c>
      <c r="E120" s="4" t="s">
        <v>1082</v>
      </c>
      <c r="F120" s="19" t="s">
        <v>45</v>
      </c>
      <c r="G120" s="10" t="s">
        <v>6</v>
      </c>
      <c r="H120" s="11">
        <v>934</v>
      </c>
    </row>
    <row r="121" spans="1:8" ht="15.75" x14ac:dyDescent="0.25">
      <c r="A121" s="74"/>
      <c r="B121" s="2">
        <v>45180</v>
      </c>
      <c r="C121" s="3">
        <v>2241154763</v>
      </c>
      <c r="D121" s="3">
        <v>3</v>
      </c>
      <c r="E121" s="4" t="s">
        <v>1082</v>
      </c>
      <c r="F121" s="19" t="s">
        <v>1083</v>
      </c>
      <c r="G121" s="10" t="s">
        <v>6</v>
      </c>
      <c r="H121" s="11">
        <v>1800</v>
      </c>
    </row>
    <row r="122" spans="1:8" ht="15.75" x14ac:dyDescent="0.25">
      <c r="A122" s="74"/>
      <c r="B122" s="2">
        <v>45181</v>
      </c>
      <c r="C122" s="3">
        <v>2581217481</v>
      </c>
      <c r="D122" s="3">
        <v>2</v>
      </c>
      <c r="E122" s="4" t="s">
        <v>1084</v>
      </c>
      <c r="F122" s="19" t="s">
        <v>45</v>
      </c>
      <c r="G122" s="10" t="s">
        <v>7</v>
      </c>
      <c r="H122" s="11">
        <v>1866</v>
      </c>
    </row>
    <row r="123" spans="1:8" ht="15.75" x14ac:dyDescent="0.25">
      <c r="A123" s="74"/>
      <c r="B123" s="2">
        <v>45181</v>
      </c>
      <c r="C123" s="3">
        <v>2581217481</v>
      </c>
      <c r="D123" s="3">
        <v>1</v>
      </c>
      <c r="E123" s="4" t="s">
        <v>1084</v>
      </c>
      <c r="F123" s="19" t="s">
        <v>45</v>
      </c>
      <c r="G123" s="10" t="s">
        <v>7</v>
      </c>
      <c r="H123" s="11">
        <v>934</v>
      </c>
    </row>
    <row r="124" spans="1:8" ht="15.75" x14ac:dyDescent="0.25">
      <c r="A124" s="74"/>
      <c r="B124" s="2">
        <v>45187</v>
      </c>
      <c r="C124" s="3">
        <v>1349534689</v>
      </c>
      <c r="D124" s="3">
        <v>2</v>
      </c>
      <c r="E124" s="4" t="s">
        <v>1085</v>
      </c>
      <c r="F124" s="19" t="s">
        <v>1077</v>
      </c>
      <c r="G124" s="10" t="s">
        <v>28</v>
      </c>
      <c r="H124" s="11">
        <v>1866</v>
      </c>
    </row>
    <row r="125" spans="1:8" ht="15.75" x14ac:dyDescent="0.25">
      <c r="A125" s="74"/>
      <c r="B125" s="2">
        <v>45187</v>
      </c>
      <c r="C125" s="3">
        <v>1349534689</v>
      </c>
      <c r="D125" s="3">
        <v>1</v>
      </c>
      <c r="E125" s="4" t="s">
        <v>1085</v>
      </c>
      <c r="F125" s="19" t="s">
        <v>1077</v>
      </c>
      <c r="G125" s="10" t="s">
        <v>28</v>
      </c>
      <c r="H125" s="11">
        <v>934</v>
      </c>
    </row>
    <row r="126" spans="1:8" ht="15.75" x14ac:dyDescent="0.25">
      <c r="A126" s="74"/>
      <c r="B126" s="2">
        <v>45187</v>
      </c>
      <c r="C126" s="3">
        <v>88556938</v>
      </c>
      <c r="D126" s="3">
        <v>2</v>
      </c>
      <c r="E126" s="4" t="s">
        <v>172</v>
      </c>
      <c r="F126" s="19" t="s">
        <v>1077</v>
      </c>
      <c r="G126" s="10" t="s">
        <v>28</v>
      </c>
      <c r="H126" s="11">
        <v>1866</v>
      </c>
    </row>
    <row r="127" spans="1:8" ht="15.75" x14ac:dyDescent="0.25">
      <c r="A127" s="74"/>
      <c r="B127" s="2">
        <v>45187</v>
      </c>
      <c r="C127" s="3">
        <v>88556938</v>
      </c>
      <c r="D127" s="3">
        <v>1</v>
      </c>
      <c r="E127" s="4" t="s">
        <v>172</v>
      </c>
      <c r="F127" s="19" t="s">
        <v>1077</v>
      </c>
      <c r="G127" s="10" t="s">
        <v>28</v>
      </c>
      <c r="H127" s="11">
        <v>934</v>
      </c>
    </row>
    <row r="128" spans="1:8" ht="15.75" x14ac:dyDescent="0.25">
      <c r="A128" s="74"/>
      <c r="B128" s="2">
        <v>45187</v>
      </c>
      <c r="C128" s="3">
        <v>1821919478</v>
      </c>
      <c r="D128" s="3">
        <v>2</v>
      </c>
      <c r="E128" s="4" t="s">
        <v>1086</v>
      </c>
      <c r="F128" s="19" t="s">
        <v>1077</v>
      </c>
      <c r="G128" s="10" t="s">
        <v>28</v>
      </c>
      <c r="H128" s="11">
        <v>1866</v>
      </c>
    </row>
    <row r="129" spans="1:8" ht="15.75" x14ac:dyDescent="0.25">
      <c r="A129" s="74"/>
      <c r="B129" s="2">
        <v>45187</v>
      </c>
      <c r="C129" s="3">
        <v>1821919478</v>
      </c>
      <c r="D129" s="3">
        <v>1</v>
      </c>
      <c r="E129" s="4" t="s">
        <v>1086</v>
      </c>
      <c r="F129" s="19" t="s">
        <v>1077</v>
      </c>
      <c r="G129" s="10" t="s">
        <v>28</v>
      </c>
      <c r="H129" s="11">
        <v>934</v>
      </c>
    </row>
    <row r="130" spans="1:8" ht="15.75" x14ac:dyDescent="0.25">
      <c r="A130" s="74"/>
      <c r="B130" s="2">
        <v>45187</v>
      </c>
      <c r="C130" s="3">
        <v>2843101376</v>
      </c>
      <c r="D130" s="3">
        <v>2</v>
      </c>
      <c r="E130" s="4" t="s">
        <v>1086</v>
      </c>
      <c r="F130" s="19" t="s">
        <v>1077</v>
      </c>
      <c r="G130" s="10" t="s">
        <v>28</v>
      </c>
      <c r="H130" s="11">
        <v>1866</v>
      </c>
    </row>
    <row r="131" spans="1:8" ht="15.75" x14ac:dyDescent="0.25">
      <c r="A131" s="74"/>
      <c r="B131" s="2">
        <v>45187</v>
      </c>
      <c r="C131" s="3">
        <v>2843101376</v>
      </c>
      <c r="D131" s="3">
        <v>1</v>
      </c>
      <c r="E131" s="4" t="s">
        <v>1086</v>
      </c>
      <c r="F131" s="19" t="s">
        <v>1077</v>
      </c>
      <c r="G131" s="10" t="s">
        <v>28</v>
      </c>
      <c r="H131" s="11">
        <v>934</v>
      </c>
    </row>
    <row r="132" spans="1:8" ht="15.75" x14ac:dyDescent="0.25">
      <c r="A132" s="74"/>
      <c r="B132" s="2">
        <v>45188</v>
      </c>
      <c r="C132" s="3">
        <v>3045738417</v>
      </c>
      <c r="D132" s="3">
        <v>2</v>
      </c>
      <c r="E132" s="4" t="s">
        <v>1033</v>
      </c>
      <c r="F132" s="19" t="s">
        <v>1077</v>
      </c>
      <c r="G132" s="10" t="s">
        <v>28</v>
      </c>
      <c r="H132" s="11">
        <v>1866</v>
      </c>
    </row>
    <row r="133" spans="1:8" ht="15.75" x14ac:dyDescent="0.25">
      <c r="A133" s="74"/>
      <c r="B133" s="2">
        <v>45188</v>
      </c>
      <c r="C133" s="3">
        <v>3045738417</v>
      </c>
      <c r="D133" s="3">
        <v>1</v>
      </c>
      <c r="E133" s="4" t="s">
        <v>1033</v>
      </c>
      <c r="F133" s="19" t="s">
        <v>1077</v>
      </c>
      <c r="G133" s="10" t="s">
        <v>28</v>
      </c>
      <c r="H133" s="11">
        <v>934</v>
      </c>
    </row>
    <row r="134" spans="1:8" ht="15.75" x14ac:dyDescent="0.25">
      <c r="A134" s="74"/>
      <c r="B134" s="2">
        <v>45188</v>
      </c>
      <c r="C134" s="3">
        <v>1965903057</v>
      </c>
      <c r="D134" s="3">
        <v>2</v>
      </c>
      <c r="E134" s="4" t="s">
        <v>1035</v>
      </c>
      <c r="F134" s="19" t="s">
        <v>1077</v>
      </c>
      <c r="G134" s="10" t="s">
        <v>28</v>
      </c>
      <c r="H134" s="11">
        <v>1866</v>
      </c>
    </row>
    <row r="135" spans="1:8" ht="15.75" x14ac:dyDescent="0.25">
      <c r="A135" s="74"/>
      <c r="B135" s="2">
        <v>45188</v>
      </c>
      <c r="C135" s="3">
        <v>1965903057</v>
      </c>
      <c r="D135" s="3">
        <v>1</v>
      </c>
      <c r="E135" s="4" t="s">
        <v>1035</v>
      </c>
      <c r="F135" s="19" t="s">
        <v>1077</v>
      </c>
      <c r="G135" s="10" t="s">
        <v>28</v>
      </c>
      <c r="H135" s="11">
        <v>934</v>
      </c>
    </row>
    <row r="136" spans="1:8" ht="15.75" x14ac:dyDescent="0.25">
      <c r="A136" s="74"/>
      <c r="B136" s="2">
        <v>45190</v>
      </c>
      <c r="C136" s="3">
        <v>3455864046</v>
      </c>
      <c r="D136" s="3">
        <v>2</v>
      </c>
      <c r="E136" s="4" t="s">
        <v>1087</v>
      </c>
      <c r="F136" s="19" t="s">
        <v>1077</v>
      </c>
      <c r="G136" s="10" t="s">
        <v>28</v>
      </c>
      <c r="H136" s="11">
        <v>2332</v>
      </c>
    </row>
    <row r="137" spans="1:8" ht="15.75" x14ac:dyDescent="0.25">
      <c r="A137" s="74"/>
      <c r="B137" s="2">
        <v>45190</v>
      </c>
      <c r="C137" s="3">
        <v>3455864046</v>
      </c>
      <c r="D137" s="3">
        <v>1</v>
      </c>
      <c r="E137" s="4" t="s">
        <v>1087</v>
      </c>
      <c r="F137" s="19" t="s">
        <v>1077</v>
      </c>
      <c r="G137" s="10" t="s">
        <v>28</v>
      </c>
      <c r="H137" s="11">
        <v>1168</v>
      </c>
    </row>
    <row r="138" spans="1:8" ht="15.75" x14ac:dyDescent="0.25">
      <c r="A138" s="74"/>
      <c r="B138" s="2">
        <v>45194</v>
      </c>
      <c r="C138" s="3">
        <v>4071574535</v>
      </c>
      <c r="D138" s="3">
        <v>1</v>
      </c>
      <c r="E138" s="4" t="s">
        <v>1088</v>
      </c>
      <c r="F138" s="19" t="s">
        <v>1077</v>
      </c>
      <c r="G138" s="10" t="s">
        <v>6</v>
      </c>
      <c r="H138" s="11">
        <v>1000</v>
      </c>
    </row>
    <row r="139" spans="1:8" ht="15.75" x14ac:dyDescent="0.25">
      <c r="A139" s="74"/>
      <c r="B139" s="2">
        <v>45194</v>
      </c>
      <c r="C139" s="3">
        <v>568279112</v>
      </c>
      <c r="D139" s="3">
        <v>2</v>
      </c>
      <c r="E139" s="4" t="s">
        <v>1089</v>
      </c>
      <c r="F139" s="19" t="s">
        <v>1077</v>
      </c>
      <c r="G139" s="10" t="s">
        <v>11</v>
      </c>
      <c r="H139" s="11">
        <v>1866</v>
      </c>
    </row>
    <row r="140" spans="1:8" ht="15.75" x14ac:dyDescent="0.25">
      <c r="A140" s="74"/>
      <c r="B140" s="2">
        <v>45194</v>
      </c>
      <c r="C140" s="3">
        <v>568279112</v>
      </c>
      <c r="D140" s="3">
        <v>1</v>
      </c>
      <c r="E140" s="4" t="s">
        <v>1089</v>
      </c>
      <c r="F140" s="19" t="s">
        <v>1077</v>
      </c>
      <c r="G140" s="10" t="s">
        <v>11</v>
      </c>
      <c r="H140" s="11">
        <v>934</v>
      </c>
    </row>
    <row r="141" spans="1:8" ht="15.75" x14ac:dyDescent="0.25">
      <c r="A141" s="74"/>
      <c r="B141" s="2">
        <v>45195</v>
      </c>
      <c r="C141" s="3">
        <v>4009707760</v>
      </c>
      <c r="D141" s="3">
        <v>2</v>
      </c>
      <c r="E141" s="4" t="s">
        <v>1090</v>
      </c>
      <c r="F141" s="19" t="s">
        <v>1091</v>
      </c>
      <c r="G141" s="10" t="s">
        <v>28</v>
      </c>
      <c r="H141" s="11">
        <v>3666</v>
      </c>
    </row>
    <row r="142" spans="1:8" ht="15.75" x14ac:dyDescent="0.25">
      <c r="A142" s="74"/>
      <c r="B142" s="2">
        <v>45195</v>
      </c>
      <c r="C142" s="3">
        <v>4009707760</v>
      </c>
      <c r="D142" s="3">
        <v>1</v>
      </c>
      <c r="E142" s="4" t="s">
        <v>1090</v>
      </c>
      <c r="F142" s="19" t="s">
        <v>1091</v>
      </c>
      <c r="G142" s="10" t="s">
        <v>28</v>
      </c>
      <c r="H142" s="11">
        <v>1834</v>
      </c>
    </row>
    <row r="143" spans="1:8" ht="15.75" x14ac:dyDescent="0.25">
      <c r="A143" s="74"/>
      <c r="B143" s="2">
        <v>45198</v>
      </c>
      <c r="C143" s="3">
        <v>526732843</v>
      </c>
      <c r="D143" s="3">
        <v>2</v>
      </c>
      <c r="E143" s="4" t="s">
        <v>1023</v>
      </c>
      <c r="F143" s="19" t="s">
        <v>1077</v>
      </c>
      <c r="G143" s="10" t="s">
        <v>7</v>
      </c>
      <c r="H143" s="11">
        <v>1866</v>
      </c>
    </row>
    <row r="144" spans="1:8" ht="15.75" x14ac:dyDescent="0.25">
      <c r="A144" s="74"/>
      <c r="B144" s="2">
        <v>45198</v>
      </c>
      <c r="C144" s="3">
        <v>526732843</v>
      </c>
      <c r="D144" s="3">
        <v>1</v>
      </c>
      <c r="E144" s="4" t="s">
        <v>1023</v>
      </c>
      <c r="F144" s="19" t="s">
        <v>1077</v>
      </c>
      <c r="G144" s="10" t="s">
        <v>7</v>
      </c>
      <c r="H144" s="11">
        <v>934</v>
      </c>
    </row>
    <row r="145" spans="1:8" ht="16.5" customHeight="1" x14ac:dyDescent="0.25">
      <c r="A145" s="74"/>
      <c r="B145" s="2">
        <v>45202</v>
      </c>
      <c r="C145" s="3">
        <v>3767028696</v>
      </c>
      <c r="D145" s="3">
        <v>2</v>
      </c>
      <c r="E145" s="4" t="s">
        <v>1169</v>
      </c>
      <c r="F145" s="19" t="s">
        <v>1077</v>
      </c>
      <c r="G145" s="10" t="s">
        <v>28</v>
      </c>
      <c r="H145" s="11">
        <v>1866</v>
      </c>
    </row>
    <row r="146" spans="1:8" ht="16.5" customHeight="1" x14ac:dyDescent="0.25">
      <c r="A146" s="74"/>
      <c r="B146" s="2">
        <v>45202</v>
      </c>
      <c r="C146" s="3">
        <v>3767028696</v>
      </c>
      <c r="D146" s="3">
        <v>1</v>
      </c>
      <c r="E146" s="4" t="s">
        <v>1169</v>
      </c>
      <c r="F146" s="19" t="s">
        <v>1077</v>
      </c>
      <c r="G146" s="10" t="s">
        <v>28</v>
      </c>
      <c r="H146" s="11">
        <v>934</v>
      </c>
    </row>
    <row r="147" spans="1:8" ht="16.5" customHeight="1" x14ac:dyDescent="0.25">
      <c r="A147" s="74"/>
      <c r="B147" s="2">
        <v>45204</v>
      </c>
      <c r="C147" s="3">
        <v>2177191099</v>
      </c>
      <c r="D147" s="3">
        <v>1</v>
      </c>
      <c r="E147" s="4" t="s">
        <v>1163</v>
      </c>
      <c r="F147" s="19" t="s">
        <v>1170</v>
      </c>
      <c r="G147" s="10" t="s">
        <v>16</v>
      </c>
      <c r="H147" s="11">
        <v>800</v>
      </c>
    </row>
    <row r="148" spans="1:8" ht="16.5" customHeight="1" x14ac:dyDescent="0.25">
      <c r="A148" s="74"/>
      <c r="B148" s="2">
        <v>45205</v>
      </c>
      <c r="C148" s="3">
        <v>1153516263</v>
      </c>
      <c r="D148" s="3">
        <v>3</v>
      </c>
      <c r="E148" s="4" t="s">
        <v>1171</v>
      </c>
      <c r="F148" s="19" t="s">
        <v>579</v>
      </c>
      <c r="G148" s="10" t="s">
        <v>7</v>
      </c>
      <c r="H148" s="11">
        <v>3360</v>
      </c>
    </row>
    <row r="149" spans="1:8" ht="16.5" customHeight="1" x14ac:dyDescent="0.25">
      <c r="A149" s="74"/>
      <c r="B149" s="2">
        <v>45215</v>
      </c>
      <c r="C149" s="3">
        <v>261443085</v>
      </c>
      <c r="D149" s="3">
        <v>3</v>
      </c>
      <c r="E149" s="4" t="s">
        <v>1069</v>
      </c>
      <c r="F149" s="19" t="s">
        <v>1077</v>
      </c>
      <c r="G149" s="10" t="s">
        <v>7</v>
      </c>
      <c r="H149" s="11">
        <v>3360</v>
      </c>
    </row>
    <row r="150" spans="1:8" ht="16.5" customHeight="1" x14ac:dyDescent="0.25">
      <c r="A150" s="74"/>
      <c r="B150" s="2">
        <v>45223</v>
      </c>
      <c r="C150" s="3">
        <v>2466925168</v>
      </c>
      <c r="D150" s="3">
        <v>1</v>
      </c>
      <c r="E150" s="4" t="s">
        <v>1172</v>
      </c>
      <c r="F150" s="19" t="s">
        <v>1077</v>
      </c>
      <c r="G150" s="10" t="s">
        <v>14</v>
      </c>
      <c r="H150" s="11">
        <v>1100</v>
      </c>
    </row>
    <row r="151" spans="1:8" ht="16.5" customHeight="1" x14ac:dyDescent="0.25">
      <c r="A151" s="74"/>
      <c r="B151" s="2">
        <v>45225</v>
      </c>
      <c r="C151" s="3">
        <v>510282595</v>
      </c>
      <c r="D151" s="3">
        <v>2</v>
      </c>
      <c r="E151" s="4" t="s">
        <v>1173</v>
      </c>
      <c r="F151" s="19" t="s">
        <v>1077</v>
      </c>
      <c r="G151" s="10" t="s">
        <v>28</v>
      </c>
      <c r="H151" s="11">
        <v>2400</v>
      </c>
    </row>
    <row r="152" spans="1:8" ht="16.5" customHeight="1" x14ac:dyDescent="0.25">
      <c r="A152" s="74"/>
      <c r="B152" s="2">
        <v>45225</v>
      </c>
      <c r="C152" s="3">
        <v>4293151440</v>
      </c>
      <c r="D152" s="3">
        <v>2</v>
      </c>
      <c r="E152" s="4" t="s">
        <v>1174</v>
      </c>
      <c r="F152" s="19" t="s">
        <v>1077</v>
      </c>
      <c r="G152" s="10" t="s">
        <v>7</v>
      </c>
      <c r="H152" s="11">
        <v>2400</v>
      </c>
    </row>
    <row r="153" spans="1:8" ht="16.5" customHeight="1" x14ac:dyDescent="0.25">
      <c r="A153" s="74"/>
      <c r="B153" s="2">
        <v>45229</v>
      </c>
      <c r="C153" s="3">
        <v>1810448411</v>
      </c>
      <c r="D153" s="3">
        <v>2</v>
      </c>
      <c r="E153" s="4" t="s">
        <v>1175</v>
      </c>
      <c r="F153" s="19" t="s">
        <v>1077</v>
      </c>
      <c r="G153" s="10" t="s">
        <v>28</v>
      </c>
      <c r="H153" s="11">
        <v>2400</v>
      </c>
    </row>
    <row r="154" spans="1:8" ht="15.75" x14ac:dyDescent="0.25">
      <c r="A154" s="74"/>
      <c r="B154" s="2">
        <v>45230</v>
      </c>
      <c r="C154" s="3">
        <v>2733788175</v>
      </c>
      <c r="D154" s="3">
        <v>2</v>
      </c>
      <c r="E154" s="4" t="s">
        <v>231</v>
      </c>
      <c r="F154" s="19" t="s">
        <v>1083</v>
      </c>
      <c r="G154" s="10" t="s">
        <v>6</v>
      </c>
      <c r="H154" s="11">
        <v>2400</v>
      </c>
    </row>
    <row r="155" spans="1:8" ht="15.75" x14ac:dyDescent="0.25">
      <c r="A155" s="74"/>
      <c r="B155" s="2">
        <v>45232</v>
      </c>
      <c r="C155" s="3">
        <v>1985495224</v>
      </c>
      <c r="D155" s="3">
        <v>2</v>
      </c>
      <c r="E155" s="4" t="s">
        <v>1220</v>
      </c>
      <c r="F155" s="19" t="s">
        <v>1077</v>
      </c>
      <c r="G155" s="10" t="s">
        <v>28</v>
      </c>
      <c r="H155" s="11">
        <v>2400</v>
      </c>
    </row>
    <row r="156" spans="1:8" ht="15.75" x14ac:dyDescent="0.25">
      <c r="A156" s="74"/>
      <c r="B156" s="2">
        <v>45239</v>
      </c>
      <c r="C156" s="3">
        <v>2293188552</v>
      </c>
      <c r="D156" s="3">
        <v>2</v>
      </c>
      <c r="E156" s="4" t="s">
        <v>1203</v>
      </c>
      <c r="F156" s="19" t="s">
        <v>1077</v>
      </c>
      <c r="G156" s="10" t="s">
        <v>7</v>
      </c>
      <c r="H156" s="11">
        <v>2400</v>
      </c>
    </row>
    <row r="157" spans="1:8" ht="15.75" x14ac:dyDescent="0.25">
      <c r="A157" s="74"/>
      <c r="B157" s="2">
        <v>45243</v>
      </c>
      <c r="C157" s="3">
        <v>4023340016</v>
      </c>
      <c r="D157" s="3">
        <v>2</v>
      </c>
      <c r="E157" s="4" t="s">
        <v>1286</v>
      </c>
      <c r="F157" s="19" t="s">
        <v>1077</v>
      </c>
      <c r="G157" s="10" t="s">
        <v>28</v>
      </c>
      <c r="H157" s="11">
        <v>2400</v>
      </c>
    </row>
    <row r="158" spans="1:8" ht="15.75" x14ac:dyDescent="0.25">
      <c r="A158" s="74"/>
      <c r="B158" s="2">
        <v>45244</v>
      </c>
      <c r="C158" s="3">
        <v>128206874</v>
      </c>
      <c r="D158" s="3">
        <v>1</v>
      </c>
      <c r="E158" s="4" t="s">
        <v>1163</v>
      </c>
      <c r="F158" s="19" t="s">
        <v>579</v>
      </c>
      <c r="G158" s="10" t="s">
        <v>599</v>
      </c>
      <c r="H158" s="11">
        <v>800</v>
      </c>
    </row>
    <row r="159" spans="1:8" ht="15.75" x14ac:dyDescent="0.25">
      <c r="A159" s="74"/>
      <c r="B159" s="2">
        <v>45245</v>
      </c>
      <c r="C159" s="3">
        <v>3904716992</v>
      </c>
      <c r="D159" s="3">
        <v>5</v>
      </c>
      <c r="E159" s="4" t="s">
        <v>1288</v>
      </c>
      <c r="F159" s="19" t="s">
        <v>1077</v>
      </c>
      <c r="G159" s="10" t="s">
        <v>7</v>
      </c>
      <c r="H159" s="11">
        <v>4165</v>
      </c>
    </row>
    <row r="160" spans="1:8" ht="15.75" x14ac:dyDescent="0.25">
      <c r="A160" s="74"/>
      <c r="B160" s="2">
        <v>45245</v>
      </c>
      <c r="C160" s="3">
        <v>3904716992</v>
      </c>
      <c r="D160" s="3">
        <v>1</v>
      </c>
      <c r="E160" s="4" t="s">
        <v>1288</v>
      </c>
      <c r="F160" s="19" t="s">
        <v>1077</v>
      </c>
      <c r="G160" s="10" t="s">
        <v>7</v>
      </c>
      <c r="H160" s="11">
        <v>835</v>
      </c>
    </row>
    <row r="161" spans="1:8" ht="15.75" x14ac:dyDescent="0.25">
      <c r="A161" s="74"/>
      <c r="B161" s="2">
        <v>45254</v>
      </c>
      <c r="C161" s="3">
        <v>3809559995</v>
      </c>
      <c r="D161" s="3">
        <v>2</v>
      </c>
      <c r="E161" s="4" t="s">
        <v>1249</v>
      </c>
      <c r="F161" s="19" t="s">
        <v>1083</v>
      </c>
      <c r="G161" s="10" t="s">
        <v>7</v>
      </c>
      <c r="H161" s="11">
        <v>2400</v>
      </c>
    </row>
    <row r="162" spans="1:8" ht="15.75" x14ac:dyDescent="0.25">
      <c r="A162" s="74"/>
      <c r="B162" s="2">
        <v>45265</v>
      </c>
      <c r="C162" s="3">
        <v>2556840221</v>
      </c>
      <c r="D162" s="3">
        <v>3</v>
      </c>
      <c r="E162" s="4" t="s">
        <v>667</v>
      </c>
      <c r="F162" s="19" t="s">
        <v>45</v>
      </c>
      <c r="G162" s="10" t="s">
        <v>28</v>
      </c>
      <c r="H162" s="11">
        <v>3000</v>
      </c>
    </row>
    <row r="163" spans="1:8" ht="15.75" x14ac:dyDescent="0.25">
      <c r="A163" s="74"/>
      <c r="B163" s="2">
        <v>45266</v>
      </c>
      <c r="C163" s="3">
        <v>773868011</v>
      </c>
      <c r="D163" s="3">
        <v>1</v>
      </c>
      <c r="E163" s="4" t="s">
        <v>672</v>
      </c>
      <c r="F163" s="19" t="s">
        <v>45</v>
      </c>
      <c r="G163" s="10" t="s">
        <v>6</v>
      </c>
      <c r="H163" s="11">
        <v>1600</v>
      </c>
    </row>
    <row r="164" spans="1:8" ht="15.75" x14ac:dyDescent="0.25">
      <c r="A164" s="74"/>
      <c r="B164" s="2">
        <v>45266</v>
      </c>
      <c r="C164" s="3">
        <v>1147226490</v>
      </c>
      <c r="D164" s="3">
        <v>3</v>
      </c>
      <c r="E164" s="4" t="s">
        <v>1455</v>
      </c>
      <c r="F164" s="19" t="s">
        <v>45</v>
      </c>
      <c r="G164" s="10" t="s">
        <v>7</v>
      </c>
      <c r="H164" s="11">
        <v>3360</v>
      </c>
    </row>
    <row r="165" spans="1:8" ht="15.75" x14ac:dyDescent="0.25">
      <c r="A165" s="74"/>
      <c r="B165" s="2">
        <v>45271</v>
      </c>
      <c r="C165" s="3">
        <v>3826992242</v>
      </c>
      <c r="D165" s="3">
        <v>2</v>
      </c>
      <c r="E165" s="4" t="s">
        <v>1406</v>
      </c>
      <c r="F165" s="19" t="s">
        <v>45</v>
      </c>
      <c r="G165" s="10" t="s">
        <v>16</v>
      </c>
      <c r="H165" s="11">
        <v>3200</v>
      </c>
    </row>
    <row r="166" spans="1:8" ht="15.75" x14ac:dyDescent="0.25">
      <c r="A166" s="74"/>
      <c r="B166" s="2">
        <v>45271</v>
      </c>
      <c r="C166" s="3">
        <v>3654568000</v>
      </c>
      <c r="D166" s="3">
        <v>3</v>
      </c>
      <c r="E166" s="4" t="s">
        <v>244</v>
      </c>
      <c r="F166" s="19" t="s">
        <v>45</v>
      </c>
      <c r="G166" s="10" t="s">
        <v>28</v>
      </c>
      <c r="H166" s="11">
        <v>3000</v>
      </c>
    </row>
    <row r="167" spans="1:8" ht="15.75" x14ac:dyDescent="0.25">
      <c r="A167" s="74"/>
      <c r="B167" s="2">
        <v>45272</v>
      </c>
      <c r="C167" s="3">
        <v>496344690</v>
      </c>
      <c r="D167" s="3">
        <v>3</v>
      </c>
      <c r="E167" s="4" t="s">
        <v>1456</v>
      </c>
      <c r="F167" s="19" t="s">
        <v>45</v>
      </c>
      <c r="G167" s="10" t="s">
        <v>6</v>
      </c>
      <c r="H167" s="11">
        <v>3000</v>
      </c>
    </row>
    <row r="168" spans="1:8" ht="15.75" x14ac:dyDescent="0.25">
      <c r="A168" s="74"/>
      <c r="B168" s="2">
        <v>45274</v>
      </c>
      <c r="C168" s="3">
        <v>1010519091</v>
      </c>
      <c r="D168" s="3">
        <v>1</v>
      </c>
      <c r="E168" s="4" t="s">
        <v>94</v>
      </c>
      <c r="F168" s="19" t="s">
        <v>46</v>
      </c>
      <c r="G168" s="10" t="s">
        <v>16</v>
      </c>
      <c r="H168" s="11">
        <v>800</v>
      </c>
    </row>
    <row r="169" spans="1:8" ht="15.75" x14ac:dyDescent="0.25">
      <c r="A169" s="74"/>
      <c r="B169" s="2">
        <v>45278</v>
      </c>
      <c r="C169" s="3">
        <v>1835756</v>
      </c>
      <c r="D169" s="3">
        <v>2</v>
      </c>
      <c r="E169" s="4" t="s">
        <v>1225</v>
      </c>
      <c r="F169" s="19" t="s">
        <v>45</v>
      </c>
      <c r="G169" s="10" t="s">
        <v>28</v>
      </c>
      <c r="H169" s="11">
        <v>2400</v>
      </c>
    </row>
    <row r="170" spans="1:8" ht="15.75" x14ac:dyDescent="0.25">
      <c r="A170" s="74"/>
      <c r="B170" s="2">
        <v>45278</v>
      </c>
      <c r="C170" s="3">
        <v>1634549823</v>
      </c>
      <c r="D170" s="3">
        <v>3</v>
      </c>
      <c r="E170" s="4" t="s">
        <v>821</v>
      </c>
      <c r="F170" s="19" t="s">
        <v>45</v>
      </c>
      <c r="G170" s="10" t="s">
        <v>28</v>
      </c>
      <c r="H170" s="11">
        <v>3000</v>
      </c>
    </row>
    <row r="171" spans="1:8" ht="15.75" x14ac:dyDescent="0.25">
      <c r="A171" s="75"/>
      <c r="B171" s="13"/>
      <c r="C171" s="14"/>
      <c r="D171" s="14"/>
      <c r="E171" s="14" t="s">
        <v>5</v>
      </c>
      <c r="F171" s="15"/>
      <c r="G171" s="16"/>
      <c r="H171" s="23">
        <f>SUM(H3:H170)</f>
        <v>339930.4</v>
      </c>
    </row>
  </sheetData>
  <autoFilter ref="A1:H171" xr:uid="{00000000-0009-0000-0000-000012000000}"/>
  <mergeCells count="8">
    <mergeCell ref="A1:A171"/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0"/>
  <sheetViews>
    <sheetView topLeftCell="A35" workbookViewId="0">
      <selection activeCell="C55" sqref="C55"/>
    </sheetView>
  </sheetViews>
  <sheetFormatPr baseColWidth="10" defaultColWidth="9.140625" defaultRowHeight="15" x14ac:dyDescent="0.25"/>
  <cols>
    <col min="1" max="1" width="19.285156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84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49</v>
      </c>
      <c r="B1" s="65" t="s">
        <v>0</v>
      </c>
      <c r="C1" s="72" t="s">
        <v>1</v>
      </c>
      <c r="D1" s="72" t="s">
        <v>2</v>
      </c>
      <c r="E1" s="72" t="s">
        <v>3</v>
      </c>
      <c r="F1" s="72" t="s">
        <v>8</v>
      </c>
      <c r="G1" s="69" t="s">
        <v>4</v>
      </c>
      <c r="H1" s="70" t="s">
        <v>5</v>
      </c>
    </row>
    <row r="2" spans="1:8" ht="15" customHeight="1" x14ac:dyDescent="0.25">
      <c r="A2" s="74"/>
      <c r="B2" s="66"/>
      <c r="C2" s="67"/>
      <c r="D2" s="67"/>
      <c r="E2" s="67"/>
      <c r="F2" s="67"/>
      <c r="G2" s="61"/>
      <c r="H2" s="63"/>
    </row>
    <row r="3" spans="1:8" ht="20.100000000000001" customHeight="1" x14ac:dyDescent="0.25">
      <c r="A3" s="74"/>
      <c r="B3" s="2">
        <v>44936</v>
      </c>
      <c r="C3" s="3">
        <v>1634550648</v>
      </c>
      <c r="D3" s="3">
        <v>1</v>
      </c>
      <c r="E3" s="4" t="s">
        <v>187</v>
      </c>
      <c r="F3" s="19" t="s">
        <v>48</v>
      </c>
      <c r="G3" s="10" t="s">
        <v>6</v>
      </c>
      <c r="H3" s="11">
        <v>450</v>
      </c>
    </row>
    <row r="4" spans="1:8" ht="20.100000000000001" customHeight="1" x14ac:dyDescent="0.25">
      <c r="A4" s="74"/>
      <c r="B4" s="2">
        <v>44939</v>
      </c>
      <c r="C4" s="3">
        <v>322626027</v>
      </c>
      <c r="D4" s="3">
        <v>6</v>
      </c>
      <c r="E4" s="4" t="s">
        <v>92</v>
      </c>
      <c r="F4" s="19" t="s">
        <v>48</v>
      </c>
      <c r="G4" s="10" t="s">
        <v>14</v>
      </c>
      <c r="H4" s="11">
        <v>2670</v>
      </c>
    </row>
    <row r="5" spans="1:8" ht="20.100000000000001" customHeight="1" x14ac:dyDescent="0.25">
      <c r="A5" s="74"/>
      <c r="B5" s="2">
        <v>44939</v>
      </c>
      <c r="C5" s="3">
        <v>322626027</v>
      </c>
      <c r="D5" s="3">
        <v>5</v>
      </c>
      <c r="E5" s="4" t="s">
        <v>92</v>
      </c>
      <c r="F5" s="19" t="s">
        <v>188</v>
      </c>
      <c r="G5" s="10" t="s">
        <v>14</v>
      </c>
      <c r="H5" s="11">
        <v>6665</v>
      </c>
    </row>
    <row r="6" spans="1:8" ht="20.100000000000001" customHeight="1" x14ac:dyDescent="0.25">
      <c r="A6" s="74"/>
      <c r="B6" s="2">
        <v>44939</v>
      </c>
      <c r="C6" s="3">
        <v>322626027</v>
      </c>
      <c r="D6" s="3">
        <v>1</v>
      </c>
      <c r="E6" s="4" t="s">
        <v>92</v>
      </c>
      <c r="F6" s="19" t="s">
        <v>188</v>
      </c>
      <c r="G6" s="10" t="s">
        <v>14</v>
      </c>
      <c r="H6" s="11">
        <v>1335</v>
      </c>
    </row>
    <row r="7" spans="1:8" ht="20.100000000000001" customHeight="1" x14ac:dyDescent="0.25">
      <c r="A7" s="74"/>
      <c r="B7" s="2">
        <v>44946</v>
      </c>
      <c r="C7" s="3">
        <v>4289874178</v>
      </c>
      <c r="D7" s="3">
        <v>5</v>
      </c>
      <c r="E7" s="4" t="s">
        <v>189</v>
      </c>
      <c r="F7" s="19" t="s">
        <v>190</v>
      </c>
      <c r="G7" s="10" t="s">
        <v>28</v>
      </c>
      <c r="H7" s="11">
        <v>2000</v>
      </c>
    </row>
    <row r="8" spans="1:8" ht="20.100000000000001" customHeight="1" x14ac:dyDescent="0.25">
      <c r="A8" s="74"/>
      <c r="B8" s="2">
        <v>44952</v>
      </c>
      <c r="C8" s="3">
        <v>4032643175</v>
      </c>
      <c r="D8" s="3">
        <v>8</v>
      </c>
      <c r="E8" s="4" t="s">
        <v>147</v>
      </c>
      <c r="F8" s="19" t="s">
        <v>48</v>
      </c>
      <c r="G8" s="10" t="s">
        <v>7</v>
      </c>
      <c r="H8" s="11">
        <v>3560</v>
      </c>
    </row>
    <row r="9" spans="1:8" ht="15.75" x14ac:dyDescent="0.25">
      <c r="A9" s="74"/>
      <c r="B9" s="2">
        <v>44978</v>
      </c>
      <c r="C9" s="3">
        <v>533087440</v>
      </c>
      <c r="D9" s="3">
        <v>1</v>
      </c>
      <c r="E9" s="4" t="s">
        <v>287</v>
      </c>
      <c r="F9" s="19" t="s">
        <v>288</v>
      </c>
      <c r="G9" s="10" t="s">
        <v>7</v>
      </c>
      <c r="H9" s="11">
        <v>1670</v>
      </c>
    </row>
    <row r="10" spans="1:8" ht="20.100000000000001" customHeight="1" x14ac:dyDescent="0.25">
      <c r="A10" s="74"/>
      <c r="B10" s="2">
        <v>44992</v>
      </c>
      <c r="C10" s="3">
        <v>1207914449</v>
      </c>
      <c r="D10" s="3">
        <v>5</v>
      </c>
      <c r="E10" s="4" t="s">
        <v>409</v>
      </c>
      <c r="F10" s="19" t="s">
        <v>410</v>
      </c>
      <c r="G10" s="10" t="s">
        <v>6</v>
      </c>
      <c r="H10" s="11">
        <v>3330</v>
      </c>
    </row>
    <row r="11" spans="1:8" ht="20.100000000000001" customHeight="1" x14ac:dyDescent="0.25">
      <c r="A11" s="74"/>
      <c r="B11" s="2">
        <v>44992</v>
      </c>
      <c r="C11" s="3">
        <v>1207914449</v>
      </c>
      <c r="D11" s="3">
        <v>1</v>
      </c>
      <c r="E11" s="4" t="s">
        <v>409</v>
      </c>
      <c r="F11" s="19" t="s">
        <v>410</v>
      </c>
      <c r="G11" s="10" t="s">
        <v>6</v>
      </c>
      <c r="H11" s="11">
        <v>670</v>
      </c>
    </row>
    <row r="12" spans="1:8" ht="20.100000000000001" customHeight="1" x14ac:dyDescent="0.25">
      <c r="A12" s="74"/>
      <c r="B12" s="2">
        <v>44998</v>
      </c>
      <c r="C12" s="3">
        <v>2993833710</v>
      </c>
      <c r="D12" s="3">
        <v>6</v>
      </c>
      <c r="E12" s="4" t="s">
        <v>411</v>
      </c>
      <c r="F12" s="19" t="s">
        <v>48</v>
      </c>
      <c r="G12" s="10" t="s">
        <v>28</v>
      </c>
      <c r="H12" s="11">
        <v>3000</v>
      </c>
    </row>
    <row r="13" spans="1:8" ht="20.100000000000001" customHeight="1" x14ac:dyDescent="0.25">
      <c r="A13" s="74"/>
      <c r="B13" s="2">
        <v>44999</v>
      </c>
      <c r="C13" s="3">
        <v>2015381660</v>
      </c>
      <c r="D13" s="3">
        <v>8</v>
      </c>
      <c r="E13" s="4" t="s">
        <v>412</v>
      </c>
      <c r="F13" s="19" t="s">
        <v>413</v>
      </c>
      <c r="G13" s="10" t="s">
        <v>28</v>
      </c>
      <c r="H13" s="11">
        <v>3560</v>
      </c>
    </row>
    <row r="14" spans="1:8" ht="20.100000000000001" customHeight="1" x14ac:dyDescent="0.25">
      <c r="A14" s="74"/>
      <c r="B14" s="2">
        <v>45028</v>
      </c>
      <c r="C14" s="3">
        <v>2731032897</v>
      </c>
      <c r="D14" s="3">
        <v>4</v>
      </c>
      <c r="E14" s="4" t="s">
        <v>583</v>
      </c>
      <c r="F14" s="19" t="s">
        <v>584</v>
      </c>
      <c r="G14" s="10" t="s">
        <v>7</v>
      </c>
      <c r="H14" s="11">
        <v>1780</v>
      </c>
    </row>
    <row r="15" spans="1:8" ht="20.100000000000001" customHeight="1" x14ac:dyDescent="0.25">
      <c r="A15" s="74"/>
      <c r="B15" s="2">
        <v>45058</v>
      </c>
      <c r="C15" s="3">
        <v>2241023239</v>
      </c>
      <c r="D15" s="3">
        <v>8</v>
      </c>
      <c r="E15" s="4" t="s">
        <v>608</v>
      </c>
      <c r="F15" s="19" t="s">
        <v>48</v>
      </c>
      <c r="G15" s="10" t="s">
        <v>7</v>
      </c>
      <c r="H15" s="11">
        <v>3560</v>
      </c>
    </row>
    <row r="16" spans="1:8" ht="20.100000000000001" customHeight="1" x14ac:dyDescent="0.25">
      <c r="A16" s="74"/>
      <c r="B16" s="2">
        <v>45082</v>
      </c>
      <c r="C16" s="3">
        <v>3583722959</v>
      </c>
      <c r="D16" s="3">
        <v>5</v>
      </c>
      <c r="E16" s="4" t="s">
        <v>654</v>
      </c>
      <c r="F16" s="19" t="s">
        <v>747</v>
      </c>
      <c r="G16" s="10" t="s">
        <v>16</v>
      </c>
      <c r="H16" s="11">
        <v>2665</v>
      </c>
    </row>
    <row r="17" spans="1:8" ht="20.100000000000001" customHeight="1" x14ac:dyDescent="0.25">
      <c r="A17" s="74"/>
      <c r="B17" s="2">
        <v>45082</v>
      </c>
      <c r="C17" s="3">
        <v>3583722959</v>
      </c>
      <c r="D17" s="3">
        <v>1</v>
      </c>
      <c r="E17" s="4" t="s">
        <v>654</v>
      </c>
      <c r="F17" s="19" t="s">
        <v>747</v>
      </c>
      <c r="G17" s="10" t="s">
        <v>16</v>
      </c>
      <c r="H17" s="11">
        <v>535</v>
      </c>
    </row>
    <row r="18" spans="1:8" ht="15.75" x14ac:dyDescent="0.25">
      <c r="A18" s="74"/>
      <c r="B18" s="2">
        <v>45082</v>
      </c>
      <c r="C18" s="3">
        <v>2783463917</v>
      </c>
      <c r="D18" s="3">
        <v>6</v>
      </c>
      <c r="E18" s="4" t="s">
        <v>746</v>
      </c>
      <c r="F18" s="19" t="s">
        <v>48</v>
      </c>
      <c r="G18" s="10" t="s">
        <v>7</v>
      </c>
      <c r="H18" s="11">
        <v>2940</v>
      </c>
    </row>
    <row r="19" spans="1:8" ht="15.75" x14ac:dyDescent="0.25">
      <c r="A19" s="74"/>
      <c r="B19" s="2">
        <v>45084</v>
      </c>
      <c r="C19" s="3">
        <v>2573160404</v>
      </c>
      <c r="D19" s="3">
        <v>4</v>
      </c>
      <c r="E19" s="4" t="s">
        <v>723</v>
      </c>
      <c r="F19" s="19" t="s">
        <v>48</v>
      </c>
      <c r="G19" s="10" t="s">
        <v>6</v>
      </c>
      <c r="H19" s="11">
        <v>2250</v>
      </c>
    </row>
    <row r="20" spans="1:8" ht="20.100000000000001" customHeight="1" x14ac:dyDescent="0.25">
      <c r="A20" s="74"/>
      <c r="B20" s="2">
        <v>45092</v>
      </c>
      <c r="C20" s="3">
        <v>2843231093</v>
      </c>
      <c r="D20" s="3">
        <v>6</v>
      </c>
      <c r="E20" s="4" t="s">
        <v>748</v>
      </c>
      <c r="F20" s="19" t="s">
        <v>749</v>
      </c>
      <c r="G20" s="10" t="s">
        <v>28</v>
      </c>
      <c r="H20" s="11">
        <v>3000</v>
      </c>
    </row>
    <row r="21" spans="1:8" ht="20.100000000000001" customHeight="1" x14ac:dyDescent="0.25">
      <c r="A21" s="74"/>
      <c r="B21" s="2">
        <v>45099</v>
      </c>
      <c r="C21" s="3">
        <v>1082411604</v>
      </c>
      <c r="D21" s="3">
        <v>6</v>
      </c>
      <c r="E21" s="4" t="s">
        <v>750</v>
      </c>
      <c r="F21" s="19" t="s">
        <v>751</v>
      </c>
      <c r="G21" s="10" t="s">
        <v>28</v>
      </c>
      <c r="H21" s="11">
        <v>2670</v>
      </c>
    </row>
    <row r="22" spans="1:8" ht="20.100000000000001" customHeight="1" x14ac:dyDescent="0.25">
      <c r="A22" s="74"/>
      <c r="B22" s="2">
        <v>45105</v>
      </c>
      <c r="C22" s="3">
        <v>2235383917</v>
      </c>
      <c r="D22" s="3">
        <v>8</v>
      </c>
      <c r="E22" s="4" t="s">
        <v>752</v>
      </c>
      <c r="F22" s="19" t="s">
        <v>753</v>
      </c>
      <c r="G22" s="10" t="s">
        <v>28</v>
      </c>
      <c r="H22" s="11">
        <v>5240</v>
      </c>
    </row>
    <row r="23" spans="1:8" ht="15.75" x14ac:dyDescent="0.25">
      <c r="A23" s="74"/>
      <c r="B23" s="2">
        <v>45106</v>
      </c>
      <c r="C23" s="3">
        <v>523978702</v>
      </c>
      <c r="D23" s="3">
        <v>2</v>
      </c>
      <c r="E23" s="4" t="s">
        <v>718</v>
      </c>
      <c r="F23" s="19" t="s">
        <v>754</v>
      </c>
      <c r="G23" s="10" t="s">
        <v>7</v>
      </c>
      <c r="H23" s="11">
        <v>1000</v>
      </c>
    </row>
    <row r="24" spans="1:8" ht="20.100000000000001" customHeight="1" x14ac:dyDescent="0.25">
      <c r="A24" s="74"/>
      <c r="B24" s="2">
        <v>45106</v>
      </c>
      <c r="C24" s="3">
        <v>523978702</v>
      </c>
      <c r="D24" s="3">
        <v>6</v>
      </c>
      <c r="E24" s="4" t="s">
        <v>718</v>
      </c>
      <c r="F24" s="19" t="s">
        <v>754</v>
      </c>
      <c r="G24" s="10" t="s">
        <v>16</v>
      </c>
      <c r="H24" s="11">
        <v>4339.9997999999996</v>
      </c>
    </row>
    <row r="25" spans="1:8" ht="20.100000000000001" customHeight="1" x14ac:dyDescent="0.25">
      <c r="A25" s="74"/>
      <c r="B25" s="2">
        <v>45111</v>
      </c>
      <c r="C25" s="3">
        <v>134762245</v>
      </c>
      <c r="D25" s="3">
        <v>3</v>
      </c>
      <c r="E25" s="4" t="s">
        <v>803</v>
      </c>
      <c r="F25" s="19" t="s">
        <v>410</v>
      </c>
      <c r="G25" s="10" t="s">
        <v>28</v>
      </c>
      <c r="H25" s="11">
        <v>2670</v>
      </c>
    </row>
    <row r="26" spans="1:8" ht="15.75" x14ac:dyDescent="0.25">
      <c r="A26" s="74"/>
      <c r="B26" s="2">
        <v>45113</v>
      </c>
      <c r="C26" s="3">
        <v>1309494967</v>
      </c>
      <c r="D26" s="3">
        <v>4</v>
      </c>
      <c r="E26" s="4" t="s">
        <v>127</v>
      </c>
      <c r="F26" s="19" t="s">
        <v>410</v>
      </c>
      <c r="G26" s="10" t="s">
        <v>6</v>
      </c>
      <c r="H26" s="11">
        <v>3560</v>
      </c>
    </row>
    <row r="27" spans="1:8" ht="30" x14ac:dyDescent="0.25">
      <c r="A27" s="74"/>
      <c r="B27" s="2">
        <v>45121</v>
      </c>
      <c r="C27" s="3">
        <v>2973714267</v>
      </c>
      <c r="D27" s="3">
        <v>4</v>
      </c>
      <c r="E27" s="4" t="s">
        <v>840</v>
      </c>
      <c r="F27" s="19" t="s">
        <v>841</v>
      </c>
      <c r="G27" s="10" t="s">
        <v>7</v>
      </c>
      <c r="H27" s="11">
        <v>4300</v>
      </c>
    </row>
    <row r="28" spans="1:8" ht="20.100000000000001" customHeight="1" x14ac:dyDescent="0.25">
      <c r="A28" s="74"/>
      <c r="B28" s="2">
        <v>45128</v>
      </c>
      <c r="C28" s="3">
        <v>2184659409</v>
      </c>
      <c r="D28" s="3">
        <v>4</v>
      </c>
      <c r="E28" s="4" t="s">
        <v>824</v>
      </c>
      <c r="F28" s="19" t="s">
        <v>48</v>
      </c>
      <c r="G28" s="10" t="s">
        <v>6</v>
      </c>
      <c r="H28" s="11">
        <v>2136</v>
      </c>
    </row>
    <row r="29" spans="1:8" ht="20.100000000000001" customHeight="1" x14ac:dyDescent="0.25">
      <c r="A29" s="74"/>
      <c r="B29" s="2">
        <v>45132</v>
      </c>
      <c r="C29" s="3">
        <v>1744063022</v>
      </c>
      <c r="D29" s="3">
        <v>6</v>
      </c>
      <c r="E29" s="4" t="s">
        <v>819</v>
      </c>
      <c r="F29" s="19" t="s">
        <v>48</v>
      </c>
      <c r="G29" s="10" t="s">
        <v>7</v>
      </c>
      <c r="H29" s="11">
        <v>2670</v>
      </c>
    </row>
    <row r="30" spans="1:8" ht="20.100000000000001" customHeight="1" x14ac:dyDescent="0.25">
      <c r="A30" s="74"/>
      <c r="B30" s="2">
        <v>45132</v>
      </c>
      <c r="C30" s="3">
        <v>1969573760</v>
      </c>
      <c r="D30" s="3">
        <v>6</v>
      </c>
      <c r="E30" s="4" t="s">
        <v>752</v>
      </c>
      <c r="F30" s="19" t="s">
        <v>48</v>
      </c>
      <c r="G30" s="10" t="s">
        <v>28</v>
      </c>
      <c r="H30" s="11">
        <v>2670</v>
      </c>
    </row>
    <row r="31" spans="1:8" ht="20.100000000000001" customHeight="1" x14ac:dyDescent="0.25">
      <c r="A31" s="74"/>
      <c r="B31" s="2">
        <v>45134</v>
      </c>
      <c r="C31" s="3">
        <v>3419488724</v>
      </c>
      <c r="D31" s="3">
        <v>6</v>
      </c>
      <c r="E31" s="4" t="s">
        <v>842</v>
      </c>
      <c r="F31" s="19" t="s">
        <v>747</v>
      </c>
      <c r="G31" s="10" t="s">
        <v>7</v>
      </c>
      <c r="H31" s="11">
        <v>2670</v>
      </c>
    </row>
    <row r="32" spans="1:8" ht="30" x14ac:dyDescent="0.25">
      <c r="A32" s="74"/>
      <c r="B32" s="2">
        <v>45138</v>
      </c>
      <c r="C32" s="3">
        <v>1169050193</v>
      </c>
      <c r="D32" s="3">
        <v>5</v>
      </c>
      <c r="E32" s="4" t="s">
        <v>843</v>
      </c>
      <c r="F32" s="19" t="s">
        <v>410</v>
      </c>
      <c r="G32" s="10" t="s">
        <v>7</v>
      </c>
      <c r="H32" s="11">
        <v>3330</v>
      </c>
    </row>
    <row r="33" spans="1:8" ht="30" x14ac:dyDescent="0.25">
      <c r="A33" s="74"/>
      <c r="B33" s="2">
        <v>45138</v>
      </c>
      <c r="C33" s="3">
        <v>1169050193</v>
      </c>
      <c r="D33" s="3">
        <v>1</v>
      </c>
      <c r="E33" s="4" t="s">
        <v>843</v>
      </c>
      <c r="F33" s="19" t="s">
        <v>410</v>
      </c>
      <c r="G33" s="10" t="s">
        <v>7</v>
      </c>
      <c r="H33" s="11">
        <v>670</v>
      </c>
    </row>
    <row r="34" spans="1:8" ht="20.100000000000001" customHeight="1" x14ac:dyDescent="0.25">
      <c r="A34" s="74"/>
      <c r="B34" s="2">
        <v>45148</v>
      </c>
      <c r="C34" s="3">
        <v>1342522360</v>
      </c>
      <c r="D34" s="3">
        <v>5</v>
      </c>
      <c r="E34" s="4" t="s">
        <v>963</v>
      </c>
      <c r="F34" s="19" t="s">
        <v>995</v>
      </c>
      <c r="G34" s="10" t="s">
        <v>7</v>
      </c>
      <c r="H34" s="11">
        <v>2915</v>
      </c>
    </row>
    <row r="35" spans="1:8" ht="20.100000000000001" customHeight="1" x14ac:dyDescent="0.25">
      <c r="A35" s="74"/>
      <c r="B35" s="2">
        <v>45148</v>
      </c>
      <c r="C35" s="3">
        <v>1342522360</v>
      </c>
      <c r="D35" s="3">
        <v>1</v>
      </c>
      <c r="E35" s="4" t="s">
        <v>963</v>
      </c>
      <c r="F35" s="19" t="s">
        <v>995</v>
      </c>
      <c r="G35" s="10" t="s">
        <v>7</v>
      </c>
      <c r="H35" s="11">
        <v>585</v>
      </c>
    </row>
    <row r="36" spans="1:8" ht="20.100000000000001" customHeight="1" x14ac:dyDescent="0.25">
      <c r="A36" s="74"/>
      <c r="B36" s="2">
        <v>45160</v>
      </c>
      <c r="C36" s="3">
        <v>288450564</v>
      </c>
      <c r="D36" s="3">
        <v>5</v>
      </c>
      <c r="E36" s="4" t="s">
        <v>634</v>
      </c>
      <c r="F36" s="19" t="s">
        <v>747</v>
      </c>
      <c r="G36" s="10" t="s">
        <v>7</v>
      </c>
      <c r="H36" s="11">
        <v>2330</v>
      </c>
    </row>
    <row r="37" spans="1:8" ht="15.75" x14ac:dyDescent="0.25">
      <c r="A37" s="74"/>
      <c r="B37" s="2">
        <v>45160</v>
      </c>
      <c r="C37" s="3">
        <v>288450564</v>
      </c>
      <c r="D37" s="3">
        <v>1</v>
      </c>
      <c r="E37" s="4" t="s">
        <v>634</v>
      </c>
      <c r="F37" s="19" t="s">
        <v>747</v>
      </c>
      <c r="G37" s="10" t="s">
        <v>7</v>
      </c>
      <c r="H37" s="11">
        <v>470</v>
      </c>
    </row>
    <row r="38" spans="1:8" ht="20.100000000000001" customHeight="1" x14ac:dyDescent="0.25">
      <c r="A38" s="74"/>
      <c r="B38" s="2">
        <v>45163</v>
      </c>
      <c r="C38" s="3">
        <v>2079870470</v>
      </c>
      <c r="D38" s="3">
        <v>1</v>
      </c>
      <c r="E38" s="4" t="s">
        <v>996</v>
      </c>
      <c r="F38" s="19" t="s">
        <v>997</v>
      </c>
      <c r="G38" s="10" t="s">
        <v>14</v>
      </c>
      <c r="H38" s="11">
        <v>900</v>
      </c>
    </row>
    <row r="39" spans="1:8" ht="20.100000000000001" customHeight="1" x14ac:dyDescent="0.25">
      <c r="A39" s="74"/>
      <c r="B39" s="2">
        <v>45176</v>
      </c>
      <c r="C39" s="3">
        <v>2954249997</v>
      </c>
      <c r="D39" s="3">
        <v>6</v>
      </c>
      <c r="E39" s="4" t="s">
        <v>1092</v>
      </c>
      <c r="F39" s="19" t="s">
        <v>1093</v>
      </c>
      <c r="G39" s="10" t="s">
        <v>28</v>
      </c>
      <c r="H39" s="11">
        <v>4272</v>
      </c>
    </row>
    <row r="40" spans="1:8" ht="20.100000000000001" customHeight="1" x14ac:dyDescent="0.25">
      <c r="A40" s="74"/>
      <c r="B40" s="2">
        <v>45176</v>
      </c>
      <c r="C40" s="3">
        <v>2954249997</v>
      </c>
      <c r="D40" s="3">
        <v>6</v>
      </c>
      <c r="E40" s="4" t="s">
        <v>1092</v>
      </c>
      <c r="F40" s="19" t="s">
        <v>1093</v>
      </c>
      <c r="G40" s="10" t="s">
        <v>28</v>
      </c>
      <c r="H40" s="11">
        <v>2670</v>
      </c>
    </row>
    <row r="41" spans="1:8" ht="20.100000000000001" customHeight="1" x14ac:dyDescent="0.25">
      <c r="A41" s="74"/>
      <c r="B41" s="2">
        <v>45176</v>
      </c>
      <c r="C41" s="3">
        <v>648692414</v>
      </c>
      <c r="D41" s="3">
        <v>5</v>
      </c>
      <c r="E41" s="4" t="s">
        <v>1036</v>
      </c>
      <c r="F41" s="19" t="s">
        <v>1474</v>
      </c>
      <c r="G41" s="10" t="s">
        <v>7</v>
      </c>
      <c r="H41" s="11">
        <v>2965</v>
      </c>
    </row>
    <row r="42" spans="1:8" ht="20.100000000000001" customHeight="1" x14ac:dyDescent="0.25">
      <c r="A42" s="74"/>
      <c r="B42" s="2">
        <v>45176</v>
      </c>
      <c r="C42" s="3">
        <v>648692414</v>
      </c>
      <c r="D42" s="3">
        <v>1</v>
      </c>
      <c r="E42" s="4" t="s">
        <v>1036</v>
      </c>
      <c r="F42" s="19" t="s">
        <v>1474</v>
      </c>
      <c r="G42" s="10" t="s">
        <v>7</v>
      </c>
      <c r="H42" s="11">
        <v>595</v>
      </c>
    </row>
    <row r="43" spans="1:8" ht="20.100000000000001" customHeight="1" x14ac:dyDescent="0.25">
      <c r="A43" s="74"/>
      <c r="B43" s="2">
        <v>45176</v>
      </c>
      <c r="C43" s="3">
        <v>648692414</v>
      </c>
      <c r="D43" s="3">
        <v>6</v>
      </c>
      <c r="E43" s="4" t="s">
        <v>1036</v>
      </c>
      <c r="F43" s="19" t="s">
        <v>1093</v>
      </c>
      <c r="G43" s="10" t="s">
        <v>7</v>
      </c>
      <c r="H43" s="11">
        <v>2670</v>
      </c>
    </row>
    <row r="44" spans="1:8" ht="20.100000000000001" customHeight="1" x14ac:dyDescent="0.25">
      <c r="A44" s="74"/>
      <c r="B44" s="2">
        <v>45177</v>
      </c>
      <c r="C44" s="3">
        <v>2951368125</v>
      </c>
      <c r="D44" s="3">
        <v>6</v>
      </c>
      <c r="E44" s="4" t="s">
        <v>1019</v>
      </c>
      <c r="F44" s="19" t="s">
        <v>1093</v>
      </c>
      <c r="G44" s="10" t="s">
        <v>7</v>
      </c>
      <c r="H44" s="11">
        <v>3390</v>
      </c>
    </row>
    <row r="45" spans="1:8" ht="20.100000000000001" customHeight="1" x14ac:dyDescent="0.25">
      <c r="A45" s="74"/>
      <c r="B45" s="2">
        <v>45188</v>
      </c>
      <c r="C45" s="3">
        <v>4146744681</v>
      </c>
      <c r="D45" s="3">
        <v>1</v>
      </c>
      <c r="E45" s="4" t="s">
        <v>996</v>
      </c>
      <c r="F45" s="19" t="s">
        <v>1475</v>
      </c>
      <c r="G45" s="10" t="s">
        <v>14</v>
      </c>
      <c r="H45" s="11">
        <v>1770</v>
      </c>
    </row>
    <row r="46" spans="1:8" ht="20.100000000000001" customHeight="1" x14ac:dyDescent="0.25">
      <c r="A46" s="74"/>
      <c r="B46" s="2">
        <v>45198</v>
      </c>
      <c r="C46" s="3">
        <v>526732843</v>
      </c>
      <c r="D46" s="3">
        <v>6</v>
      </c>
      <c r="E46" s="4" t="s">
        <v>1023</v>
      </c>
      <c r="F46" s="19" t="s">
        <v>1093</v>
      </c>
      <c r="G46" s="10" t="s">
        <v>7</v>
      </c>
      <c r="H46" s="11">
        <v>2670</v>
      </c>
    </row>
    <row r="47" spans="1:8" ht="20.100000000000001" customHeight="1" x14ac:dyDescent="0.25">
      <c r="A47" s="74"/>
      <c r="B47" s="2">
        <v>45205</v>
      </c>
      <c r="C47" s="3">
        <v>2987934997</v>
      </c>
      <c r="D47" s="3">
        <v>8</v>
      </c>
      <c r="E47" s="4" t="s">
        <v>1145</v>
      </c>
      <c r="F47" s="55" t="s">
        <v>1176</v>
      </c>
      <c r="G47" s="10" t="s">
        <v>11</v>
      </c>
      <c r="H47" s="11">
        <v>6000</v>
      </c>
    </row>
    <row r="48" spans="1:8" ht="20.100000000000001" customHeight="1" x14ac:dyDescent="0.25">
      <c r="A48" s="74"/>
      <c r="B48" s="2">
        <v>45217</v>
      </c>
      <c r="C48" s="3">
        <v>1537166555</v>
      </c>
      <c r="D48" s="3">
        <v>6</v>
      </c>
      <c r="E48" s="4" t="s">
        <v>1121</v>
      </c>
      <c r="F48" s="19" t="s">
        <v>1093</v>
      </c>
      <c r="G48" s="10" t="s">
        <v>7</v>
      </c>
      <c r="H48" s="11">
        <v>2880</v>
      </c>
    </row>
    <row r="49" spans="1:8" ht="20.100000000000001" customHeight="1" x14ac:dyDescent="0.25">
      <c r="A49" s="74"/>
      <c r="B49" s="2">
        <v>45239</v>
      </c>
      <c r="C49" s="3">
        <v>2293188552</v>
      </c>
      <c r="D49" s="3">
        <v>6</v>
      </c>
      <c r="E49" s="4" t="s">
        <v>1203</v>
      </c>
      <c r="F49" s="19" t="s">
        <v>1093</v>
      </c>
      <c r="G49" s="10" t="s">
        <v>7</v>
      </c>
      <c r="H49" s="11">
        <v>2670</v>
      </c>
    </row>
    <row r="50" spans="1:8" ht="20.100000000000001" customHeight="1" x14ac:dyDescent="0.25">
      <c r="A50" s="74"/>
      <c r="B50" s="2">
        <v>45243</v>
      </c>
      <c r="C50" s="3">
        <v>4065282753</v>
      </c>
      <c r="D50" s="3">
        <v>6</v>
      </c>
      <c r="E50" s="4" t="s">
        <v>1277</v>
      </c>
      <c r="F50" s="19" t="s">
        <v>1292</v>
      </c>
      <c r="G50" s="10" t="s">
        <v>6</v>
      </c>
      <c r="H50" s="11">
        <v>5340</v>
      </c>
    </row>
    <row r="51" spans="1:8" ht="20.100000000000001" customHeight="1" x14ac:dyDescent="0.25">
      <c r="A51" s="74"/>
      <c r="B51" s="2">
        <v>45252</v>
      </c>
      <c r="C51" s="3">
        <v>2203339523</v>
      </c>
      <c r="D51" s="3">
        <v>6</v>
      </c>
      <c r="E51" s="4" t="s">
        <v>1257</v>
      </c>
      <c r="F51" s="19" t="s">
        <v>1292</v>
      </c>
      <c r="G51" s="10" t="s">
        <v>7</v>
      </c>
      <c r="H51" s="11">
        <v>4005</v>
      </c>
    </row>
    <row r="52" spans="1:8" ht="20.100000000000001" customHeight="1" x14ac:dyDescent="0.25">
      <c r="A52" s="74"/>
      <c r="B52" s="2">
        <v>45266</v>
      </c>
      <c r="C52" s="3">
        <v>3724560113</v>
      </c>
      <c r="D52" s="3">
        <v>5</v>
      </c>
      <c r="E52" s="4" t="s">
        <v>942</v>
      </c>
      <c r="F52" s="19" t="s">
        <v>1466</v>
      </c>
      <c r="G52" s="10" t="s">
        <v>11</v>
      </c>
      <c r="H52" s="11">
        <v>1665</v>
      </c>
    </row>
    <row r="53" spans="1:8" ht="20.100000000000001" customHeight="1" x14ac:dyDescent="0.25">
      <c r="A53" s="74"/>
      <c r="B53" s="2">
        <v>45266</v>
      </c>
      <c r="C53" s="3">
        <v>3724560113</v>
      </c>
      <c r="D53" s="3">
        <v>1</v>
      </c>
      <c r="E53" s="4" t="s">
        <v>942</v>
      </c>
      <c r="F53" s="19" t="s">
        <v>1466</v>
      </c>
      <c r="G53" s="10" t="s">
        <v>11</v>
      </c>
      <c r="H53" s="11">
        <v>335</v>
      </c>
    </row>
    <row r="54" spans="1:8" ht="20.100000000000001" customHeight="1" x14ac:dyDescent="0.25">
      <c r="A54" s="74"/>
      <c r="B54" s="2">
        <v>45271</v>
      </c>
      <c r="C54" s="3">
        <v>1011304552</v>
      </c>
      <c r="D54" s="3">
        <v>6</v>
      </c>
      <c r="E54" s="4" t="s">
        <v>1444</v>
      </c>
      <c r="F54" s="19" t="s">
        <v>48</v>
      </c>
      <c r="G54" s="10" t="s">
        <v>7</v>
      </c>
      <c r="H54" s="11">
        <v>2670</v>
      </c>
    </row>
    <row r="55" spans="1:8" ht="20.100000000000001" customHeight="1" x14ac:dyDescent="0.25">
      <c r="A55" s="74"/>
      <c r="B55" s="2">
        <v>45273</v>
      </c>
      <c r="C55" s="3">
        <v>2754954234</v>
      </c>
      <c r="D55" s="3">
        <v>8</v>
      </c>
      <c r="E55" s="4" t="s">
        <v>1415</v>
      </c>
      <c r="F55" s="19" t="s">
        <v>49</v>
      </c>
      <c r="G55" s="10" t="s">
        <v>28</v>
      </c>
      <c r="H55" s="11">
        <v>3500</v>
      </c>
    </row>
    <row r="56" spans="1:8" ht="20.100000000000001" customHeight="1" x14ac:dyDescent="0.25">
      <c r="A56" s="74"/>
      <c r="B56" s="2">
        <v>45274</v>
      </c>
      <c r="C56" s="3">
        <v>4209133247</v>
      </c>
      <c r="D56" s="3">
        <v>6</v>
      </c>
      <c r="E56" s="4" t="s">
        <v>746</v>
      </c>
      <c r="F56" s="19" t="s">
        <v>48</v>
      </c>
      <c r="G56" s="10" t="s">
        <v>6</v>
      </c>
      <c r="H56" s="11">
        <v>2670</v>
      </c>
    </row>
    <row r="57" spans="1:8" ht="20.100000000000001" customHeight="1" x14ac:dyDescent="0.25">
      <c r="A57" s="74"/>
      <c r="B57" s="2">
        <v>45274</v>
      </c>
      <c r="C57" s="3">
        <v>4191963582</v>
      </c>
      <c r="D57" s="3">
        <v>4</v>
      </c>
      <c r="E57" s="4" t="s">
        <v>1465</v>
      </c>
      <c r="F57" s="19" t="s">
        <v>48</v>
      </c>
      <c r="G57" s="10" t="s">
        <v>14</v>
      </c>
      <c r="H57" s="11">
        <v>2500</v>
      </c>
    </row>
    <row r="58" spans="1:8" ht="20.100000000000001" customHeight="1" x14ac:dyDescent="0.25">
      <c r="A58" s="74"/>
      <c r="B58" s="2">
        <v>45278</v>
      </c>
      <c r="C58" s="3">
        <v>590498235</v>
      </c>
      <c r="D58" s="3">
        <v>8</v>
      </c>
      <c r="E58" s="4" t="s">
        <v>1467</v>
      </c>
      <c r="F58" s="19" t="s">
        <v>1468</v>
      </c>
      <c r="G58" s="10" t="s">
        <v>11</v>
      </c>
      <c r="H58" s="11">
        <v>5340</v>
      </c>
    </row>
    <row r="59" spans="1:8" ht="20.100000000000001" customHeight="1" x14ac:dyDescent="0.25">
      <c r="A59" s="74"/>
      <c r="B59" s="2">
        <v>45278</v>
      </c>
      <c r="C59" s="3">
        <v>182013905</v>
      </c>
      <c r="D59" s="3">
        <v>6</v>
      </c>
      <c r="E59" s="4" t="s">
        <v>1469</v>
      </c>
      <c r="F59" s="19" t="s">
        <v>48</v>
      </c>
      <c r="G59" s="10" t="s">
        <v>28</v>
      </c>
      <c r="H59" s="11">
        <v>2670</v>
      </c>
    </row>
    <row r="60" spans="1:8" ht="15.75" x14ac:dyDescent="0.25">
      <c r="A60" s="75"/>
      <c r="B60" s="13"/>
      <c r="C60" s="14"/>
      <c r="D60" s="14"/>
      <c r="E60" s="14" t="s">
        <v>5</v>
      </c>
      <c r="F60" s="15"/>
      <c r="G60" s="16"/>
      <c r="H60" s="23">
        <f>SUM(H3:H59)</f>
        <v>154012.99979999999</v>
      </c>
    </row>
  </sheetData>
  <autoFilter ref="B1:H60" xr:uid="{00000000-0009-0000-0000-000013000000}"/>
  <mergeCells count="8">
    <mergeCell ref="A1:A60"/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8"/>
  <sheetViews>
    <sheetView topLeftCell="A18" workbookViewId="0">
      <selection activeCell="E24" sqref="E24"/>
    </sheetView>
  </sheetViews>
  <sheetFormatPr baseColWidth="10" defaultColWidth="9.140625" defaultRowHeight="15" x14ac:dyDescent="0.25"/>
  <cols>
    <col min="1" max="1" width="20.285156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5.710937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50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4"/>
      <c r="B2" s="66"/>
      <c r="C2" s="68"/>
      <c r="D2" s="68"/>
      <c r="E2" s="68"/>
      <c r="F2" s="68"/>
      <c r="G2" s="62"/>
      <c r="H2" s="64"/>
    </row>
    <row r="3" spans="1:8" ht="20.100000000000001" customHeight="1" x14ac:dyDescent="0.25">
      <c r="A3" s="74"/>
      <c r="B3" s="2">
        <v>44981</v>
      </c>
      <c r="C3" s="3">
        <v>1538738192</v>
      </c>
      <c r="D3" s="3">
        <v>1</v>
      </c>
      <c r="E3" s="4" t="s">
        <v>289</v>
      </c>
      <c r="F3" s="19" t="s">
        <v>50</v>
      </c>
      <c r="G3" s="10" t="s">
        <v>11</v>
      </c>
      <c r="H3" s="11">
        <v>220</v>
      </c>
    </row>
    <row r="4" spans="1:8" ht="20.100000000000001" customHeight="1" x14ac:dyDescent="0.25">
      <c r="A4" s="74"/>
      <c r="B4" s="2">
        <v>44987</v>
      </c>
      <c r="C4" s="3">
        <v>1563968764</v>
      </c>
      <c r="D4" s="3">
        <v>1</v>
      </c>
      <c r="E4" s="4" t="s">
        <v>414</v>
      </c>
      <c r="F4" s="19" t="s">
        <v>415</v>
      </c>
      <c r="G4" s="10" t="s">
        <v>11</v>
      </c>
      <c r="H4" s="11">
        <v>1000</v>
      </c>
    </row>
    <row r="5" spans="1:8" ht="20.100000000000001" customHeight="1" x14ac:dyDescent="0.25">
      <c r="A5" s="74"/>
      <c r="B5" s="2">
        <v>45002</v>
      </c>
      <c r="C5" s="3">
        <v>2335131016</v>
      </c>
      <c r="D5" s="3">
        <v>1</v>
      </c>
      <c r="E5" s="4" t="s">
        <v>416</v>
      </c>
      <c r="F5" s="19" t="s">
        <v>50</v>
      </c>
      <c r="G5" s="10" t="s">
        <v>14</v>
      </c>
      <c r="H5" s="11">
        <v>230</v>
      </c>
    </row>
    <row r="6" spans="1:8" ht="20.100000000000001" customHeight="1" x14ac:dyDescent="0.25">
      <c r="A6" s="74"/>
      <c r="B6" s="2">
        <v>45030</v>
      </c>
      <c r="C6" s="3">
        <v>90590367</v>
      </c>
      <c r="D6" s="3">
        <v>2</v>
      </c>
      <c r="E6" s="4" t="s">
        <v>585</v>
      </c>
      <c r="F6" s="19" t="s">
        <v>50</v>
      </c>
      <c r="G6" s="10" t="s">
        <v>6</v>
      </c>
      <c r="H6" s="11">
        <v>360</v>
      </c>
    </row>
    <row r="7" spans="1:8" ht="20.100000000000001" customHeight="1" x14ac:dyDescent="0.25">
      <c r="A7" s="74"/>
      <c r="B7" s="2">
        <v>45037</v>
      </c>
      <c r="C7" s="3">
        <v>2626896055</v>
      </c>
      <c r="D7" s="3">
        <v>2</v>
      </c>
      <c r="E7" s="4" t="s">
        <v>585</v>
      </c>
      <c r="F7" s="19" t="s">
        <v>50</v>
      </c>
      <c r="G7" s="10" t="s">
        <v>6</v>
      </c>
      <c r="H7" s="11">
        <v>360</v>
      </c>
    </row>
    <row r="8" spans="1:8" ht="20.100000000000001" customHeight="1" x14ac:dyDescent="0.25">
      <c r="A8" s="74"/>
      <c r="B8" s="2">
        <v>45040</v>
      </c>
      <c r="C8" s="3">
        <v>1416577598</v>
      </c>
      <c r="D8" s="3">
        <v>10</v>
      </c>
      <c r="E8" s="4" t="s">
        <v>586</v>
      </c>
      <c r="F8" s="19" t="s">
        <v>50</v>
      </c>
      <c r="G8" s="10" t="s">
        <v>11</v>
      </c>
      <c r="H8" s="11">
        <v>1200</v>
      </c>
    </row>
    <row r="9" spans="1:8" ht="20.100000000000001" customHeight="1" x14ac:dyDescent="0.25">
      <c r="A9" s="74"/>
      <c r="B9" s="2">
        <v>45040</v>
      </c>
      <c r="C9" s="3">
        <v>4087041600</v>
      </c>
      <c r="D9" s="3">
        <v>5</v>
      </c>
      <c r="E9" s="4" t="s">
        <v>587</v>
      </c>
      <c r="F9" s="19" t="s">
        <v>50</v>
      </c>
      <c r="G9" s="10" t="s">
        <v>14</v>
      </c>
      <c r="H9" s="11">
        <v>900</v>
      </c>
    </row>
    <row r="10" spans="1:8" ht="20.100000000000001" customHeight="1" x14ac:dyDescent="0.25">
      <c r="A10" s="74"/>
      <c r="B10" s="2">
        <v>45042</v>
      </c>
      <c r="C10" s="3">
        <v>2064532099</v>
      </c>
      <c r="D10" s="3">
        <v>5</v>
      </c>
      <c r="E10" s="4" t="s">
        <v>448</v>
      </c>
      <c r="F10" s="19" t="s">
        <v>50</v>
      </c>
      <c r="G10" s="10" t="s">
        <v>14</v>
      </c>
      <c r="H10" s="11">
        <v>600</v>
      </c>
    </row>
    <row r="11" spans="1:8" ht="20.100000000000001" customHeight="1" x14ac:dyDescent="0.25">
      <c r="A11" s="74"/>
      <c r="B11" s="2">
        <v>45042</v>
      </c>
      <c r="C11" s="3">
        <v>2064532099</v>
      </c>
      <c r="D11" s="3">
        <v>5</v>
      </c>
      <c r="E11" s="4" t="s">
        <v>119</v>
      </c>
      <c r="F11" s="19" t="s">
        <v>50</v>
      </c>
      <c r="G11" s="10" t="s">
        <v>14</v>
      </c>
      <c r="H11" s="11">
        <v>600</v>
      </c>
    </row>
    <row r="12" spans="1:8" ht="20.100000000000001" customHeight="1" x14ac:dyDescent="0.25">
      <c r="A12" s="74"/>
      <c r="B12" s="2">
        <v>45048</v>
      </c>
      <c r="C12" s="3">
        <v>2562475862</v>
      </c>
      <c r="D12" s="3">
        <v>5</v>
      </c>
      <c r="E12" s="4" t="s">
        <v>615</v>
      </c>
      <c r="F12" s="19" t="s">
        <v>677</v>
      </c>
      <c r="G12" s="10" t="s">
        <v>6</v>
      </c>
      <c r="H12" s="11">
        <v>1000</v>
      </c>
    </row>
    <row r="13" spans="1:8" ht="20.100000000000001" customHeight="1" x14ac:dyDescent="0.25">
      <c r="A13" s="74"/>
      <c r="B13" s="2">
        <v>45048</v>
      </c>
      <c r="C13" s="3">
        <v>226640767</v>
      </c>
      <c r="D13" s="3">
        <v>1</v>
      </c>
      <c r="E13" s="4" t="s">
        <v>585</v>
      </c>
      <c r="F13" s="19" t="s">
        <v>677</v>
      </c>
      <c r="G13" s="10" t="s">
        <v>28</v>
      </c>
      <c r="H13" s="11">
        <v>180</v>
      </c>
    </row>
    <row r="14" spans="1:8" ht="20.100000000000001" customHeight="1" x14ac:dyDescent="0.25">
      <c r="A14" s="74"/>
      <c r="B14" s="2">
        <v>45055</v>
      </c>
      <c r="C14" s="3">
        <v>1037452307</v>
      </c>
      <c r="D14" s="3">
        <v>10</v>
      </c>
      <c r="E14" s="4" t="s">
        <v>651</v>
      </c>
      <c r="F14" s="19" t="s">
        <v>677</v>
      </c>
      <c r="G14" s="10" t="s">
        <v>6</v>
      </c>
      <c r="H14" s="11">
        <v>1500</v>
      </c>
    </row>
    <row r="15" spans="1:8" ht="30" x14ac:dyDescent="0.25">
      <c r="A15" s="74"/>
      <c r="B15" s="2">
        <v>45063</v>
      </c>
      <c r="C15" s="3">
        <v>3678818091</v>
      </c>
      <c r="D15" s="3">
        <v>1</v>
      </c>
      <c r="E15" s="4" t="s">
        <v>651</v>
      </c>
      <c r="F15" s="19" t="s">
        <v>678</v>
      </c>
      <c r="G15" s="10" t="s">
        <v>6</v>
      </c>
      <c r="H15" s="11">
        <v>300</v>
      </c>
    </row>
    <row r="16" spans="1:8" ht="20.100000000000001" customHeight="1" x14ac:dyDescent="0.25">
      <c r="A16" s="74"/>
      <c r="B16" s="2">
        <v>45064</v>
      </c>
      <c r="C16" s="3">
        <v>2044872307</v>
      </c>
      <c r="D16" s="3">
        <v>5</v>
      </c>
      <c r="E16" s="4" t="s">
        <v>613</v>
      </c>
      <c r="F16" s="19" t="s">
        <v>677</v>
      </c>
      <c r="G16" s="10" t="s">
        <v>7</v>
      </c>
      <c r="H16" s="11">
        <v>900</v>
      </c>
    </row>
    <row r="17" spans="1:8" ht="20.100000000000001" customHeight="1" x14ac:dyDescent="0.25">
      <c r="A17" s="74"/>
      <c r="B17" s="2">
        <v>45068</v>
      </c>
      <c r="C17" s="3">
        <v>25054376</v>
      </c>
      <c r="D17" s="3">
        <v>10</v>
      </c>
      <c r="E17" s="4" t="s">
        <v>653</v>
      </c>
      <c r="F17" s="19" t="s">
        <v>677</v>
      </c>
      <c r="G17" s="10" t="s">
        <v>14</v>
      </c>
      <c r="H17" s="11">
        <v>1800</v>
      </c>
    </row>
    <row r="18" spans="1:8" ht="20.100000000000001" customHeight="1" x14ac:dyDescent="0.25">
      <c r="A18" s="74"/>
      <c r="B18" s="2">
        <v>45086</v>
      </c>
      <c r="C18" s="3">
        <v>3230418764</v>
      </c>
      <c r="D18" s="3">
        <v>10</v>
      </c>
      <c r="E18" s="4" t="s">
        <v>735</v>
      </c>
      <c r="F18" s="19" t="s">
        <v>50</v>
      </c>
      <c r="G18" s="10" t="s">
        <v>7</v>
      </c>
      <c r="H18" s="11">
        <v>1800</v>
      </c>
    </row>
    <row r="19" spans="1:8" ht="20.100000000000001" customHeight="1" x14ac:dyDescent="0.25">
      <c r="A19" s="74"/>
      <c r="B19" s="2">
        <v>45089</v>
      </c>
      <c r="C19" s="3">
        <v>1049709474</v>
      </c>
      <c r="D19" s="3">
        <v>10</v>
      </c>
      <c r="E19" s="4" t="s">
        <v>231</v>
      </c>
      <c r="F19" s="19" t="s">
        <v>50</v>
      </c>
      <c r="G19" s="10" t="s">
        <v>28</v>
      </c>
      <c r="H19" s="11">
        <v>1800</v>
      </c>
    </row>
    <row r="20" spans="1:8" ht="20.100000000000001" customHeight="1" x14ac:dyDescent="0.25">
      <c r="A20" s="74"/>
      <c r="B20" s="2">
        <v>45097</v>
      </c>
      <c r="C20" s="3">
        <v>1311001922</v>
      </c>
      <c r="D20" s="3">
        <v>10</v>
      </c>
      <c r="E20" s="4" t="s">
        <v>740</v>
      </c>
      <c r="F20" s="19" t="s">
        <v>50</v>
      </c>
      <c r="G20" s="10" t="s">
        <v>14</v>
      </c>
      <c r="H20" s="11">
        <v>1800</v>
      </c>
    </row>
    <row r="21" spans="1:8" ht="20.100000000000001" customHeight="1" x14ac:dyDescent="0.25">
      <c r="A21" s="74"/>
      <c r="B21" s="2">
        <v>45097</v>
      </c>
      <c r="C21" s="3">
        <v>1010778442</v>
      </c>
      <c r="D21" s="3">
        <v>10</v>
      </c>
      <c r="E21" s="4" t="s">
        <v>127</v>
      </c>
      <c r="F21" s="19" t="s">
        <v>50</v>
      </c>
      <c r="G21" s="10" t="s">
        <v>7</v>
      </c>
      <c r="H21" s="11">
        <v>1800</v>
      </c>
    </row>
    <row r="22" spans="1:8" ht="20.100000000000001" customHeight="1" x14ac:dyDescent="0.25">
      <c r="A22" s="74"/>
      <c r="B22" s="2">
        <v>45099</v>
      </c>
      <c r="C22" s="3">
        <v>396904927</v>
      </c>
      <c r="D22" s="3">
        <v>5</v>
      </c>
      <c r="E22" s="4" t="s">
        <v>755</v>
      </c>
      <c r="F22" s="19" t="s">
        <v>756</v>
      </c>
      <c r="G22" s="10" t="s">
        <v>7</v>
      </c>
      <c r="H22" s="11">
        <v>450</v>
      </c>
    </row>
    <row r="23" spans="1:8" ht="20.100000000000001" customHeight="1" x14ac:dyDescent="0.25">
      <c r="A23" s="74"/>
      <c r="B23" s="2">
        <v>45103</v>
      </c>
      <c r="C23" s="3">
        <v>672744244</v>
      </c>
      <c r="D23" s="3">
        <v>10</v>
      </c>
      <c r="E23" s="4" t="s">
        <v>757</v>
      </c>
      <c r="F23" s="19" t="s">
        <v>758</v>
      </c>
      <c r="G23" s="10" t="s">
        <v>14</v>
      </c>
      <c r="H23" s="11">
        <v>1800</v>
      </c>
    </row>
    <row r="24" spans="1:8" ht="20.100000000000001" customHeight="1" x14ac:dyDescent="0.25">
      <c r="A24" s="74"/>
      <c r="B24" s="2">
        <v>45113</v>
      </c>
      <c r="C24" s="3">
        <v>1309494967</v>
      </c>
      <c r="D24" s="3">
        <v>10</v>
      </c>
      <c r="E24" s="4" t="s">
        <v>127</v>
      </c>
      <c r="F24" s="19" t="s">
        <v>50</v>
      </c>
      <c r="G24" s="10" t="s">
        <v>6</v>
      </c>
      <c r="H24" s="11">
        <v>1800</v>
      </c>
    </row>
    <row r="25" spans="1:8" ht="20.100000000000001" customHeight="1" x14ac:dyDescent="0.25">
      <c r="A25" s="74"/>
      <c r="B25" s="2">
        <v>45118</v>
      </c>
      <c r="C25" s="3">
        <v>1025460831</v>
      </c>
      <c r="D25" s="3">
        <v>6</v>
      </c>
      <c r="E25" s="4" t="s">
        <v>844</v>
      </c>
      <c r="F25" s="19" t="s">
        <v>50</v>
      </c>
      <c r="G25" s="10" t="s">
        <v>7</v>
      </c>
      <c r="H25" s="11">
        <v>1080</v>
      </c>
    </row>
    <row r="26" spans="1:8" ht="20.100000000000001" customHeight="1" x14ac:dyDescent="0.25">
      <c r="A26" s="74"/>
      <c r="B26" s="2">
        <v>45121</v>
      </c>
      <c r="C26" s="3">
        <v>2973714267</v>
      </c>
      <c r="D26" s="3">
        <v>5</v>
      </c>
      <c r="E26" s="4" t="s">
        <v>840</v>
      </c>
      <c r="F26" s="19" t="s">
        <v>50</v>
      </c>
      <c r="G26" s="10" t="s">
        <v>7</v>
      </c>
      <c r="H26" s="11">
        <v>900</v>
      </c>
    </row>
    <row r="27" spans="1:8" ht="20.100000000000001" customHeight="1" x14ac:dyDescent="0.25">
      <c r="A27" s="74"/>
      <c r="B27" s="2">
        <v>45161</v>
      </c>
      <c r="C27" s="3">
        <v>3803530007</v>
      </c>
      <c r="D27" s="3">
        <v>6</v>
      </c>
      <c r="E27" s="4" t="s">
        <v>998</v>
      </c>
      <c r="F27" s="19" t="s">
        <v>50</v>
      </c>
      <c r="G27" s="10" t="s">
        <v>6</v>
      </c>
      <c r="H27" s="11">
        <v>1080</v>
      </c>
    </row>
    <row r="28" spans="1:8" ht="20.100000000000001" customHeight="1" x14ac:dyDescent="0.25">
      <c r="A28" s="74"/>
      <c r="B28" s="2">
        <v>45162</v>
      </c>
      <c r="C28" s="3">
        <v>2834974630</v>
      </c>
      <c r="D28" s="3">
        <v>10</v>
      </c>
      <c r="E28" s="4" t="s">
        <v>999</v>
      </c>
      <c r="F28" s="19" t="s">
        <v>50</v>
      </c>
      <c r="G28" s="10" t="s">
        <v>7</v>
      </c>
      <c r="H28" s="11">
        <v>1800</v>
      </c>
    </row>
    <row r="29" spans="1:8" ht="20.100000000000001" customHeight="1" x14ac:dyDescent="0.25">
      <c r="A29" s="74"/>
      <c r="B29" s="2">
        <v>45170</v>
      </c>
      <c r="C29" s="3">
        <v>3320202046</v>
      </c>
      <c r="D29" s="3">
        <v>10</v>
      </c>
      <c r="E29" s="4" t="s">
        <v>1094</v>
      </c>
      <c r="F29" s="19" t="s">
        <v>50</v>
      </c>
      <c r="G29" s="10" t="s">
        <v>16</v>
      </c>
      <c r="H29" s="11">
        <v>1800</v>
      </c>
    </row>
    <row r="30" spans="1:8" ht="20.100000000000001" customHeight="1" x14ac:dyDescent="0.25">
      <c r="A30" s="74"/>
      <c r="B30" s="2">
        <v>45170</v>
      </c>
      <c r="C30" s="3">
        <v>3015131601</v>
      </c>
      <c r="D30" s="3">
        <v>10</v>
      </c>
      <c r="E30" s="4" t="s">
        <v>1095</v>
      </c>
      <c r="F30" s="19" t="s">
        <v>50</v>
      </c>
      <c r="G30" s="10" t="s">
        <v>16</v>
      </c>
      <c r="H30" s="11">
        <v>1800</v>
      </c>
    </row>
    <row r="31" spans="1:8" ht="20.100000000000001" customHeight="1" x14ac:dyDescent="0.25">
      <c r="A31" s="74"/>
      <c r="B31" s="2">
        <v>45180</v>
      </c>
      <c r="C31" s="3">
        <v>536692781</v>
      </c>
      <c r="D31" s="3">
        <v>6</v>
      </c>
      <c r="E31" s="4" t="s">
        <v>1022</v>
      </c>
      <c r="F31" s="19" t="s">
        <v>50</v>
      </c>
      <c r="G31" s="10" t="s">
        <v>7</v>
      </c>
      <c r="H31" s="11">
        <v>780</v>
      </c>
    </row>
    <row r="32" spans="1:8" ht="20.100000000000001" customHeight="1" x14ac:dyDescent="0.25">
      <c r="A32" s="74"/>
      <c r="B32" s="2">
        <v>45189</v>
      </c>
      <c r="C32" s="3">
        <v>161696220</v>
      </c>
      <c r="D32" s="3">
        <v>5</v>
      </c>
      <c r="E32" s="4" t="s">
        <v>1069</v>
      </c>
      <c r="F32" s="19" t="s">
        <v>50</v>
      </c>
      <c r="G32" s="10" t="s">
        <v>7</v>
      </c>
      <c r="H32" s="11">
        <v>1632.5</v>
      </c>
    </row>
    <row r="33" spans="1:8" ht="20.100000000000001" customHeight="1" x14ac:dyDescent="0.25">
      <c r="A33" s="74"/>
      <c r="B33" s="2">
        <v>45189</v>
      </c>
      <c r="C33" s="3">
        <v>161696220</v>
      </c>
      <c r="D33" s="3">
        <v>1</v>
      </c>
      <c r="E33" s="4" t="s">
        <v>1069</v>
      </c>
      <c r="F33" s="19" t="s">
        <v>50</v>
      </c>
      <c r="G33" s="10" t="s">
        <v>7</v>
      </c>
      <c r="H33" s="11">
        <v>327.5</v>
      </c>
    </row>
    <row r="34" spans="1:8" ht="20.100000000000001" customHeight="1" x14ac:dyDescent="0.25">
      <c r="A34" s="74"/>
      <c r="B34" s="2">
        <v>45194</v>
      </c>
      <c r="C34" s="3">
        <v>78465167</v>
      </c>
      <c r="D34" s="3">
        <v>1</v>
      </c>
      <c r="E34" s="4" t="s">
        <v>1096</v>
      </c>
      <c r="F34" s="19" t="s">
        <v>50</v>
      </c>
      <c r="G34" s="10" t="s">
        <v>14</v>
      </c>
      <c r="H34" s="11">
        <v>250</v>
      </c>
    </row>
    <row r="35" spans="1:8" ht="20.100000000000001" customHeight="1" x14ac:dyDescent="0.25">
      <c r="A35" s="74"/>
      <c r="B35" s="2">
        <v>45229</v>
      </c>
      <c r="C35" s="3">
        <v>4104670270</v>
      </c>
      <c r="D35" s="3">
        <v>1</v>
      </c>
      <c r="E35" s="4" t="s">
        <v>1177</v>
      </c>
      <c r="F35" s="19" t="s">
        <v>1178</v>
      </c>
      <c r="G35" s="10" t="s">
        <v>14</v>
      </c>
      <c r="H35" s="11">
        <v>180</v>
      </c>
    </row>
    <row r="36" spans="1:8" ht="20.100000000000001" customHeight="1" x14ac:dyDescent="0.25">
      <c r="A36" s="74"/>
      <c r="B36" s="2">
        <v>45240</v>
      </c>
      <c r="C36" s="3">
        <v>2982757121</v>
      </c>
      <c r="D36" s="3">
        <v>2</v>
      </c>
      <c r="E36" s="4" t="s">
        <v>1221</v>
      </c>
      <c r="F36" s="19" t="s">
        <v>1178</v>
      </c>
      <c r="G36" s="10" t="s">
        <v>6</v>
      </c>
      <c r="H36" s="11">
        <v>360</v>
      </c>
    </row>
    <row r="37" spans="1:8" ht="20.100000000000001" customHeight="1" x14ac:dyDescent="0.25">
      <c r="A37" s="74"/>
      <c r="B37" s="2">
        <v>45265</v>
      </c>
      <c r="C37" s="3">
        <v>2714255864</v>
      </c>
      <c r="D37" s="3">
        <v>9</v>
      </c>
      <c r="E37" s="4" t="s">
        <v>144</v>
      </c>
      <c r="F37" s="19" t="s">
        <v>1457</v>
      </c>
      <c r="G37" s="10" t="s">
        <v>14</v>
      </c>
      <c r="H37" s="11">
        <v>1620</v>
      </c>
    </row>
    <row r="38" spans="1:8" ht="15.75" x14ac:dyDescent="0.25">
      <c r="A38" s="75"/>
      <c r="B38" s="13"/>
      <c r="C38" s="14"/>
      <c r="D38" s="14"/>
      <c r="E38" s="14" t="s">
        <v>5</v>
      </c>
      <c r="F38" s="15"/>
      <c r="G38" s="16"/>
      <c r="H38" s="23">
        <f>SUM(H3:H37)</f>
        <v>36010</v>
      </c>
    </row>
  </sheetData>
  <autoFilter ref="A1:H38" xr:uid="{00000000-0009-0000-0000-000014000000}"/>
  <mergeCells count="8">
    <mergeCell ref="F1:F2"/>
    <mergeCell ref="G1:G2"/>
    <mergeCell ref="H1:H2"/>
    <mergeCell ref="A1:A38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3"/>
  <sheetViews>
    <sheetView topLeftCell="A4" workbookViewId="0">
      <selection activeCell="E20" sqref="E20"/>
    </sheetView>
  </sheetViews>
  <sheetFormatPr baseColWidth="10" defaultColWidth="9.140625" defaultRowHeight="15" x14ac:dyDescent="0.25"/>
  <cols>
    <col min="1" max="1" width="16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2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52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4"/>
      <c r="B2" s="66"/>
      <c r="C2" s="68"/>
      <c r="D2" s="68"/>
      <c r="E2" s="68"/>
      <c r="F2" s="68"/>
      <c r="G2" s="62"/>
      <c r="H2" s="64"/>
    </row>
    <row r="3" spans="1:8" ht="20.100000000000001" customHeight="1" x14ac:dyDescent="0.25">
      <c r="A3" s="74"/>
      <c r="B3" s="2">
        <v>44935</v>
      </c>
      <c r="C3" s="3">
        <v>3232188127</v>
      </c>
      <c r="D3" s="3">
        <v>1</v>
      </c>
      <c r="E3" s="4" t="s">
        <v>191</v>
      </c>
      <c r="F3" s="3" t="s">
        <v>52</v>
      </c>
      <c r="G3" s="10" t="s">
        <v>6</v>
      </c>
      <c r="H3" s="11">
        <v>600</v>
      </c>
    </row>
    <row r="4" spans="1:8" ht="20.100000000000001" customHeight="1" x14ac:dyDescent="0.25">
      <c r="A4" s="74"/>
      <c r="B4" s="2">
        <v>44936</v>
      </c>
      <c r="C4" s="3">
        <v>1634550648</v>
      </c>
      <c r="D4" s="3">
        <v>1</v>
      </c>
      <c r="E4" s="4" t="s">
        <v>187</v>
      </c>
      <c r="F4" s="3" t="s">
        <v>52</v>
      </c>
      <c r="G4" s="10" t="s">
        <v>6</v>
      </c>
      <c r="H4" s="11">
        <v>650</v>
      </c>
    </row>
    <row r="5" spans="1:8" ht="20.100000000000001" customHeight="1" x14ac:dyDescent="0.25">
      <c r="A5" s="74"/>
      <c r="B5" s="2">
        <v>44939</v>
      </c>
      <c r="C5" s="3">
        <v>1251688846</v>
      </c>
      <c r="D5" s="3">
        <v>1</v>
      </c>
      <c r="E5" s="4" t="s">
        <v>77</v>
      </c>
      <c r="F5" s="3" t="s">
        <v>52</v>
      </c>
      <c r="G5" s="10" t="s">
        <v>6</v>
      </c>
      <c r="H5" s="11">
        <v>650</v>
      </c>
    </row>
    <row r="6" spans="1:8" ht="20.100000000000001" customHeight="1" x14ac:dyDescent="0.25">
      <c r="A6" s="74"/>
      <c r="B6" s="2">
        <v>44956</v>
      </c>
      <c r="C6" s="3">
        <v>3581166546</v>
      </c>
      <c r="D6" s="3">
        <v>1</v>
      </c>
      <c r="E6" s="4" t="s">
        <v>150</v>
      </c>
      <c r="F6" s="3" t="s">
        <v>52</v>
      </c>
      <c r="G6" s="10" t="s">
        <v>6</v>
      </c>
      <c r="H6" s="11">
        <v>650</v>
      </c>
    </row>
    <row r="7" spans="1:8" ht="20.100000000000001" customHeight="1" x14ac:dyDescent="0.25">
      <c r="A7" s="74"/>
      <c r="B7" s="2">
        <v>44973</v>
      </c>
      <c r="C7" s="3">
        <v>1258243715</v>
      </c>
      <c r="D7" s="3">
        <v>1</v>
      </c>
      <c r="E7" s="4" t="s">
        <v>263</v>
      </c>
      <c r="F7" s="3" t="s">
        <v>52</v>
      </c>
      <c r="G7" s="10" t="s">
        <v>16</v>
      </c>
      <c r="H7" s="11">
        <v>650</v>
      </c>
    </row>
    <row r="8" spans="1:8" ht="20.100000000000001" customHeight="1" x14ac:dyDescent="0.25">
      <c r="A8" s="74"/>
      <c r="B8" s="2">
        <v>45180</v>
      </c>
      <c r="C8" s="3">
        <v>2241154763</v>
      </c>
      <c r="D8" s="3">
        <v>1</v>
      </c>
      <c r="E8" s="4" t="s">
        <v>1082</v>
      </c>
      <c r="F8" s="3" t="s">
        <v>1034</v>
      </c>
      <c r="G8" s="10" t="s">
        <v>6</v>
      </c>
      <c r="H8" s="11">
        <v>650</v>
      </c>
    </row>
    <row r="9" spans="1:8" ht="20.100000000000001" customHeight="1" x14ac:dyDescent="0.25">
      <c r="A9" s="74"/>
      <c r="B9" s="2">
        <v>45188</v>
      </c>
      <c r="C9" s="3">
        <v>3045738417</v>
      </c>
      <c r="D9" s="3">
        <v>3</v>
      </c>
      <c r="E9" s="4" t="s">
        <v>1033</v>
      </c>
      <c r="F9" s="3" t="s">
        <v>1034</v>
      </c>
      <c r="G9" s="10" t="s">
        <v>28</v>
      </c>
      <c r="H9" s="11">
        <v>1770</v>
      </c>
    </row>
    <row r="10" spans="1:8" ht="20.100000000000001" customHeight="1" x14ac:dyDescent="0.25">
      <c r="A10" s="74"/>
      <c r="B10" s="2">
        <v>45188</v>
      </c>
      <c r="C10" s="3">
        <v>1965903057</v>
      </c>
      <c r="D10" s="3">
        <v>3</v>
      </c>
      <c r="E10" s="4" t="s">
        <v>1035</v>
      </c>
      <c r="F10" s="3" t="s">
        <v>1034</v>
      </c>
      <c r="G10" s="10" t="s">
        <v>28</v>
      </c>
      <c r="H10" s="11">
        <v>1770</v>
      </c>
    </row>
    <row r="11" spans="1:8" ht="20.100000000000001" customHeight="1" x14ac:dyDescent="0.25">
      <c r="A11" s="74"/>
      <c r="B11" s="2">
        <v>45194</v>
      </c>
      <c r="C11" s="3">
        <v>2464498696</v>
      </c>
      <c r="D11" s="3">
        <v>3</v>
      </c>
      <c r="E11" s="4" t="s">
        <v>1036</v>
      </c>
      <c r="F11" s="3" t="s">
        <v>1034</v>
      </c>
      <c r="G11" s="10" t="s">
        <v>7</v>
      </c>
      <c r="H11" s="11">
        <v>1770</v>
      </c>
    </row>
    <row r="12" spans="1:8" ht="20.100000000000001" customHeight="1" x14ac:dyDescent="0.25">
      <c r="A12" s="74"/>
      <c r="B12" s="2">
        <v>45233</v>
      </c>
      <c r="C12" s="3">
        <v>1711164460</v>
      </c>
      <c r="D12" s="3">
        <v>1</v>
      </c>
      <c r="E12" s="4" t="s">
        <v>1209</v>
      </c>
      <c r="F12" s="3" t="s">
        <v>1034</v>
      </c>
      <c r="G12" s="10" t="s">
        <v>6</v>
      </c>
      <c r="H12" s="11">
        <v>650</v>
      </c>
    </row>
    <row r="13" spans="1:8" ht="15.75" x14ac:dyDescent="0.25">
      <c r="A13" s="75"/>
      <c r="B13" s="13"/>
      <c r="C13" s="14"/>
      <c r="D13" s="14"/>
      <c r="E13" s="14" t="s">
        <v>5</v>
      </c>
      <c r="F13" s="15"/>
      <c r="G13" s="16"/>
      <c r="H13" s="23">
        <f>SUM(H3:H12)</f>
        <v>9810</v>
      </c>
    </row>
  </sheetData>
  <mergeCells count="8">
    <mergeCell ref="A1:A13"/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7"/>
  <sheetViews>
    <sheetView topLeftCell="A9" workbookViewId="0">
      <selection activeCell="B19" sqref="B19"/>
    </sheetView>
  </sheetViews>
  <sheetFormatPr baseColWidth="10" defaultColWidth="9.140625" defaultRowHeight="15" x14ac:dyDescent="0.25"/>
  <cols>
    <col min="1" max="1" width="24.425781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6.28515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53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4"/>
      <c r="B2" s="66"/>
      <c r="C2" s="68"/>
      <c r="D2" s="68"/>
      <c r="E2" s="68"/>
      <c r="F2" s="68"/>
      <c r="G2" s="62"/>
      <c r="H2" s="64"/>
    </row>
    <row r="3" spans="1:8" ht="15" customHeight="1" x14ac:dyDescent="0.25">
      <c r="A3" s="74"/>
      <c r="B3" s="2">
        <v>44931</v>
      </c>
      <c r="C3" s="3">
        <v>8077385</v>
      </c>
      <c r="D3" s="3">
        <v>6</v>
      </c>
      <c r="E3" s="4" t="s">
        <v>21</v>
      </c>
      <c r="F3" s="19" t="s">
        <v>192</v>
      </c>
      <c r="G3" s="10" t="s">
        <v>7</v>
      </c>
      <c r="H3" s="11">
        <v>2856</v>
      </c>
    </row>
    <row r="4" spans="1:8" ht="15" customHeight="1" x14ac:dyDescent="0.25">
      <c r="A4" s="74"/>
      <c r="B4" s="2">
        <v>45007</v>
      </c>
      <c r="C4" s="3">
        <v>226118147</v>
      </c>
      <c r="D4" s="3">
        <v>8</v>
      </c>
      <c r="E4" s="4" t="s">
        <v>363</v>
      </c>
      <c r="F4" s="19" t="s">
        <v>417</v>
      </c>
      <c r="G4" s="10" t="s">
        <v>7</v>
      </c>
      <c r="H4" s="11">
        <v>2128</v>
      </c>
    </row>
    <row r="5" spans="1:8" ht="15" customHeight="1" x14ac:dyDescent="0.25">
      <c r="A5" s="74"/>
      <c r="B5" s="2">
        <v>45041</v>
      </c>
      <c r="C5" s="3">
        <v>779174422</v>
      </c>
      <c r="D5" s="3">
        <v>8</v>
      </c>
      <c r="E5" s="4" t="s">
        <v>560</v>
      </c>
      <c r="F5" s="19" t="s">
        <v>588</v>
      </c>
      <c r="G5" s="10" t="s">
        <v>6</v>
      </c>
      <c r="H5" s="11">
        <v>2500</v>
      </c>
    </row>
    <row r="6" spans="1:8" ht="15" customHeight="1" x14ac:dyDescent="0.25">
      <c r="A6" s="74"/>
      <c r="B6" s="2">
        <v>45072</v>
      </c>
      <c r="C6" s="3">
        <v>2444970953</v>
      </c>
      <c r="D6" s="3">
        <v>8</v>
      </c>
      <c r="E6" s="4" t="s">
        <v>639</v>
      </c>
      <c r="F6" s="19" t="s">
        <v>679</v>
      </c>
      <c r="G6" s="10" t="s">
        <v>7</v>
      </c>
      <c r="H6" s="11">
        <v>2240</v>
      </c>
    </row>
    <row r="7" spans="1:8" ht="15" customHeight="1" x14ac:dyDescent="0.25">
      <c r="A7" s="74"/>
      <c r="B7" s="2">
        <v>45084</v>
      </c>
      <c r="C7" s="3">
        <v>2573160404</v>
      </c>
      <c r="D7" s="3">
        <v>8</v>
      </c>
      <c r="E7" s="4" t="s">
        <v>723</v>
      </c>
      <c r="F7" s="19" t="s">
        <v>759</v>
      </c>
      <c r="G7" s="10" t="s">
        <v>6</v>
      </c>
      <c r="H7" s="11">
        <v>2056</v>
      </c>
    </row>
    <row r="8" spans="1:8" ht="15" customHeight="1" x14ac:dyDescent="0.25">
      <c r="A8" s="74"/>
      <c r="B8" s="2">
        <v>45099</v>
      </c>
      <c r="C8" s="3">
        <v>3564389051</v>
      </c>
      <c r="D8" s="3">
        <v>8</v>
      </c>
      <c r="E8" s="4" t="s">
        <v>726</v>
      </c>
      <c r="F8" s="19" t="s">
        <v>760</v>
      </c>
      <c r="G8" s="10" t="s">
        <v>6</v>
      </c>
      <c r="H8" s="11">
        <v>4200</v>
      </c>
    </row>
    <row r="9" spans="1:8" ht="15" customHeight="1" x14ac:dyDescent="0.25">
      <c r="A9" s="74"/>
      <c r="B9" s="2">
        <v>45126</v>
      </c>
      <c r="C9" s="3">
        <v>3241168669</v>
      </c>
      <c r="D9" s="3">
        <v>8</v>
      </c>
      <c r="E9" s="4" t="s">
        <v>809</v>
      </c>
      <c r="F9" s="19" t="s">
        <v>845</v>
      </c>
      <c r="G9" s="10" t="s">
        <v>7</v>
      </c>
      <c r="H9" s="11">
        <v>2688</v>
      </c>
    </row>
    <row r="10" spans="1:8" ht="15" customHeight="1" x14ac:dyDescent="0.25">
      <c r="A10" s="74"/>
      <c r="B10" s="2">
        <v>45134</v>
      </c>
      <c r="C10" s="3">
        <v>3419488724</v>
      </c>
      <c r="D10" s="3">
        <v>8</v>
      </c>
      <c r="E10" s="4" t="s">
        <v>842</v>
      </c>
      <c r="F10" s="19" t="s">
        <v>846</v>
      </c>
      <c r="G10" s="10" t="s">
        <v>7</v>
      </c>
      <c r="H10" s="11">
        <v>3840</v>
      </c>
    </row>
    <row r="11" spans="1:8" ht="15" customHeight="1" x14ac:dyDescent="0.25">
      <c r="A11" s="74"/>
      <c r="B11" s="2">
        <v>45146</v>
      </c>
      <c r="C11" s="3">
        <v>4165747199</v>
      </c>
      <c r="D11" s="3">
        <v>6</v>
      </c>
      <c r="E11" s="4" t="s">
        <v>90</v>
      </c>
      <c r="F11" s="19" t="s">
        <v>1000</v>
      </c>
      <c r="G11" s="10" t="s">
        <v>28</v>
      </c>
      <c r="H11" s="11">
        <v>2280</v>
      </c>
    </row>
    <row r="12" spans="1:8" ht="15" customHeight="1" x14ac:dyDescent="0.25">
      <c r="A12" s="74"/>
      <c r="B12" s="2">
        <v>45155</v>
      </c>
      <c r="C12" s="3">
        <v>3861465003</v>
      </c>
      <c r="D12" s="3">
        <v>2</v>
      </c>
      <c r="E12" s="4" t="s">
        <v>966</v>
      </c>
      <c r="F12" s="19" t="s">
        <v>1001</v>
      </c>
      <c r="G12" s="10" t="s">
        <v>6</v>
      </c>
      <c r="H12" s="11">
        <v>1000</v>
      </c>
    </row>
    <row r="13" spans="1:8" ht="15" customHeight="1" x14ac:dyDescent="0.25">
      <c r="A13" s="74"/>
      <c r="B13" s="2">
        <v>45162</v>
      </c>
      <c r="C13" s="3">
        <v>438585984</v>
      </c>
      <c r="D13" s="3">
        <v>8</v>
      </c>
      <c r="E13" s="4" t="s">
        <v>813</v>
      </c>
      <c r="F13" s="19" t="s">
        <v>1002</v>
      </c>
      <c r="G13" s="10" t="s">
        <v>11</v>
      </c>
      <c r="H13" s="11">
        <v>3000</v>
      </c>
    </row>
    <row r="14" spans="1:8" ht="15" customHeight="1" x14ac:dyDescent="0.25">
      <c r="A14" s="74"/>
      <c r="B14" s="2">
        <v>45205</v>
      </c>
      <c r="C14" s="3">
        <v>2987934997</v>
      </c>
      <c r="D14" s="3">
        <v>8</v>
      </c>
      <c r="E14" s="4" t="s">
        <v>1145</v>
      </c>
      <c r="F14" s="19" t="s">
        <v>1179</v>
      </c>
      <c r="G14" s="10" t="s">
        <v>11</v>
      </c>
      <c r="H14" s="11">
        <v>2320</v>
      </c>
    </row>
    <row r="15" spans="1:8" ht="15" customHeight="1" x14ac:dyDescent="0.25">
      <c r="A15" s="74"/>
      <c r="B15" s="2">
        <v>45216</v>
      </c>
      <c r="C15" s="3">
        <v>2332508308</v>
      </c>
      <c r="D15" s="3">
        <v>8</v>
      </c>
      <c r="E15" s="4" t="s">
        <v>1180</v>
      </c>
      <c r="F15" s="19" t="s">
        <v>53</v>
      </c>
      <c r="G15" s="10" t="s">
        <v>6</v>
      </c>
      <c r="H15" s="11">
        <v>3000</v>
      </c>
    </row>
    <row r="16" spans="1:8" ht="15" customHeight="1" x14ac:dyDescent="0.25">
      <c r="A16" s="74"/>
      <c r="B16" s="2">
        <v>45251</v>
      </c>
      <c r="C16" s="3">
        <v>180178616</v>
      </c>
      <c r="D16" s="3">
        <v>5</v>
      </c>
      <c r="E16" s="4" t="s">
        <v>1275</v>
      </c>
      <c r="F16" s="19" t="s">
        <v>1293</v>
      </c>
      <c r="G16" s="10" t="s">
        <v>6</v>
      </c>
      <c r="H16" s="11">
        <v>1415</v>
      </c>
    </row>
    <row r="17" spans="1:8" ht="15" customHeight="1" x14ac:dyDescent="0.25">
      <c r="A17" s="74"/>
      <c r="B17" s="2">
        <v>45251</v>
      </c>
      <c r="C17" s="3">
        <v>180178616</v>
      </c>
      <c r="D17" s="3">
        <v>1</v>
      </c>
      <c r="E17" s="4" t="s">
        <v>1275</v>
      </c>
      <c r="F17" s="19" t="s">
        <v>1293</v>
      </c>
      <c r="G17" s="10" t="s">
        <v>6</v>
      </c>
      <c r="H17" s="11">
        <v>285</v>
      </c>
    </row>
    <row r="18" spans="1:8" ht="15" customHeight="1" x14ac:dyDescent="0.25">
      <c r="A18" s="74"/>
      <c r="B18" s="2">
        <v>45278</v>
      </c>
      <c r="C18" s="3">
        <v>461981108</v>
      </c>
      <c r="D18" s="3">
        <v>8</v>
      </c>
      <c r="E18" s="4" t="s">
        <v>1430</v>
      </c>
      <c r="F18" s="19" t="s">
        <v>1458</v>
      </c>
      <c r="G18" s="10" t="s">
        <v>7</v>
      </c>
      <c r="H18" s="11">
        <v>4000</v>
      </c>
    </row>
    <row r="19" spans="1:8" ht="15.75" x14ac:dyDescent="0.25">
      <c r="A19" s="75"/>
      <c r="B19" s="13"/>
      <c r="C19" s="14"/>
      <c r="D19" s="14"/>
      <c r="E19" s="14" t="s">
        <v>5</v>
      </c>
      <c r="F19" s="15"/>
      <c r="G19" s="16"/>
      <c r="H19" s="23">
        <f>SUM(H3:H18)</f>
        <v>39808</v>
      </c>
    </row>
    <row r="37" spans="4:4" x14ac:dyDescent="0.25">
      <c r="D37" s="33"/>
    </row>
  </sheetData>
  <mergeCells count="8">
    <mergeCell ref="A1:A19"/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>
      <selection activeCell="F13" sqref="F13"/>
    </sheetView>
  </sheetViews>
  <sheetFormatPr baseColWidth="10" defaultColWidth="9.140625" defaultRowHeight="15" x14ac:dyDescent="0.25"/>
  <cols>
    <col min="1" max="1" width="16" customWidth="1"/>
    <col min="2" max="2" width="12.7109375" bestFit="1" customWidth="1"/>
    <col min="3" max="3" width="17.42578125" customWidth="1"/>
    <col min="4" max="4" width="11" customWidth="1"/>
    <col min="5" max="5" width="35" bestFit="1" customWidth="1"/>
    <col min="6" max="6" width="38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55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4"/>
      <c r="B2" s="66"/>
      <c r="C2" s="68"/>
      <c r="D2" s="68"/>
      <c r="E2" s="68"/>
      <c r="F2" s="68"/>
      <c r="G2" s="62"/>
      <c r="H2" s="64"/>
    </row>
    <row r="3" spans="1:8" ht="20.100000000000001" customHeight="1" x14ac:dyDescent="0.25">
      <c r="A3" s="74"/>
      <c r="B3" s="2">
        <v>44937</v>
      </c>
      <c r="C3" s="3">
        <v>2805746571</v>
      </c>
      <c r="D3" s="3">
        <v>11</v>
      </c>
      <c r="E3" s="4" t="s">
        <v>161</v>
      </c>
      <c r="F3" s="19" t="s">
        <v>54</v>
      </c>
      <c r="G3" s="10" t="s">
        <v>28</v>
      </c>
      <c r="H3" s="11">
        <v>4576</v>
      </c>
    </row>
    <row r="4" spans="1:8" ht="20.100000000000001" customHeight="1" x14ac:dyDescent="0.25">
      <c r="A4" s="74"/>
      <c r="B4" s="2">
        <v>44937</v>
      </c>
      <c r="C4" s="3">
        <v>2805746571</v>
      </c>
      <c r="D4" s="3">
        <v>1</v>
      </c>
      <c r="E4" s="4" t="s">
        <v>161</v>
      </c>
      <c r="F4" s="19" t="s">
        <v>54</v>
      </c>
      <c r="G4" s="10" t="s">
        <v>28</v>
      </c>
      <c r="H4" s="11">
        <v>424</v>
      </c>
    </row>
    <row r="5" spans="1:8" ht="20.100000000000001" customHeight="1" x14ac:dyDescent="0.25">
      <c r="A5" s="74"/>
      <c r="B5" s="2">
        <v>44949</v>
      </c>
      <c r="C5" s="3">
        <v>906906239</v>
      </c>
      <c r="D5" s="3">
        <v>12</v>
      </c>
      <c r="E5" s="4" t="s">
        <v>193</v>
      </c>
      <c r="F5" s="19" t="s">
        <v>54</v>
      </c>
      <c r="G5" s="10" t="s">
        <v>7</v>
      </c>
      <c r="H5" s="11">
        <v>5100</v>
      </c>
    </row>
    <row r="6" spans="1:8" ht="20.100000000000001" customHeight="1" x14ac:dyDescent="0.25">
      <c r="A6" s="74"/>
      <c r="B6" s="2">
        <v>44960</v>
      </c>
      <c r="C6" s="3">
        <v>2499104273</v>
      </c>
      <c r="D6" s="3">
        <v>1</v>
      </c>
      <c r="E6" s="4" t="s">
        <v>290</v>
      </c>
      <c r="F6" s="19" t="s">
        <v>291</v>
      </c>
      <c r="G6" s="10" t="s">
        <v>28</v>
      </c>
      <c r="H6" s="11">
        <v>708.33</v>
      </c>
    </row>
    <row r="7" spans="1:8" ht="15.75" x14ac:dyDescent="0.25">
      <c r="A7" s="75"/>
      <c r="B7" s="13"/>
      <c r="C7" s="14"/>
      <c r="D7" s="14"/>
      <c r="E7" s="14" t="s">
        <v>5</v>
      </c>
      <c r="F7" s="15"/>
      <c r="G7" s="16"/>
      <c r="H7" s="23">
        <f>SUM(H3:H6)</f>
        <v>10808.33</v>
      </c>
    </row>
  </sheetData>
  <mergeCells count="8">
    <mergeCell ref="A1:A7"/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84"/>
  <sheetViews>
    <sheetView topLeftCell="A5" workbookViewId="0">
      <selection activeCell="E5" sqref="E5"/>
    </sheetView>
  </sheetViews>
  <sheetFormatPr baseColWidth="10" defaultColWidth="9.140625" defaultRowHeight="15" x14ac:dyDescent="0.25"/>
  <cols>
    <col min="1" max="1" width="19.57031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1.710937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3" t="s">
        <v>56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4"/>
      <c r="B2" s="66"/>
      <c r="C2" s="68"/>
      <c r="D2" s="68"/>
      <c r="E2" s="68"/>
      <c r="F2" s="68"/>
      <c r="G2" s="62"/>
      <c r="H2" s="64"/>
    </row>
    <row r="3" spans="1:8" ht="20.100000000000001" customHeight="1" x14ac:dyDescent="0.25">
      <c r="A3" s="74"/>
      <c r="B3" s="2">
        <v>44932</v>
      </c>
      <c r="C3" s="3">
        <v>2848999730</v>
      </c>
      <c r="D3" s="3">
        <v>1</v>
      </c>
      <c r="E3" s="4" t="s">
        <v>131</v>
      </c>
      <c r="F3" s="19" t="s">
        <v>96</v>
      </c>
      <c r="G3" s="10" t="s">
        <v>7</v>
      </c>
      <c r="H3" s="11">
        <v>500</v>
      </c>
    </row>
    <row r="4" spans="1:8" ht="20.100000000000001" customHeight="1" x14ac:dyDescent="0.25">
      <c r="A4" s="74"/>
      <c r="B4" s="2">
        <v>44935</v>
      </c>
      <c r="C4" s="3">
        <v>481709657</v>
      </c>
      <c r="D4" s="3">
        <v>2</v>
      </c>
      <c r="E4" s="4" t="s">
        <v>139</v>
      </c>
      <c r="F4" s="19" t="s">
        <v>96</v>
      </c>
      <c r="G4" s="10" t="s">
        <v>14</v>
      </c>
      <c r="H4" s="11">
        <v>1000</v>
      </c>
    </row>
    <row r="5" spans="1:8" ht="20.100000000000001" customHeight="1" x14ac:dyDescent="0.25">
      <c r="A5" s="74"/>
      <c r="B5" s="2">
        <v>44935</v>
      </c>
      <c r="C5" s="3">
        <v>481709657</v>
      </c>
      <c r="D5" s="3">
        <v>1</v>
      </c>
      <c r="E5" s="4" t="s">
        <v>127</v>
      </c>
      <c r="F5" s="19" t="s">
        <v>96</v>
      </c>
      <c r="G5" s="10" t="s">
        <v>14</v>
      </c>
      <c r="H5" s="11">
        <v>500</v>
      </c>
    </row>
    <row r="6" spans="1:8" ht="20.100000000000001" customHeight="1" x14ac:dyDescent="0.25">
      <c r="A6" s="74"/>
      <c r="B6" s="2">
        <v>44935</v>
      </c>
      <c r="C6" s="3">
        <v>1604799877</v>
      </c>
      <c r="D6" s="3">
        <v>3</v>
      </c>
      <c r="E6" s="4" t="s">
        <v>194</v>
      </c>
      <c r="F6" s="19" t="s">
        <v>96</v>
      </c>
      <c r="G6" s="10" t="s">
        <v>11</v>
      </c>
      <c r="H6" s="11">
        <v>1500</v>
      </c>
    </row>
    <row r="7" spans="1:8" ht="20.100000000000001" customHeight="1" x14ac:dyDescent="0.25">
      <c r="A7" s="74"/>
      <c r="B7" s="2">
        <v>44937</v>
      </c>
      <c r="C7" s="3">
        <v>1511474418</v>
      </c>
      <c r="D7" s="3">
        <v>1</v>
      </c>
      <c r="E7" s="4" t="s">
        <v>142</v>
      </c>
      <c r="F7" s="19" t="s">
        <v>96</v>
      </c>
      <c r="G7" s="10" t="s">
        <v>6</v>
      </c>
      <c r="H7" s="11">
        <v>500</v>
      </c>
    </row>
    <row r="8" spans="1:8" ht="20.100000000000001" customHeight="1" x14ac:dyDescent="0.25">
      <c r="A8" s="74"/>
      <c r="B8" s="2">
        <v>44938</v>
      </c>
      <c r="C8" s="3">
        <v>2010334081</v>
      </c>
      <c r="D8" s="3">
        <v>3</v>
      </c>
      <c r="E8" s="4" t="s">
        <v>130</v>
      </c>
      <c r="F8" s="19" t="s">
        <v>96</v>
      </c>
      <c r="G8" s="10" t="s">
        <v>36</v>
      </c>
      <c r="H8" s="11">
        <v>1500</v>
      </c>
    </row>
    <row r="9" spans="1:8" ht="20.100000000000001" customHeight="1" x14ac:dyDescent="0.25">
      <c r="A9" s="74"/>
      <c r="B9" s="2">
        <v>44942</v>
      </c>
      <c r="C9" s="3">
        <v>3683404304</v>
      </c>
      <c r="D9" s="3">
        <v>2</v>
      </c>
      <c r="E9" s="4" t="s">
        <v>171</v>
      </c>
      <c r="F9" s="19" t="s">
        <v>96</v>
      </c>
      <c r="G9" s="10" t="s">
        <v>6</v>
      </c>
      <c r="H9" s="11">
        <v>1000</v>
      </c>
    </row>
    <row r="10" spans="1:8" ht="20.100000000000001" customHeight="1" x14ac:dyDescent="0.25">
      <c r="A10" s="74"/>
      <c r="B10" s="2">
        <v>44943</v>
      </c>
      <c r="C10" s="3" t="s">
        <v>13</v>
      </c>
      <c r="D10" s="3">
        <v>1</v>
      </c>
      <c r="E10" s="4" t="s">
        <v>31</v>
      </c>
      <c r="F10" s="19" t="s">
        <v>96</v>
      </c>
      <c r="G10" s="10" t="s">
        <v>14</v>
      </c>
      <c r="H10" s="11">
        <v>93.5</v>
      </c>
    </row>
    <row r="11" spans="1:8" ht="20.100000000000001" customHeight="1" x14ac:dyDescent="0.25">
      <c r="A11" s="74"/>
      <c r="B11" s="2">
        <v>44944</v>
      </c>
      <c r="C11" s="3">
        <v>467615785</v>
      </c>
      <c r="D11" s="3">
        <v>1</v>
      </c>
      <c r="E11" s="4" t="s">
        <v>95</v>
      </c>
      <c r="F11" s="19" t="s">
        <v>96</v>
      </c>
      <c r="G11" s="10" t="s">
        <v>6</v>
      </c>
      <c r="H11" s="11">
        <v>500</v>
      </c>
    </row>
    <row r="12" spans="1:8" ht="20.100000000000001" customHeight="1" x14ac:dyDescent="0.25">
      <c r="A12" s="74"/>
      <c r="B12" s="2">
        <v>44944</v>
      </c>
      <c r="C12" s="3">
        <v>1344424017</v>
      </c>
      <c r="D12" s="3">
        <v>2</v>
      </c>
      <c r="E12" s="4" t="s">
        <v>95</v>
      </c>
      <c r="F12" s="19" t="s">
        <v>96</v>
      </c>
      <c r="G12" s="10" t="s">
        <v>6</v>
      </c>
      <c r="H12" s="11">
        <v>1000</v>
      </c>
    </row>
    <row r="13" spans="1:8" ht="20.100000000000001" customHeight="1" x14ac:dyDescent="0.25">
      <c r="A13" s="74"/>
      <c r="B13" s="2">
        <v>44946</v>
      </c>
      <c r="C13" s="3">
        <v>1937655612</v>
      </c>
      <c r="D13" s="3">
        <v>1</v>
      </c>
      <c r="E13" s="4" t="s">
        <v>195</v>
      </c>
      <c r="F13" s="19" t="s">
        <v>96</v>
      </c>
      <c r="G13" s="10" t="s">
        <v>7</v>
      </c>
      <c r="H13" s="11">
        <v>500</v>
      </c>
    </row>
    <row r="14" spans="1:8" ht="20.100000000000001" customHeight="1" x14ac:dyDescent="0.25">
      <c r="A14" s="74"/>
      <c r="B14" s="2">
        <v>44946</v>
      </c>
      <c r="C14" s="3">
        <v>1937655612</v>
      </c>
      <c r="D14" s="3">
        <v>1</v>
      </c>
      <c r="E14" s="4" t="s">
        <v>196</v>
      </c>
      <c r="F14" s="19" t="s">
        <v>96</v>
      </c>
      <c r="G14" s="10" t="s">
        <v>14</v>
      </c>
      <c r="H14" s="11">
        <v>500</v>
      </c>
    </row>
    <row r="15" spans="1:8" ht="20.100000000000001" customHeight="1" x14ac:dyDescent="0.25">
      <c r="A15" s="74"/>
      <c r="B15" s="2">
        <v>44946</v>
      </c>
      <c r="C15" s="3">
        <v>4289874178</v>
      </c>
      <c r="D15" s="3">
        <v>3</v>
      </c>
      <c r="E15" s="4" t="s">
        <v>189</v>
      </c>
      <c r="F15" s="19" t="s">
        <v>96</v>
      </c>
      <c r="G15" s="10" t="s">
        <v>28</v>
      </c>
      <c r="H15" s="11">
        <v>1500</v>
      </c>
    </row>
    <row r="16" spans="1:8" ht="20.100000000000001" customHeight="1" x14ac:dyDescent="0.25">
      <c r="A16" s="74"/>
      <c r="B16" s="2">
        <v>44949</v>
      </c>
      <c r="C16" s="3">
        <v>1176912602</v>
      </c>
      <c r="D16" s="3">
        <v>1</v>
      </c>
      <c r="E16" s="4" t="s">
        <v>97</v>
      </c>
      <c r="F16" s="19" t="s">
        <v>96</v>
      </c>
      <c r="G16" s="10" t="s">
        <v>14</v>
      </c>
      <c r="H16" s="11">
        <v>500</v>
      </c>
    </row>
    <row r="17" spans="1:8" ht="20.100000000000001" customHeight="1" x14ac:dyDescent="0.25">
      <c r="A17" s="74"/>
      <c r="B17" s="2">
        <v>44949</v>
      </c>
      <c r="C17" s="3">
        <v>1176912602</v>
      </c>
      <c r="D17" s="3">
        <v>1</v>
      </c>
      <c r="E17" s="4" t="s">
        <v>197</v>
      </c>
      <c r="F17" s="19" t="s">
        <v>96</v>
      </c>
      <c r="G17" s="10" t="s">
        <v>14</v>
      </c>
      <c r="H17" s="11">
        <v>500</v>
      </c>
    </row>
    <row r="18" spans="1:8" ht="20.100000000000001" customHeight="1" x14ac:dyDescent="0.25">
      <c r="A18" s="74"/>
      <c r="B18" s="2">
        <v>44949</v>
      </c>
      <c r="C18" s="3">
        <v>872106676</v>
      </c>
      <c r="D18" s="3">
        <v>1</v>
      </c>
      <c r="E18" s="4" t="s">
        <v>198</v>
      </c>
      <c r="F18" s="19" t="s">
        <v>96</v>
      </c>
      <c r="G18" s="10" t="s">
        <v>7</v>
      </c>
      <c r="H18" s="11">
        <v>500</v>
      </c>
    </row>
    <row r="19" spans="1:8" ht="20.100000000000001" customHeight="1" x14ac:dyDescent="0.25">
      <c r="A19" s="74"/>
      <c r="B19" s="2">
        <v>44949</v>
      </c>
      <c r="C19" s="3">
        <v>872106676</v>
      </c>
      <c r="D19" s="3">
        <v>1</v>
      </c>
      <c r="E19" s="4" t="s">
        <v>199</v>
      </c>
      <c r="F19" s="19" t="s">
        <v>96</v>
      </c>
      <c r="G19" s="10" t="s">
        <v>7</v>
      </c>
      <c r="H19" s="11">
        <v>500</v>
      </c>
    </row>
    <row r="20" spans="1:8" ht="15.75" x14ac:dyDescent="0.25">
      <c r="A20" s="74"/>
      <c r="B20" s="2">
        <v>44949</v>
      </c>
      <c r="C20" s="3">
        <v>3872804531</v>
      </c>
      <c r="D20" s="3">
        <v>1</v>
      </c>
      <c r="E20" s="4" t="s">
        <v>183</v>
      </c>
      <c r="F20" s="19" t="s">
        <v>96</v>
      </c>
      <c r="G20" s="10" t="s">
        <v>6</v>
      </c>
      <c r="H20" s="11">
        <v>500</v>
      </c>
    </row>
    <row r="21" spans="1:8" ht="15.75" x14ac:dyDescent="0.25">
      <c r="A21" s="74"/>
      <c r="B21" s="2">
        <v>44949</v>
      </c>
      <c r="C21" s="3">
        <v>3086305346</v>
      </c>
      <c r="D21" s="3">
        <v>1</v>
      </c>
      <c r="E21" s="4" t="s">
        <v>200</v>
      </c>
      <c r="F21" s="19" t="s">
        <v>96</v>
      </c>
      <c r="G21" s="10" t="s">
        <v>14</v>
      </c>
      <c r="H21" s="11">
        <v>500</v>
      </c>
    </row>
    <row r="22" spans="1:8" ht="15.75" x14ac:dyDescent="0.25">
      <c r="A22" s="74"/>
      <c r="B22" s="2">
        <v>44951</v>
      </c>
      <c r="C22" s="3">
        <v>93996868</v>
      </c>
      <c r="D22" s="3">
        <v>1</v>
      </c>
      <c r="E22" s="4" t="s">
        <v>201</v>
      </c>
      <c r="F22" s="19" t="s">
        <v>96</v>
      </c>
      <c r="G22" s="10" t="s">
        <v>7</v>
      </c>
      <c r="H22" s="11">
        <v>500</v>
      </c>
    </row>
    <row r="23" spans="1:8" ht="20.100000000000001" customHeight="1" x14ac:dyDescent="0.25">
      <c r="A23" s="74"/>
      <c r="B23" s="2">
        <v>44952</v>
      </c>
      <c r="C23" s="3">
        <v>1559249820</v>
      </c>
      <c r="D23" s="3">
        <v>3</v>
      </c>
      <c r="E23" s="4" t="s">
        <v>43</v>
      </c>
      <c r="F23" s="19" t="s">
        <v>96</v>
      </c>
      <c r="G23" s="10" t="s">
        <v>6</v>
      </c>
      <c r="H23" s="11">
        <v>1500</v>
      </c>
    </row>
    <row r="24" spans="1:8" ht="20.100000000000001" customHeight="1" x14ac:dyDescent="0.25">
      <c r="A24" s="74"/>
      <c r="B24" s="2">
        <v>44952</v>
      </c>
      <c r="C24" s="3">
        <v>1869037945</v>
      </c>
      <c r="D24" s="3">
        <v>1</v>
      </c>
      <c r="E24" s="4" t="s">
        <v>94</v>
      </c>
      <c r="F24" s="19" t="s">
        <v>96</v>
      </c>
      <c r="G24" s="10" t="s">
        <v>16</v>
      </c>
      <c r="H24" s="11">
        <v>376</v>
      </c>
    </row>
    <row r="25" spans="1:8" ht="20.100000000000001" customHeight="1" x14ac:dyDescent="0.25">
      <c r="A25" s="74"/>
      <c r="B25" s="2">
        <v>44953</v>
      </c>
      <c r="C25" s="3">
        <v>945635519</v>
      </c>
      <c r="D25" s="3">
        <v>1</v>
      </c>
      <c r="E25" s="4" t="s">
        <v>74</v>
      </c>
      <c r="F25" s="19" t="s">
        <v>96</v>
      </c>
      <c r="G25" s="10" t="s">
        <v>14</v>
      </c>
      <c r="H25" s="11">
        <v>500</v>
      </c>
    </row>
    <row r="26" spans="1:8" ht="20.100000000000001" customHeight="1" x14ac:dyDescent="0.25">
      <c r="A26" s="74"/>
      <c r="B26" s="2">
        <v>44956</v>
      </c>
      <c r="C26" s="3">
        <v>2398702386</v>
      </c>
      <c r="D26" s="3">
        <v>1</v>
      </c>
      <c r="E26" s="4" t="s">
        <v>202</v>
      </c>
      <c r="F26" s="19" t="s">
        <v>96</v>
      </c>
      <c r="G26" s="10" t="s">
        <v>6</v>
      </c>
      <c r="H26" s="11">
        <v>500</v>
      </c>
    </row>
    <row r="27" spans="1:8" ht="20.100000000000001" customHeight="1" x14ac:dyDescent="0.25">
      <c r="A27" s="74"/>
      <c r="B27" s="2">
        <v>44958</v>
      </c>
      <c r="C27" s="3">
        <v>2348895448</v>
      </c>
      <c r="D27" s="3">
        <v>3</v>
      </c>
      <c r="E27" s="4" t="s">
        <v>272</v>
      </c>
      <c r="F27" s="19" t="s">
        <v>292</v>
      </c>
      <c r="G27" s="10" t="s">
        <v>6</v>
      </c>
      <c r="H27" s="11">
        <v>1500</v>
      </c>
    </row>
    <row r="28" spans="1:8" ht="20.100000000000001" customHeight="1" x14ac:dyDescent="0.25">
      <c r="A28" s="74"/>
      <c r="B28" s="2">
        <v>44958</v>
      </c>
      <c r="C28" s="3">
        <v>169690947</v>
      </c>
      <c r="D28" s="3">
        <v>1</v>
      </c>
      <c r="E28" s="4" t="s">
        <v>196</v>
      </c>
      <c r="F28" s="19" t="s">
        <v>292</v>
      </c>
      <c r="G28" s="10" t="s">
        <v>14</v>
      </c>
      <c r="H28" s="11">
        <v>500</v>
      </c>
    </row>
    <row r="29" spans="1:8" ht="20.100000000000001" customHeight="1" x14ac:dyDescent="0.25">
      <c r="A29" s="74"/>
      <c r="B29" s="2">
        <v>44958</v>
      </c>
      <c r="C29" s="3">
        <v>169690947</v>
      </c>
      <c r="D29" s="3">
        <v>1</v>
      </c>
      <c r="E29" s="4" t="s">
        <v>198</v>
      </c>
      <c r="F29" s="19" t="s">
        <v>292</v>
      </c>
      <c r="G29" s="10" t="s">
        <v>14</v>
      </c>
      <c r="H29" s="11">
        <v>500</v>
      </c>
    </row>
    <row r="30" spans="1:8" ht="20.100000000000001" customHeight="1" x14ac:dyDescent="0.25">
      <c r="A30" s="74"/>
      <c r="B30" s="2">
        <v>44959</v>
      </c>
      <c r="C30" s="3">
        <v>244073741</v>
      </c>
      <c r="D30" s="3">
        <v>1</v>
      </c>
      <c r="E30" s="4" t="s">
        <v>108</v>
      </c>
      <c r="F30" s="19" t="s">
        <v>292</v>
      </c>
      <c r="G30" s="10" t="s">
        <v>7</v>
      </c>
      <c r="H30" s="11">
        <v>535</v>
      </c>
    </row>
    <row r="31" spans="1:8" ht="20.100000000000001" customHeight="1" x14ac:dyDescent="0.25">
      <c r="A31" s="74"/>
      <c r="B31" s="2">
        <v>44964</v>
      </c>
      <c r="C31" s="3">
        <v>907168346</v>
      </c>
      <c r="D31" s="3">
        <v>1</v>
      </c>
      <c r="E31" s="4" t="s">
        <v>142</v>
      </c>
      <c r="F31" s="19" t="s">
        <v>292</v>
      </c>
      <c r="G31" s="10" t="s">
        <v>6</v>
      </c>
      <c r="H31" s="11">
        <v>535</v>
      </c>
    </row>
    <row r="32" spans="1:8" ht="20.100000000000001" customHeight="1" x14ac:dyDescent="0.25">
      <c r="A32" s="74"/>
      <c r="B32" s="2">
        <v>44965</v>
      </c>
      <c r="C32" s="3">
        <v>3035776944</v>
      </c>
      <c r="D32" s="3">
        <v>1</v>
      </c>
      <c r="E32" s="4" t="s">
        <v>293</v>
      </c>
      <c r="F32" s="19" t="s">
        <v>292</v>
      </c>
      <c r="G32" s="10" t="s">
        <v>6</v>
      </c>
      <c r="H32" s="11">
        <v>535</v>
      </c>
    </row>
    <row r="33" spans="1:8" ht="20.100000000000001" customHeight="1" x14ac:dyDescent="0.25">
      <c r="A33" s="74"/>
      <c r="B33" s="2">
        <v>44965</v>
      </c>
      <c r="C33" s="3">
        <v>3352775944</v>
      </c>
      <c r="D33" s="3">
        <v>1</v>
      </c>
      <c r="E33" s="4" t="s">
        <v>294</v>
      </c>
      <c r="F33" s="19" t="s">
        <v>292</v>
      </c>
      <c r="G33" s="10" t="s">
        <v>6</v>
      </c>
      <c r="H33" s="11">
        <v>535</v>
      </c>
    </row>
    <row r="34" spans="1:8" ht="20.100000000000001" customHeight="1" x14ac:dyDescent="0.25">
      <c r="A34" s="74"/>
      <c r="B34" s="2">
        <v>44966</v>
      </c>
      <c r="C34" s="3">
        <v>3385476177</v>
      </c>
      <c r="D34" s="3">
        <v>1</v>
      </c>
      <c r="E34" s="4" t="s">
        <v>1476</v>
      </c>
      <c r="F34" s="19" t="s">
        <v>292</v>
      </c>
      <c r="G34" s="10" t="s">
        <v>11</v>
      </c>
      <c r="H34" s="11">
        <v>532</v>
      </c>
    </row>
    <row r="35" spans="1:8" ht="20.100000000000001" customHeight="1" x14ac:dyDescent="0.25">
      <c r="A35" s="74"/>
      <c r="B35" s="2">
        <v>44967</v>
      </c>
      <c r="C35" s="3">
        <v>1075922045</v>
      </c>
      <c r="D35" s="3">
        <v>3</v>
      </c>
      <c r="E35" s="4" t="s">
        <v>277</v>
      </c>
      <c r="F35" s="19" t="s">
        <v>292</v>
      </c>
      <c r="G35" s="10" t="s">
        <v>6</v>
      </c>
      <c r="H35" s="11">
        <v>1500</v>
      </c>
    </row>
    <row r="36" spans="1:8" ht="20.100000000000001" customHeight="1" x14ac:dyDescent="0.25">
      <c r="A36" s="74"/>
      <c r="B36" s="2">
        <v>44967</v>
      </c>
      <c r="C36" s="3">
        <v>3894631634</v>
      </c>
      <c r="D36" s="3">
        <v>1</v>
      </c>
      <c r="E36" s="4" t="s">
        <v>296</v>
      </c>
      <c r="F36" s="19" t="s">
        <v>292</v>
      </c>
      <c r="G36" s="10" t="s">
        <v>6</v>
      </c>
      <c r="H36" s="11">
        <v>535</v>
      </c>
    </row>
    <row r="37" spans="1:8" ht="20.100000000000001" customHeight="1" x14ac:dyDescent="0.25">
      <c r="A37" s="74"/>
      <c r="B37" s="2">
        <v>44970</v>
      </c>
      <c r="C37" s="3">
        <v>3083157821</v>
      </c>
      <c r="D37" s="3">
        <v>1</v>
      </c>
      <c r="E37" s="4" t="s">
        <v>297</v>
      </c>
      <c r="F37" s="19" t="s">
        <v>292</v>
      </c>
      <c r="G37" s="10" t="s">
        <v>6</v>
      </c>
      <c r="H37" s="11">
        <v>535</v>
      </c>
    </row>
    <row r="38" spans="1:8" ht="20.100000000000001" customHeight="1" x14ac:dyDescent="0.25">
      <c r="A38" s="74"/>
      <c r="B38" s="2">
        <v>44970</v>
      </c>
      <c r="C38" s="3">
        <v>578241093</v>
      </c>
      <c r="D38" s="3">
        <v>2</v>
      </c>
      <c r="E38" s="4" t="s">
        <v>297</v>
      </c>
      <c r="F38" s="19" t="s">
        <v>292</v>
      </c>
      <c r="G38" s="10" t="s">
        <v>6</v>
      </c>
      <c r="H38" s="11">
        <v>965</v>
      </c>
    </row>
    <row r="39" spans="1:8" ht="20.100000000000001" customHeight="1" x14ac:dyDescent="0.25">
      <c r="A39" s="74"/>
      <c r="B39" s="2">
        <v>44971</v>
      </c>
      <c r="C39" s="3">
        <v>1217087264</v>
      </c>
      <c r="D39" s="3">
        <v>3</v>
      </c>
      <c r="E39" s="4" t="s">
        <v>298</v>
      </c>
      <c r="F39" s="19" t="s">
        <v>292</v>
      </c>
      <c r="G39" s="10" t="s">
        <v>6</v>
      </c>
      <c r="H39" s="11">
        <v>1500</v>
      </c>
    </row>
    <row r="40" spans="1:8" ht="20.100000000000001" customHeight="1" x14ac:dyDescent="0.25">
      <c r="A40" s="74"/>
      <c r="B40" s="2">
        <v>44972</v>
      </c>
      <c r="C40" s="3">
        <v>3909766254</v>
      </c>
      <c r="D40" s="3">
        <v>1</v>
      </c>
      <c r="E40" s="4" t="s">
        <v>258</v>
      </c>
      <c r="F40" s="19" t="s">
        <v>292</v>
      </c>
      <c r="G40" s="10" t="s">
        <v>7</v>
      </c>
      <c r="H40" s="11">
        <v>535</v>
      </c>
    </row>
    <row r="41" spans="1:8" ht="20.100000000000001" customHeight="1" x14ac:dyDescent="0.25">
      <c r="A41" s="74"/>
      <c r="B41" s="2">
        <v>44972</v>
      </c>
      <c r="C41" s="3">
        <v>2819113225</v>
      </c>
      <c r="D41" s="3">
        <v>3</v>
      </c>
      <c r="E41" s="4" t="s">
        <v>262</v>
      </c>
      <c r="F41" s="19" t="s">
        <v>292</v>
      </c>
      <c r="G41" s="10" t="s">
        <v>6</v>
      </c>
      <c r="H41" s="11">
        <v>1605</v>
      </c>
    </row>
    <row r="42" spans="1:8" ht="20.100000000000001" customHeight="1" x14ac:dyDescent="0.25">
      <c r="A42" s="74"/>
      <c r="B42" s="2">
        <v>44973</v>
      </c>
      <c r="C42" s="3">
        <v>2095926508</v>
      </c>
      <c r="D42" s="3">
        <v>3</v>
      </c>
      <c r="E42" s="4" t="s">
        <v>299</v>
      </c>
      <c r="F42" s="19" t="s">
        <v>292</v>
      </c>
      <c r="G42" s="10" t="s">
        <v>6</v>
      </c>
      <c r="H42" s="11">
        <v>1500</v>
      </c>
    </row>
    <row r="43" spans="1:8" ht="20.100000000000001" customHeight="1" x14ac:dyDescent="0.25">
      <c r="A43" s="74"/>
      <c r="B43" s="2">
        <v>44980</v>
      </c>
      <c r="C43" s="3">
        <v>2493991755</v>
      </c>
      <c r="D43" s="3">
        <v>1</v>
      </c>
      <c r="E43" s="4" t="s">
        <v>284</v>
      </c>
      <c r="F43" s="19" t="s">
        <v>292</v>
      </c>
      <c r="G43" s="10" t="s">
        <v>16</v>
      </c>
      <c r="H43" s="11">
        <v>376</v>
      </c>
    </row>
    <row r="44" spans="1:8" ht="20.100000000000001" customHeight="1" x14ac:dyDescent="0.25">
      <c r="A44" s="74"/>
      <c r="B44" s="2">
        <v>44984</v>
      </c>
      <c r="C44" s="3">
        <v>1615809294</v>
      </c>
      <c r="D44" s="3">
        <v>3</v>
      </c>
      <c r="E44" s="4" t="s">
        <v>300</v>
      </c>
      <c r="F44" s="19" t="s">
        <v>292</v>
      </c>
      <c r="G44" s="10" t="s">
        <v>7</v>
      </c>
      <c r="H44" s="11">
        <v>1605</v>
      </c>
    </row>
    <row r="45" spans="1:8" ht="20.100000000000001" customHeight="1" x14ac:dyDescent="0.25">
      <c r="A45" s="74"/>
      <c r="B45" s="2">
        <v>44984</v>
      </c>
      <c r="C45" s="3">
        <v>1003897088</v>
      </c>
      <c r="D45" s="3">
        <v>3</v>
      </c>
      <c r="E45" s="4" t="s">
        <v>286</v>
      </c>
      <c r="F45" s="19" t="s">
        <v>292</v>
      </c>
      <c r="G45" s="10" t="s">
        <v>6</v>
      </c>
      <c r="H45" s="11">
        <v>1605</v>
      </c>
    </row>
    <row r="46" spans="1:8" ht="20.100000000000001" customHeight="1" x14ac:dyDescent="0.25">
      <c r="A46" s="74"/>
      <c r="B46" s="2">
        <v>44985</v>
      </c>
      <c r="C46" s="3">
        <v>2728283517</v>
      </c>
      <c r="D46" s="3">
        <v>1</v>
      </c>
      <c r="E46" s="4" t="s">
        <v>301</v>
      </c>
      <c r="F46" s="19" t="s">
        <v>292</v>
      </c>
      <c r="G46" s="10" t="s">
        <v>6</v>
      </c>
      <c r="H46" s="11">
        <v>535</v>
      </c>
    </row>
    <row r="47" spans="1:8" ht="20.100000000000001" customHeight="1" x14ac:dyDescent="0.25">
      <c r="A47" s="74"/>
      <c r="B47" s="2">
        <v>44985</v>
      </c>
      <c r="C47" s="3">
        <v>4117449174</v>
      </c>
      <c r="D47" s="3">
        <v>1</v>
      </c>
      <c r="E47" s="4" t="s">
        <v>302</v>
      </c>
      <c r="F47" s="19" t="s">
        <v>292</v>
      </c>
      <c r="G47" s="10" t="s">
        <v>6</v>
      </c>
      <c r="H47" s="11">
        <v>535</v>
      </c>
    </row>
    <row r="48" spans="1:8" ht="20.100000000000001" customHeight="1" x14ac:dyDescent="0.25">
      <c r="A48" s="74"/>
      <c r="B48" s="2">
        <v>44986</v>
      </c>
      <c r="C48" s="3">
        <v>4084681469</v>
      </c>
      <c r="D48" s="3">
        <v>6</v>
      </c>
      <c r="E48" s="4" t="s">
        <v>418</v>
      </c>
      <c r="F48" s="19" t="s">
        <v>292</v>
      </c>
      <c r="G48" s="10" t="s">
        <v>6</v>
      </c>
      <c r="H48" s="11">
        <v>3210</v>
      </c>
    </row>
    <row r="49" spans="1:8" ht="20.100000000000001" customHeight="1" x14ac:dyDescent="0.25">
      <c r="A49" s="74"/>
      <c r="B49" s="2">
        <v>44992</v>
      </c>
      <c r="C49" s="3">
        <v>507593044</v>
      </c>
      <c r="D49" s="3">
        <v>3</v>
      </c>
      <c r="E49" s="4" t="s">
        <v>419</v>
      </c>
      <c r="F49" s="19" t="s">
        <v>292</v>
      </c>
      <c r="G49" s="10" t="s">
        <v>16</v>
      </c>
      <c r="H49" s="11">
        <v>1500</v>
      </c>
    </row>
    <row r="50" spans="1:8" ht="20.100000000000001" customHeight="1" x14ac:dyDescent="0.25">
      <c r="A50" s="74"/>
      <c r="B50" s="2">
        <v>44992</v>
      </c>
      <c r="C50" s="3">
        <v>860048496</v>
      </c>
      <c r="D50" s="3">
        <v>6</v>
      </c>
      <c r="E50" s="4" t="s">
        <v>399</v>
      </c>
      <c r="F50" s="19" t="s">
        <v>292</v>
      </c>
      <c r="G50" s="10" t="s">
        <v>7</v>
      </c>
      <c r="H50" s="11">
        <v>3210</v>
      </c>
    </row>
    <row r="51" spans="1:8" ht="20.100000000000001" customHeight="1" x14ac:dyDescent="0.25">
      <c r="A51" s="74"/>
      <c r="B51" s="2">
        <v>44992</v>
      </c>
      <c r="C51" s="3">
        <v>2070366694</v>
      </c>
      <c r="D51" s="3">
        <v>3</v>
      </c>
      <c r="E51" s="4" t="s">
        <v>336</v>
      </c>
      <c r="F51" s="19" t="s">
        <v>292</v>
      </c>
      <c r="G51" s="10" t="s">
        <v>28</v>
      </c>
      <c r="H51" s="11">
        <v>1605</v>
      </c>
    </row>
    <row r="52" spans="1:8" ht="20.100000000000001" customHeight="1" x14ac:dyDescent="0.25">
      <c r="A52" s="74"/>
      <c r="B52" s="2">
        <v>44994</v>
      </c>
      <c r="C52" s="3">
        <v>1492206936</v>
      </c>
      <c r="D52" s="3">
        <v>1</v>
      </c>
      <c r="E52" s="4" t="s">
        <v>341</v>
      </c>
      <c r="F52" s="19" t="s">
        <v>292</v>
      </c>
      <c r="G52" s="10" t="s">
        <v>7</v>
      </c>
      <c r="H52" s="11">
        <v>535</v>
      </c>
    </row>
    <row r="53" spans="1:8" ht="20.100000000000001" customHeight="1" x14ac:dyDescent="0.25">
      <c r="A53" s="74"/>
      <c r="B53" s="2">
        <v>44994</v>
      </c>
      <c r="C53" s="3">
        <v>1492206936</v>
      </c>
      <c r="D53" s="3">
        <v>1</v>
      </c>
      <c r="E53" s="4" t="s">
        <v>400</v>
      </c>
      <c r="F53" s="19" t="s">
        <v>292</v>
      </c>
      <c r="G53" s="10" t="s">
        <v>6</v>
      </c>
      <c r="H53" s="11">
        <v>535</v>
      </c>
    </row>
    <row r="54" spans="1:8" ht="20.100000000000001" customHeight="1" x14ac:dyDescent="0.25">
      <c r="A54" s="74"/>
      <c r="B54" s="2">
        <v>44998</v>
      </c>
      <c r="C54" s="3">
        <v>3439807832</v>
      </c>
      <c r="D54" s="3">
        <v>1</v>
      </c>
      <c r="E54" s="4" t="s">
        <v>420</v>
      </c>
      <c r="F54" s="19" t="s">
        <v>292</v>
      </c>
      <c r="G54" s="10" t="s">
        <v>6</v>
      </c>
      <c r="H54" s="11">
        <v>535</v>
      </c>
    </row>
    <row r="55" spans="1:8" ht="20.100000000000001" customHeight="1" x14ac:dyDescent="0.25">
      <c r="A55" s="74"/>
      <c r="B55" s="2">
        <v>44999</v>
      </c>
      <c r="C55" s="3">
        <v>4057286388</v>
      </c>
      <c r="D55" s="3">
        <v>3</v>
      </c>
      <c r="E55" s="4" t="s">
        <v>380</v>
      </c>
      <c r="F55" s="19" t="s">
        <v>292</v>
      </c>
      <c r="G55" s="10" t="s">
        <v>7</v>
      </c>
      <c r="H55" s="11">
        <v>1605</v>
      </c>
    </row>
    <row r="56" spans="1:8" ht="20.100000000000001" customHeight="1" x14ac:dyDescent="0.25">
      <c r="A56" s="74"/>
      <c r="B56" s="2">
        <v>45007</v>
      </c>
      <c r="C56" s="3">
        <v>2474984209</v>
      </c>
      <c r="D56" s="3">
        <v>1</v>
      </c>
      <c r="E56" s="4" t="s">
        <v>349</v>
      </c>
      <c r="F56" s="19" t="s">
        <v>96</v>
      </c>
      <c r="G56" s="10" t="s">
        <v>14</v>
      </c>
      <c r="H56" s="11">
        <v>535</v>
      </c>
    </row>
    <row r="57" spans="1:8" ht="20.100000000000001" customHeight="1" x14ac:dyDescent="0.25">
      <c r="A57" s="74"/>
      <c r="B57" s="2">
        <v>45008</v>
      </c>
      <c r="C57" s="3">
        <v>1614499835</v>
      </c>
      <c r="D57" s="3">
        <v>2</v>
      </c>
      <c r="E57" s="4" t="s">
        <v>421</v>
      </c>
      <c r="F57" s="19" t="s">
        <v>96</v>
      </c>
      <c r="G57" s="10" t="s">
        <v>16</v>
      </c>
      <c r="H57" s="11">
        <v>1064</v>
      </c>
    </row>
    <row r="58" spans="1:8" ht="20.100000000000001" customHeight="1" x14ac:dyDescent="0.25">
      <c r="A58" s="74"/>
      <c r="B58" s="2">
        <v>45008</v>
      </c>
      <c r="C58" s="3">
        <v>1614499835</v>
      </c>
      <c r="D58" s="3">
        <v>1</v>
      </c>
      <c r="E58" s="4" t="s">
        <v>421</v>
      </c>
      <c r="F58" s="19" t="s">
        <v>96</v>
      </c>
      <c r="G58" s="10" t="s">
        <v>16</v>
      </c>
      <c r="H58" s="11">
        <v>536</v>
      </c>
    </row>
    <row r="59" spans="1:8" ht="20.100000000000001" customHeight="1" x14ac:dyDescent="0.25">
      <c r="A59" s="74"/>
      <c r="B59" s="2">
        <v>45015</v>
      </c>
      <c r="C59" s="3">
        <v>3111339283</v>
      </c>
      <c r="D59" s="3">
        <v>1</v>
      </c>
      <c r="E59" s="4" t="s">
        <v>422</v>
      </c>
      <c r="F59" s="19" t="s">
        <v>96</v>
      </c>
      <c r="G59" s="10" t="s">
        <v>14</v>
      </c>
      <c r="H59" s="11">
        <v>535</v>
      </c>
    </row>
    <row r="60" spans="1:8" ht="20.100000000000001" customHeight="1" x14ac:dyDescent="0.25">
      <c r="A60" s="74"/>
      <c r="B60" s="2">
        <v>45015</v>
      </c>
      <c r="C60" s="3">
        <v>3111339283</v>
      </c>
      <c r="D60" s="3">
        <v>1</v>
      </c>
      <c r="E60" s="4" t="s">
        <v>423</v>
      </c>
      <c r="F60" s="19" t="s">
        <v>96</v>
      </c>
      <c r="G60" s="10" t="s">
        <v>14</v>
      </c>
      <c r="H60" s="11">
        <v>535</v>
      </c>
    </row>
    <row r="61" spans="1:8" ht="20.100000000000001" customHeight="1" x14ac:dyDescent="0.25">
      <c r="A61" s="74"/>
      <c r="B61" s="2">
        <v>45028</v>
      </c>
      <c r="C61" s="3">
        <v>2016363502</v>
      </c>
      <c r="D61" s="3">
        <v>3</v>
      </c>
      <c r="E61" s="4" t="s">
        <v>589</v>
      </c>
      <c r="F61" s="19" t="s">
        <v>292</v>
      </c>
      <c r="G61" s="10" t="s">
        <v>14</v>
      </c>
      <c r="H61" s="11">
        <v>1605</v>
      </c>
    </row>
    <row r="62" spans="1:8" ht="20.100000000000001" customHeight="1" x14ac:dyDescent="0.25">
      <c r="A62" s="74"/>
      <c r="B62" s="2">
        <v>45028</v>
      </c>
      <c r="C62" s="3">
        <v>2016363502</v>
      </c>
      <c r="D62" s="3">
        <v>3</v>
      </c>
      <c r="E62" s="4" t="s">
        <v>590</v>
      </c>
      <c r="F62" s="19" t="s">
        <v>292</v>
      </c>
      <c r="G62" s="10" t="s">
        <v>14</v>
      </c>
      <c r="H62" s="11">
        <v>1605</v>
      </c>
    </row>
    <row r="63" spans="1:8" ht="20.100000000000001" customHeight="1" x14ac:dyDescent="0.25">
      <c r="A63" s="74"/>
      <c r="B63" s="2">
        <v>45029</v>
      </c>
      <c r="C63" s="3">
        <v>3300214775</v>
      </c>
      <c r="D63" s="3">
        <v>1</v>
      </c>
      <c r="E63" s="4" t="s">
        <v>341</v>
      </c>
      <c r="F63" s="19" t="s">
        <v>292</v>
      </c>
      <c r="G63" s="10" t="s">
        <v>6</v>
      </c>
      <c r="H63" s="11">
        <v>535</v>
      </c>
    </row>
    <row r="64" spans="1:8" ht="20.100000000000001" customHeight="1" x14ac:dyDescent="0.25">
      <c r="A64" s="74"/>
      <c r="B64" s="2">
        <v>45029</v>
      </c>
      <c r="C64" s="3">
        <v>595476751</v>
      </c>
      <c r="D64" s="3">
        <v>1</v>
      </c>
      <c r="E64" s="4" t="s">
        <v>272</v>
      </c>
      <c r="F64" s="19" t="s">
        <v>292</v>
      </c>
      <c r="G64" s="10" t="s">
        <v>6</v>
      </c>
      <c r="H64" s="11">
        <v>535</v>
      </c>
    </row>
    <row r="65" spans="1:8" ht="20.100000000000001" customHeight="1" x14ac:dyDescent="0.25">
      <c r="A65" s="74"/>
      <c r="B65" s="2">
        <v>45030</v>
      </c>
      <c r="C65" s="3">
        <v>1692746461</v>
      </c>
      <c r="D65" s="3">
        <v>1</v>
      </c>
      <c r="E65" s="4" t="s">
        <v>51</v>
      </c>
      <c r="F65" s="19" t="s">
        <v>292</v>
      </c>
      <c r="G65" s="10" t="s">
        <v>6</v>
      </c>
      <c r="H65" s="11">
        <v>535</v>
      </c>
    </row>
    <row r="66" spans="1:8" ht="20.100000000000001" customHeight="1" x14ac:dyDescent="0.25">
      <c r="A66" s="74"/>
      <c r="B66" s="2">
        <v>45033</v>
      </c>
      <c r="C66" s="3">
        <v>3789703417</v>
      </c>
      <c r="D66" s="3">
        <v>2</v>
      </c>
      <c r="E66" s="4" t="s">
        <v>191</v>
      </c>
      <c r="F66" s="19" t="s">
        <v>292</v>
      </c>
      <c r="G66" s="10" t="s">
        <v>7</v>
      </c>
      <c r="H66" s="11">
        <v>1070</v>
      </c>
    </row>
    <row r="67" spans="1:8" ht="20.100000000000001" customHeight="1" x14ac:dyDescent="0.25">
      <c r="A67" s="74"/>
      <c r="B67" s="2">
        <v>45034</v>
      </c>
      <c r="C67" s="3">
        <v>3668888814</v>
      </c>
      <c r="D67" s="3">
        <v>1</v>
      </c>
      <c r="E67" s="4" t="s">
        <v>400</v>
      </c>
      <c r="F67" s="19" t="s">
        <v>292</v>
      </c>
      <c r="G67" s="10" t="s">
        <v>6</v>
      </c>
      <c r="H67" s="11">
        <v>535</v>
      </c>
    </row>
    <row r="68" spans="1:8" ht="20.100000000000001" customHeight="1" x14ac:dyDescent="0.25">
      <c r="A68" s="74"/>
      <c r="B68" s="2">
        <v>45035</v>
      </c>
      <c r="C68" s="3">
        <v>2600945947</v>
      </c>
      <c r="D68" s="3">
        <v>1</v>
      </c>
      <c r="E68" s="4" t="s">
        <v>591</v>
      </c>
      <c r="F68" s="19" t="s">
        <v>292</v>
      </c>
      <c r="G68" s="10" t="s">
        <v>6</v>
      </c>
      <c r="H68" s="11">
        <v>535</v>
      </c>
    </row>
    <row r="69" spans="1:8" ht="20.100000000000001" customHeight="1" x14ac:dyDescent="0.25">
      <c r="A69" s="74"/>
      <c r="B69" s="2">
        <v>45036</v>
      </c>
      <c r="C69" s="3">
        <v>504777842</v>
      </c>
      <c r="D69" s="3">
        <v>1</v>
      </c>
      <c r="E69" s="4" t="s">
        <v>448</v>
      </c>
      <c r="F69" s="19" t="s">
        <v>292</v>
      </c>
      <c r="G69" s="10" t="s">
        <v>14</v>
      </c>
      <c r="H69" s="11">
        <v>535</v>
      </c>
    </row>
    <row r="70" spans="1:8" ht="20.100000000000001" customHeight="1" x14ac:dyDescent="0.25">
      <c r="A70" s="74"/>
      <c r="B70" s="2">
        <v>45036</v>
      </c>
      <c r="C70" s="3">
        <v>2552907131</v>
      </c>
      <c r="D70" s="3">
        <v>1</v>
      </c>
      <c r="E70" s="4" t="s">
        <v>580</v>
      </c>
      <c r="F70" s="19" t="s">
        <v>292</v>
      </c>
      <c r="G70" s="10" t="s">
        <v>7</v>
      </c>
      <c r="H70" s="11">
        <v>535</v>
      </c>
    </row>
    <row r="71" spans="1:8" ht="20.100000000000001" customHeight="1" x14ac:dyDescent="0.25">
      <c r="A71" s="74"/>
      <c r="B71" s="2">
        <v>45043</v>
      </c>
      <c r="C71" s="3">
        <v>758792469</v>
      </c>
      <c r="D71" s="3">
        <v>1</v>
      </c>
      <c r="E71" s="4" t="s">
        <v>546</v>
      </c>
      <c r="F71" s="19" t="s">
        <v>292</v>
      </c>
      <c r="G71" s="10" t="s">
        <v>14</v>
      </c>
      <c r="H71" s="11">
        <v>535</v>
      </c>
    </row>
    <row r="72" spans="1:8" ht="20.100000000000001" customHeight="1" x14ac:dyDescent="0.25">
      <c r="A72" s="74"/>
      <c r="B72" s="2">
        <v>45048</v>
      </c>
      <c r="C72" s="3">
        <v>319441993</v>
      </c>
      <c r="D72" s="3">
        <v>3</v>
      </c>
      <c r="E72" s="4" t="s">
        <v>621</v>
      </c>
      <c r="F72" s="19" t="s">
        <v>292</v>
      </c>
      <c r="G72" s="10" t="s">
        <v>28</v>
      </c>
      <c r="H72" s="11">
        <v>1605</v>
      </c>
    </row>
    <row r="73" spans="1:8" ht="20.100000000000001" customHeight="1" x14ac:dyDescent="0.25">
      <c r="A73" s="74"/>
      <c r="B73" s="2">
        <v>45048</v>
      </c>
      <c r="C73" s="3">
        <v>1477397518</v>
      </c>
      <c r="D73" s="3">
        <v>1</v>
      </c>
      <c r="E73" s="4" t="s">
        <v>680</v>
      </c>
      <c r="F73" s="19" t="s">
        <v>292</v>
      </c>
      <c r="G73" s="10" t="s">
        <v>7</v>
      </c>
      <c r="H73" s="11">
        <v>535</v>
      </c>
    </row>
    <row r="74" spans="1:8" ht="20.100000000000001" customHeight="1" x14ac:dyDescent="0.25">
      <c r="A74" s="74"/>
      <c r="B74" s="2">
        <v>45048</v>
      </c>
      <c r="C74" s="3">
        <v>3585820799</v>
      </c>
      <c r="D74" s="3">
        <v>3</v>
      </c>
      <c r="E74" s="4" t="s">
        <v>587</v>
      </c>
      <c r="F74" s="19" t="s">
        <v>292</v>
      </c>
      <c r="G74" s="10" t="s">
        <v>14</v>
      </c>
      <c r="H74" s="11">
        <v>1605</v>
      </c>
    </row>
    <row r="75" spans="1:8" ht="20.100000000000001" customHeight="1" x14ac:dyDescent="0.25">
      <c r="A75" s="74"/>
      <c r="B75" s="2">
        <v>45049</v>
      </c>
      <c r="C75" s="3">
        <v>3334163290</v>
      </c>
      <c r="D75" s="3">
        <v>1</v>
      </c>
      <c r="E75" s="4" t="s">
        <v>681</v>
      </c>
      <c r="F75" s="19" t="s">
        <v>292</v>
      </c>
      <c r="G75" s="10" t="s">
        <v>6</v>
      </c>
      <c r="H75" s="11">
        <v>535</v>
      </c>
    </row>
    <row r="76" spans="1:8" ht="20.100000000000001" customHeight="1" x14ac:dyDescent="0.25">
      <c r="A76" s="74"/>
      <c r="B76" s="2">
        <v>45050</v>
      </c>
      <c r="C76" s="3">
        <v>4007611036</v>
      </c>
      <c r="D76" s="3">
        <v>4</v>
      </c>
      <c r="E76" s="4" t="s">
        <v>664</v>
      </c>
      <c r="F76" s="19" t="s">
        <v>292</v>
      </c>
      <c r="G76" s="10" t="s">
        <v>6</v>
      </c>
      <c r="H76" s="11">
        <v>2140</v>
      </c>
    </row>
    <row r="77" spans="1:8" ht="20.100000000000001" customHeight="1" x14ac:dyDescent="0.25">
      <c r="A77" s="74"/>
      <c r="B77" s="2">
        <v>45057</v>
      </c>
      <c r="C77" s="3">
        <v>708725708</v>
      </c>
      <c r="D77" s="3">
        <v>3</v>
      </c>
      <c r="E77" s="4" t="s">
        <v>682</v>
      </c>
      <c r="F77" s="19" t="s">
        <v>292</v>
      </c>
      <c r="G77" s="10" t="s">
        <v>28</v>
      </c>
      <c r="H77" s="11">
        <v>1605</v>
      </c>
    </row>
    <row r="78" spans="1:8" ht="20.100000000000001" customHeight="1" x14ac:dyDescent="0.25">
      <c r="A78" s="74"/>
      <c r="B78" s="2">
        <v>45057</v>
      </c>
      <c r="C78" s="3">
        <v>17837777021</v>
      </c>
      <c r="D78" s="3">
        <v>3</v>
      </c>
      <c r="E78" s="4" t="s">
        <v>683</v>
      </c>
      <c r="F78" s="19" t="s">
        <v>292</v>
      </c>
      <c r="G78" s="10" t="s">
        <v>7</v>
      </c>
      <c r="H78" s="11">
        <v>1605</v>
      </c>
    </row>
    <row r="79" spans="1:8" ht="20.100000000000001" customHeight="1" x14ac:dyDescent="0.25">
      <c r="A79" s="74"/>
      <c r="B79" s="2">
        <v>45058</v>
      </c>
      <c r="C79" s="3">
        <v>2135770927</v>
      </c>
      <c r="D79" s="3">
        <v>1</v>
      </c>
      <c r="E79" s="4" t="s">
        <v>684</v>
      </c>
      <c r="F79" s="19" t="s">
        <v>292</v>
      </c>
      <c r="G79" s="10" t="s">
        <v>7</v>
      </c>
      <c r="H79" s="11">
        <v>535</v>
      </c>
    </row>
    <row r="80" spans="1:8" ht="20.100000000000001" customHeight="1" x14ac:dyDescent="0.25">
      <c r="A80" s="74"/>
      <c r="B80" s="2">
        <v>45063</v>
      </c>
      <c r="C80" s="3">
        <v>4271459486</v>
      </c>
      <c r="D80" s="3">
        <v>1</v>
      </c>
      <c r="E80" s="4" t="s">
        <v>685</v>
      </c>
      <c r="F80" s="19" t="s">
        <v>292</v>
      </c>
      <c r="G80" s="10" t="s">
        <v>6</v>
      </c>
      <c r="H80" s="11">
        <v>535</v>
      </c>
    </row>
    <row r="81" spans="1:8" ht="20.100000000000001" customHeight="1" x14ac:dyDescent="0.25">
      <c r="A81" s="74"/>
      <c r="B81" s="2">
        <v>45064</v>
      </c>
      <c r="C81" s="3">
        <v>2699053342</v>
      </c>
      <c r="D81" s="3">
        <v>1</v>
      </c>
      <c r="E81" s="4" t="s">
        <v>400</v>
      </c>
      <c r="F81" s="19" t="s">
        <v>292</v>
      </c>
      <c r="G81" s="10" t="s">
        <v>7</v>
      </c>
      <c r="H81" s="11">
        <v>535</v>
      </c>
    </row>
    <row r="82" spans="1:8" ht="20.100000000000001" customHeight="1" x14ac:dyDescent="0.25">
      <c r="A82" s="74"/>
      <c r="B82" s="2">
        <v>45068</v>
      </c>
      <c r="C82" s="3">
        <v>2611298390</v>
      </c>
      <c r="D82" s="3">
        <v>1</v>
      </c>
      <c r="E82" s="4" t="s">
        <v>686</v>
      </c>
      <c r="F82" s="19" t="s">
        <v>292</v>
      </c>
      <c r="G82" s="10" t="s">
        <v>6</v>
      </c>
      <c r="H82" s="11">
        <v>535</v>
      </c>
    </row>
    <row r="83" spans="1:8" ht="20.100000000000001" customHeight="1" x14ac:dyDescent="0.25">
      <c r="A83" s="74"/>
      <c r="B83" s="2">
        <v>45069</v>
      </c>
      <c r="C83" s="3">
        <v>1167082082</v>
      </c>
      <c r="D83" s="3">
        <v>3</v>
      </c>
      <c r="E83" s="4" t="s">
        <v>669</v>
      </c>
      <c r="F83" s="19" t="s">
        <v>292</v>
      </c>
      <c r="G83" s="10" t="s">
        <v>28</v>
      </c>
      <c r="H83" s="11">
        <v>1605</v>
      </c>
    </row>
    <row r="84" spans="1:8" ht="20.100000000000001" customHeight="1" x14ac:dyDescent="0.25">
      <c r="A84" s="74"/>
      <c r="B84" s="2">
        <v>45075</v>
      </c>
      <c r="C84" s="3">
        <v>3493873333</v>
      </c>
      <c r="D84" s="3">
        <v>3</v>
      </c>
      <c r="E84" s="4" t="s">
        <v>653</v>
      </c>
      <c r="F84" s="19" t="s">
        <v>292</v>
      </c>
      <c r="G84" s="10" t="s">
        <v>7</v>
      </c>
      <c r="H84" s="11">
        <v>1605</v>
      </c>
    </row>
    <row r="85" spans="1:8" ht="20.100000000000001" customHeight="1" x14ac:dyDescent="0.25">
      <c r="A85" s="74"/>
      <c r="B85" s="2">
        <v>45077</v>
      </c>
      <c r="C85" s="3">
        <v>9715919</v>
      </c>
      <c r="D85" s="3">
        <v>3</v>
      </c>
      <c r="E85" s="4" t="s">
        <v>687</v>
      </c>
      <c r="F85" s="19" t="s">
        <v>292</v>
      </c>
      <c r="G85" s="10" t="s">
        <v>7</v>
      </c>
      <c r="H85" s="11">
        <v>1605</v>
      </c>
    </row>
    <row r="86" spans="1:8" ht="20.100000000000001" customHeight="1" x14ac:dyDescent="0.25">
      <c r="A86" s="74"/>
      <c r="B86" s="2">
        <v>45077</v>
      </c>
      <c r="C86" s="3">
        <v>2171095910</v>
      </c>
      <c r="D86" s="3">
        <v>3</v>
      </c>
      <c r="E86" s="4" t="s">
        <v>688</v>
      </c>
      <c r="F86" s="19" t="s">
        <v>292</v>
      </c>
      <c r="G86" s="10" t="s">
        <v>16</v>
      </c>
      <c r="H86" s="11">
        <v>1605</v>
      </c>
    </row>
    <row r="87" spans="1:8" ht="20.100000000000001" customHeight="1" x14ac:dyDescent="0.25">
      <c r="A87" s="74"/>
      <c r="B87" s="2">
        <v>45077</v>
      </c>
      <c r="C87" s="3">
        <v>543049297</v>
      </c>
      <c r="D87" s="3">
        <v>3</v>
      </c>
      <c r="E87" s="4" t="s">
        <v>689</v>
      </c>
      <c r="F87" s="19" t="s">
        <v>292</v>
      </c>
      <c r="G87" s="10" t="s">
        <v>16</v>
      </c>
      <c r="H87" s="11">
        <v>1605</v>
      </c>
    </row>
    <row r="88" spans="1:8" ht="20.100000000000001" customHeight="1" x14ac:dyDescent="0.25">
      <c r="A88" s="74"/>
      <c r="B88" s="2">
        <v>45078</v>
      </c>
      <c r="C88" s="3">
        <v>1564429837</v>
      </c>
      <c r="D88" s="3">
        <v>1</v>
      </c>
      <c r="E88" s="4" t="s">
        <v>666</v>
      </c>
      <c r="F88" s="19" t="s">
        <v>761</v>
      </c>
      <c r="G88" s="10" t="s">
        <v>7</v>
      </c>
      <c r="H88" s="11">
        <v>535</v>
      </c>
    </row>
    <row r="89" spans="1:8" ht="20.100000000000001" customHeight="1" x14ac:dyDescent="0.25">
      <c r="A89" s="74"/>
      <c r="B89" s="2">
        <v>45078</v>
      </c>
      <c r="C89" s="3">
        <v>1564429837</v>
      </c>
      <c r="D89" s="3">
        <v>1</v>
      </c>
      <c r="E89" s="4" t="s">
        <v>666</v>
      </c>
      <c r="F89" s="19" t="s">
        <v>762</v>
      </c>
      <c r="G89" s="10" t="s">
        <v>7</v>
      </c>
      <c r="H89" s="11">
        <v>100</v>
      </c>
    </row>
    <row r="90" spans="1:8" ht="20.100000000000001" customHeight="1" x14ac:dyDescent="0.25">
      <c r="A90" s="74"/>
      <c r="B90" s="2">
        <v>45079</v>
      </c>
      <c r="C90" s="3">
        <v>813911997</v>
      </c>
      <c r="D90" s="3">
        <v>1</v>
      </c>
      <c r="E90" s="4" t="s">
        <v>183</v>
      </c>
      <c r="F90" s="19" t="s">
        <v>761</v>
      </c>
      <c r="G90" s="10" t="s">
        <v>6</v>
      </c>
      <c r="H90" s="11">
        <v>535</v>
      </c>
    </row>
    <row r="91" spans="1:8" ht="20.100000000000001" customHeight="1" x14ac:dyDescent="0.25">
      <c r="A91" s="74"/>
      <c r="B91" s="2">
        <v>45082</v>
      </c>
      <c r="C91" s="3">
        <v>2726380782</v>
      </c>
      <c r="D91" s="3">
        <v>3</v>
      </c>
      <c r="E91" s="4" t="s">
        <v>95</v>
      </c>
      <c r="F91" s="19" t="s">
        <v>761</v>
      </c>
      <c r="G91" s="10" t="s">
        <v>6</v>
      </c>
      <c r="H91" s="11">
        <v>1605</v>
      </c>
    </row>
    <row r="92" spans="1:8" ht="20.100000000000001" customHeight="1" x14ac:dyDescent="0.25">
      <c r="A92" s="74"/>
      <c r="B92" s="2">
        <v>45090</v>
      </c>
      <c r="C92" s="3">
        <v>1619283174</v>
      </c>
      <c r="D92" s="3">
        <v>3</v>
      </c>
      <c r="E92" s="4" t="s">
        <v>763</v>
      </c>
      <c r="F92" s="19" t="s">
        <v>761</v>
      </c>
      <c r="G92" s="10" t="s">
        <v>7</v>
      </c>
      <c r="H92" s="11">
        <v>1605</v>
      </c>
    </row>
    <row r="93" spans="1:8" ht="20.100000000000001" customHeight="1" x14ac:dyDescent="0.25">
      <c r="A93" s="74"/>
      <c r="B93" s="2">
        <v>45092</v>
      </c>
      <c r="C93" s="3">
        <v>2890156544</v>
      </c>
      <c r="D93" s="3">
        <v>1</v>
      </c>
      <c r="E93" s="4" t="s">
        <v>420</v>
      </c>
      <c r="F93" s="19" t="s">
        <v>761</v>
      </c>
      <c r="G93" s="10" t="s">
        <v>6</v>
      </c>
      <c r="H93" s="11">
        <v>535</v>
      </c>
    </row>
    <row r="94" spans="1:8" ht="20.100000000000001" customHeight="1" x14ac:dyDescent="0.25">
      <c r="A94" s="74"/>
      <c r="B94" s="2">
        <v>45097</v>
      </c>
      <c r="C94" s="3">
        <v>2524792995</v>
      </c>
      <c r="D94" s="3">
        <v>3</v>
      </c>
      <c r="E94" s="4" t="s">
        <v>705</v>
      </c>
      <c r="F94" s="19" t="s">
        <v>761</v>
      </c>
      <c r="G94" s="10" t="s">
        <v>14</v>
      </c>
      <c r="H94" s="11">
        <v>1605</v>
      </c>
    </row>
    <row r="95" spans="1:8" ht="20.100000000000001" customHeight="1" x14ac:dyDescent="0.25">
      <c r="A95" s="74"/>
      <c r="B95" s="2">
        <v>45098</v>
      </c>
      <c r="C95" s="3">
        <v>4049227099</v>
      </c>
      <c r="D95" s="3">
        <v>3</v>
      </c>
      <c r="E95" s="4" t="s">
        <v>356</v>
      </c>
      <c r="F95" s="19" t="s">
        <v>761</v>
      </c>
      <c r="G95" s="10" t="s">
        <v>7</v>
      </c>
      <c r="H95" s="11">
        <v>1605</v>
      </c>
    </row>
    <row r="96" spans="1:8" ht="20.100000000000001" customHeight="1" x14ac:dyDescent="0.25">
      <c r="A96" s="74"/>
      <c r="B96" s="2">
        <v>45099</v>
      </c>
      <c r="C96" s="3">
        <v>747325079</v>
      </c>
      <c r="D96" s="3">
        <v>1</v>
      </c>
      <c r="E96" s="4" t="s">
        <v>764</v>
      </c>
      <c r="F96" s="19" t="s">
        <v>761</v>
      </c>
      <c r="G96" s="10" t="s">
        <v>6</v>
      </c>
      <c r="H96" s="11">
        <v>535</v>
      </c>
    </row>
    <row r="97" spans="1:8" ht="20.100000000000001" customHeight="1" x14ac:dyDescent="0.25">
      <c r="A97" s="74"/>
      <c r="B97" s="2">
        <v>45099</v>
      </c>
      <c r="C97" s="3">
        <v>396904927</v>
      </c>
      <c r="D97" s="3">
        <v>3</v>
      </c>
      <c r="E97" s="4" t="s">
        <v>755</v>
      </c>
      <c r="F97" s="19" t="s">
        <v>761</v>
      </c>
      <c r="G97" s="10" t="s">
        <v>7</v>
      </c>
      <c r="H97" s="11">
        <v>1605</v>
      </c>
    </row>
    <row r="98" spans="1:8" ht="20.100000000000001" customHeight="1" x14ac:dyDescent="0.25">
      <c r="A98" s="74"/>
      <c r="B98" s="2">
        <v>45103</v>
      </c>
      <c r="C98" s="3">
        <v>2145141352</v>
      </c>
      <c r="D98" s="3">
        <v>4</v>
      </c>
      <c r="E98" s="4" t="s">
        <v>765</v>
      </c>
      <c r="F98" s="19" t="s">
        <v>761</v>
      </c>
      <c r="G98" s="10" t="s">
        <v>14</v>
      </c>
      <c r="H98" s="11">
        <v>2140</v>
      </c>
    </row>
    <row r="99" spans="1:8" ht="20.100000000000001" customHeight="1" x14ac:dyDescent="0.25">
      <c r="A99" s="74"/>
      <c r="B99" s="2">
        <v>45104</v>
      </c>
      <c r="C99" s="3">
        <v>988760668</v>
      </c>
      <c r="D99" s="3">
        <v>3</v>
      </c>
      <c r="E99" s="4" t="s">
        <v>734</v>
      </c>
      <c r="F99" s="19" t="s">
        <v>761</v>
      </c>
      <c r="G99" s="10" t="s">
        <v>6</v>
      </c>
      <c r="H99" s="11">
        <v>1797.6000000000001</v>
      </c>
    </row>
    <row r="100" spans="1:8" ht="20.100000000000001" customHeight="1" x14ac:dyDescent="0.25">
      <c r="A100" s="74"/>
      <c r="B100" s="2">
        <v>45105</v>
      </c>
      <c r="C100" s="3">
        <v>1846822403</v>
      </c>
      <c r="D100" s="3">
        <v>3</v>
      </c>
      <c r="E100" s="4" t="s">
        <v>766</v>
      </c>
      <c r="F100" s="19" t="s">
        <v>761</v>
      </c>
      <c r="G100" s="10" t="s">
        <v>6</v>
      </c>
      <c r="H100" s="11">
        <v>1605</v>
      </c>
    </row>
    <row r="101" spans="1:8" ht="20.100000000000001" customHeight="1" x14ac:dyDescent="0.25">
      <c r="A101" s="74"/>
      <c r="B101" s="2">
        <v>45107</v>
      </c>
      <c r="C101" s="3">
        <v>2141212070</v>
      </c>
      <c r="D101" s="3">
        <v>3</v>
      </c>
      <c r="E101" s="4" t="s">
        <v>745</v>
      </c>
      <c r="F101" s="19" t="s">
        <v>761</v>
      </c>
      <c r="G101" s="10" t="s">
        <v>11</v>
      </c>
      <c r="H101" s="11">
        <v>1605</v>
      </c>
    </row>
    <row r="102" spans="1:8" ht="20.100000000000001" customHeight="1" x14ac:dyDescent="0.25">
      <c r="A102" s="74"/>
      <c r="B102" s="2">
        <v>45113</v>
      </c>
      <c r="C102" s="3">
        <v>3871690244</v>
      </c>
      <c r="D102" s="3">
        <v>1</v>
      </c>
      <c r="E102" s="4" t="s">
        <v>272</v>
      </c>
      <c r="F102" s="19" t="s">
        <v>96</v>
      </c>
      <c r="G102" s="10" t="s">
        <v>7</v>
      </c>
      <c r="H102" s="11">
        <v>535</v>
      </c>
    </row>
    <row r="103" spans="1:8" ht="20.100000000000001" customHeight="1" x14ac:dyDescent="0.25">
      <c r="A103" s="74"/>
      <c r="B103" s="2">
        <v>45114</v>
      </c>
      <c r="C103" s="3">
        <v>1190414614</v>
      </c>
      <c r="D103" s="3">
        <v>3</v>
      </c>
      <c r="E103" s="4" t="s">
        <v>847</v>
      </c>
      <c r="F103" s="19" t="s">
        <v>96</v>
      </c>
      <c r="G103" s="10" t="s">
        <v>7</v>
      </c>
      <c r="H103" s="11">
        <v>1605</v>
      </c>
    </row>
    <row r="104" spans="1:8" ht="20.100000000000001" customHeight="1" x14ac:dyDescent="0.25">
      <c r="A104" s="74"/>
      <c r="B104" s="2">
        <v>45118</v>
      </c>
      <c r="C104" s="3">
        <v>2111391586</v>
      </c>
      <c r="D104" s="3">
        <v>3</v>
      </c>
      <c r="E104" s="4" t="s">
        <v>821</v>
      </c>
      <c r="F104" s="19" t="s">
        <v>96</v>
      </c>
      <c r="G104" s="10" t="s">
        <v>7</v>
      </c>
      <c r="H104" s="11">
        <v>1605</v>
      </c>
    </row>
    <row r="105" spans="1:8" ht="20.100000000000001" customHeight="1" x14ac:dyDescent="0.25">
      <c r="A105" s="74"/>
      <c r="B105" s="2">
        <v>45125</v>
      </c>
      <c r="C105" s="3">
        <v>3588967692</v>
      </c>
      <c r="D105" s="3">
        <v>3</v>
      </c>
      <c r="E105" s="4" t="s">
        <v>658</v>
      </c>
      <c r="F105" s="19" t="s">
        <v>96</v>
      </c>
      <c r="G105" s="10" t="s">
        <v>28</v>
      </c>
      <c r="H105" s="11">
        <v>1605</v>
      </c>
    </row>
    <row r="106" spans="1:8" ht="20.100000000000001" customHeight="1" x14ac:dyDescent="0.25">
      <c r="A106" s="74"/>
      <c r="B106" s="2">
        <v>45125</v>
      </c>
      <c r="C106" s="3">
        <v>2263237027</v>
      </c>
      <c r="D106" s="3">
        <v>3</v>
      </c>
      <c r="E106" s="4" t="s">
        <v>831</v>
      </c>
      <c r="F106" s="19" t="s">
        <v>96</v>
      </c>
      <c r="G106" s="10" t="s">
        <v>6</v>
      </c>
      <c r="H106" s="11">
        <v>1605</v>
      </c>
    </row>
    <row r="107" spans="1:8" ht="20.100000000000001" customHeight="1" x14ac:dyDescent="0.25">
      <c r="A107" s="74"/>
      <c r="B107" s="2">
        <v>45132</v>
      </c>
      <c r="C107" s="3">
        <v>2845396071</v>
      </c>
      <c r="D107" s="3">
        <v>3</v>
      </c>
      <c r="E107" s="4" t="s">
        <v>521</v>
      </c>
      <c r="F107" s="19" t="s">
        <v>96</v>
      </c>
      <c r="G107" s="10" t="s">
        <v>7</v>
      </c>
      <c r="H107" s="11">
        <v>1605</v>
      </c>
    </row>
    <row r="108" spans="1:8" ht="20.100000000000001" customHeight="1" x14ac:dyDescent="0.25">
      <c r="A108" s="74"/>
      <c r="B108" s="2">
        <v>45133</v>
      </c>
      <c r="C108" s="3">
        <v>4232400515</v>
      </c>
      <c r="D108" s="3">
        <v>1</v>
      </c>
      <c r="E108" s="4" t="s">
        <v>108</v>
      </c>
      <c r="F108" s="19" t="s">
        <v>96</v>
      </c>
      <c r="G108" s="10" t="s">
        <v>14</v>
      </c>
      <c r="H108" s="11">
        <v>535</v>
      </c>
    </row>
    <row r="109" spans="1:8" ht="20.100000000000001" customHeight="1" x14ac:dyDescent="0.25">
      <c r="A109" s="74"/>
      <c r="B109" s="2">
        <v>45134</v>
      </c>
      <c r="C109" s="3">
        <v>2140292111</v>
      </c>
      <c r="D109" s="3">
        <v>3</v>
      </c>
      <c r="E109" s="4" t="s">
        <v>820</v>
      </c>
      <c r="F109" s="19" t="s">
        <v>96</v>
      </c>
      <c r="G109" s="10" t="s">
        <v>7</v>
      </c>
      <c r="H109" s="11">
        <v>1605</v>
      </c>
    </row>
    <row r="110" spans="1:8" ht="20.100000000000001" customHeight="1" x14ac:dyDescent="0.25">
      <c r="A110" s="74"/>
      <c r="B110" s="2">
        <v>45140</v>
      </c>
      <c r="C110" s="3">
        <v>2259632809</v>
      </c>
      <c r="D110" s="3">
        <v>1</v>
      </c>
      <c r="E110" s="4" t="s">
        <v>284</v>
      </c>
      <c r="F110" s="19" t="s">
        <v>96</v>
      </c>
      <c r="G110" s="10" t="s">
        <v>16</v>
      </c>
      <c r="H110" s="11">
        <v>376</v>
      </c>
    </row>
    <row r="111" spans="1:8" ht="20.100000000000001" customHeight="1" x14ac:dyDescent="0.25">
      <c r="A111" s="74"/>
      <c r="B111" s="2">
        <v>45141</v>
      </c>
      <c r="C111" s="3">
        <v>1336231401</v>
      </c>
      <c r="D111" s="3">
        <v>2</v>
      </c>
      <c r="E111" s="4" t="s">
        <v>981</v>
      </c>
      <c r="F111" s="19" t="s">
        <v>96</v>
      </c>
      <c r="G111" s="10" t="s">
        <v>7</v>
      </c>
      <c r="H111" s="11">
        <v>1070</v>
      </c>
    </row>
    <row r="112" spans="1:8" ht="20.100000000000001" customHeight="1" x14ac:dyDescent="0.25">
      <c r="A112" s="74"/>
      <c r="B112" s="2">
        <v>45141</v>
      </c>
      <c r="C112" s="3">
        <v>3645981360</v>
      </c>
      <c r="D112" s="3">
        <v>1</v>
      </c>
      <c r="E112" s="4" t="s">
        <v>862</v>
      </c>
      <c r="F112" s="19" t="s">
        <v>96</v>
      </c>
      <c r="G112" s="10" t="s">
        <v>14</v>
      </c>
      <c r="H112" s="11">
        <v>535</v>
      </c>
    </row>
    <row r="113" spans="1:8" ht="20.100000000000001" customHeight="1" x14ac:dyDescent="0.25">
      <c r="A113" s="74"/>
      <c r="B113" s="2">
        <v>45145</v>
      </c>
      <c r="C113" s="3">
        <v>674776753</v>
      </c>
      <c r="D113" s="3">
        <v>3</v>
      </c>
      <c r="E113" s="4" t="s">
        <v>954</v>
      </c>
      <c r="F113" s="19" t="s">
        <v>96</v>
      </c>
      <c r="G113" s="10" t="s">
        <v>7</v>
      </c>
      <c r="H113" s="11">
        <v>1605</v>
      </c>
    </row>
    <row r="114" spans="1:8" ht="20.100000000000001" customHeight="1" x14ac:dyDescent="0.25">
      <c r="A114" s="74"/>
      <c r="B114" s="2">
        <v>45146</v>
      </c>
      <c r="C114" s="3">
        <v>1475100827</v>
      </c>
      <c r="D114" s="3">
        <v>1</v>
      </c>
      <c r="E114" s="4" t="s">
        <v>950</v>
      </c>
      <c r="F114" s="19" t="s">
        <v>96</v>
      </c>
      <c r="G114" s="10" t="s">
        <v>6</v>
      </c>
      <c r="H114" s="11">
        <v>535</v>
      </c>
    </row>
    <row r="115" spans="1:8" ht="20.100000000000001" customHeight="1" x14ac:dyDescent="0.25">
      <c r="A115" s="74"/>
      <c r="B115" s="2">
        <v>45147</v>
      </c>
      <c r="C115" s="3">
        <v>1254115869</v>
      </c>
      <c r="D115" s="3">
        <v>1</v>
      </c>
      <c r="E115" s="4" t="s">
        <v>1003</v>
      </c>
      <c r="F115" s="19" t="s">
        <v>96</v>
      </c>
      <c r="G115" s="10" t="s">
        <v>7</v>
      </c>
      <c r="H115" s="11">
        <v>535</v>
      </c>
    </row>
    <row r="116" spans="1:8" ht="20.100000000000001" customHeight="1" x14ac:dyDescent="0.25">
      <c r="A116" s="74"/>
      <c r="B116" s="2">
        <v>45147</v>
      </c>
      <c r="C116" s="3">
        <v>1254115869</v>
      </c>
      <c r="D116" s="3">
        <v>1</v>
      </c>
      <c r="E116" s="4" t="s">
        <v>873</v>
      </c>
      <c r="F116" s="19" t="s">
        <v>96</v>
      </c>
      <c r="G116" s="10" t="s">
        <v>7</v>
      </c>
      <c r="H116" s="11">
        <v>535</v>
      </c>
    </row>
    <row r="117" spans="1:8" ht="20.100000000000001" customHeight="1" x14ac:dyDescent="0.25">
      <c r="A117" s="74"/>
      <c r="B117" s="2">
        <v>45148</v>
      </c>
      <c r="C117" s="3" t="s">
        <v>13</v>
      </c>
      <c r="D117" s="3">
        <v>1</v>
      </c>
      <c r="E117" s="4" t="s">
        <v>975</v>
      </c>
      <c r="F117" s="19" t="s">
        <v>96</v>
      </c>
      <c r="G117" s="10" t="s">
        <v>14</v>
      </c>
      <c r="H117" s="11">
        <v>132</v>
      </c>
    </row>
    <row r="118" spans="1:8" ht="20.100000000000001" customHeight="1" x14ac:dyDescent="0.25">
      <c r="A118" s="74"/>
      <c r="B118" s="2">
        <v>45154</v>
      </c>
      <c r="C118" s="3">
        <v>902909760</v>
      </c>
      <c r="D118" s="3">
        <v>3</v>
      </c>
      <c r="E118" s="4" t="s">
        <v>299</v>
      </c>
      <c r="F118" s="19" t="s">
        <v>96</v>
      </c>
      <c r="G118" s="10" t="s">
        <v>6</v>
      </c>
      <c r="H118" s="11">
        <v>1605</v>
      </c>
    </row>
    <row r="119" spans="1:8" ht="20.100000000000001" customHeight="1" x14ac:dyDescent="0.25">
      <c r="A119" s="74"/>
      <c r="B119" s="2">
        <v>45168</v>
      </c>
      <c r="C119" s="3">
        <v>2473017651</v>
      </c>
      <c r="D119" s="3">
        <v>1</v>
      </c>
      <c r="E119" s="4" t="s">
        <v>1004</v>
      </c>
      <c r="F119" s="19" t="s">
        <v>1005</v>
      </c>
      <c r="G119" s="10" t="s">
        <v>7</v>
      </c>
      <c r="H119" s="11">
        <v>535</v>
      </c>
    </row>
    <row r="120" spans="1:8" ht="20.100000000000001" customHeight="1" x14ac:dyDescent="0.25">
      <c r="A120" s="74"/>
      <c r="B120" s="2">
        <v>45169</v>
      </c>
      <c r="C120" s="3">
        <v>2165850932</v>
      </c>
      <c r="D120" s="3">
        <v>1</v>
      </c>
      <c r="E120" s="4" t="s">
        <v>1006</v>
      </c>
      <c r="F120" s="19" t="s">
        <v>1005</v>
      </c>
      <c r="G120" s="10" t="s">
        <v>6</v>
      </c>
      <c r="H120" s="11">
        <v>535</v>
      </c>
    </row>
    <row r="121" spans="1:8" ht="20.100000000000001" customHeight="1" x14ac:dyDescent="0.25">
      <c r="A121" s="74"/>
      <c r="B121" s="2">
        <v>45170</v>
      </c>
      <c r="C121" s="3">
        <v>3679077196</v>
      </c>
      <c r="D121" s="3">
        <v>1</v>
      </c>
      <c r="E121" s="4" t="s">
        <v>1097</v>
      </c>
      <c r="F121" s="19" t="s">
        <v>1005</v>
      </c>
      <c r="G121" s="10" t="s">
        <v>7</v>
      </c>
      <c r="H121" s="11">
        <v>535</v>
      </c>
    </row>
    <row r="122" spans="1:8" ht="20.100000000000001" customHeight="1" x14ac:dyDescent="0.25">
      <c r="A122" s="74"/>
      <c r="B122" s="2">
        <v>45170</v>
      </c>
      <c r="C122" s="3">
        <v>2067680633</v>
      </c>
      <c r="D122" s="3">
        <v>1</v>
      </c>
      <c r="E122" s="4" t="s">
        <v>1098</v>
      </c>
      <c r="F122" s="19" t="s">
        <v>1005</v>
      </c>
      <c r="G122" s="10" t="s">
        <v>7</v>
      </c>
      <c r="H122" s="11">
        <v>535</v>
      </c>
    </row>
    <row r="123" spans="1:8" ht="20.100000000000001" customHeight="1" x14ac:dyDescent="0.25">
      <c r="A123" s="74"/>
      <c r="B123" s="2">
        <v>45176</v>
      </c>
      <c r="C123" s="3">
        <v>3762897800</v>
      </c>
      <c r="D123" s="3">
        <v>1</v>
      </c>
      <c r="E123" s="4" t="s">
        <v>284</v>
      </c>
      <c r="F123" s="19" t="s">
        <v>1005</v>
      </c>
      <c r="G123" s="10" t="s">
        <v>6</v>
      </c>
      <c r="H123" s="11">
        <v>376</v>
      </c>
    </row>
    <row r="124" spans="1:8" ht="20.100000000000001" customHeight="1" x14ac:dyDescent="0.25">
      <c r="A124" s="74"/>
      <c r="B124" s="2">
        <v>45180</v>
      </c>
      <c r="C124" s="3">
        <v>2241154763</v>
      </c>
      <c r="D124" s="3">
        <v>6</v>
      </c>
      <c r="E124" s="4" t="s">
        <v>1082</v>
      </c>
      <c r="F124" s="19" t="s">
        <v>96</v>
      </c>
      <c r="G124" s="10" t="s">
        <v>6</v>
      </c>
      <c r="H124" s="11">
        <v>3210</v>
      </c>
    </row>
    <row r="125" spans="1:8" ht="20.100000000000001" customHeight="1" x14ac:dyDescent="0.25">
      <c r="A125" s="74"/>
      <c r="B125" s="2">
        <v>45181</v>
      </c>
      <c r="C125" s="3">
        <v>2581217481</v>
      </c>
      <c r="D125" s="3">
        <v>3</v>
      </c>
      <c r="E125" s="4" t="s">
        <v>1084</v>
      </c>
      <c r="F125" s="19" t="s">
        <v>1005</v>
      </c>
      <c r="G125" s="10" t="s">
        <v>7</v>
      </c>
      <c r="H125" s="11">
        <v>1605</v>
      </c>
    </row>
    <row r="126" spans="1:8" ht="20.100000000000001" customHeight="1" x14ac:dyDescent="0.25">
      <c r="A126" s="74"/>
      <c r="B126" s="2">
        <v>45181</v>
      </c>
      <c r="C126" s="3">
        <v>1240350765</v>
      </c>
      <c r="D126" s="3">
        <v>3</v>
      </c>
      <c r="E126" s="4" t="s">
        <v>51</v>
      </c>
      <c r="F126" s="19" t="s">
        <v>1005</v>
      </c>
      <c r="G126" s="10" t="s">
        <v>6</v>
      </c>
      <c r="H126" s="11">
        <v>1605</v>
      </c>
    </row>
    <row r="127" spans="1:8" ht="20.100000000000001" customHeight="1" x14ac:dyDescent="0.25">
      <c r="A127" s="74"/>
      <c r="B127" s="2">
        <v>45182</v>
      </c>
      <c r="C127" s="3">
        <v>52972872</v>
      </c>
      <c r="D127" s="3">
        <v>1</v>
      </c>
      <c r="E127" s="4" t="s">
        <v>1099</v>
      </c>
      <c r="F127" s="19" t="s">
        <v>1005</v>
      </c>
      <c r="G127" s="10" t="s">
        <v>7</v>
      </c>
      <c r="H127" s="11">
        <v>535</v>
      </c>
    </row>
    <row r="128" spans="1:8" ht="20.100000000000001" customHeight="1" x14ac:dyDescent="0.25">
      <c r="A128" s="74"/>
      <c r="B128" s="2">
        <v>45187</v>
      </c>
      <c r="C128" s="3">
        <v>1349534689</v>
      </c>
      <c r="D128" s="3">
        <v>3</v>
      </c>
      <c r="E128" s="4" t="s">
        <v>1085</v>
      </c>
      <c r="F128" s="19" t="s">
        <v>1005</v>
      </c>
      <c r="G128" s="10" t="s">
        <v>28</v>
      </c>
      <c r="H128" s="11">
        <v>1605</v>
      </c>
    </row>
    <row r="129" spans="1:8" ht="20.100000000000001" customHeight="1" x14ac:dyDescent="0.25">
      <c r="A129" s="74"/>
      <c r="B129" s="2">
        <v>45187</v>
      </c>
      <c r="C129" s="3">
        <v>88556938</v>
      </c>
      <c r="D129" s="3">
        <v>3</v>
      </c>
      <c r="E129" s="4" t="s">
        <v>172</v>
      </c>
      <c r="F129" s="19" t="s">
        <v>1005</v>
      </c>
      <c r="G129" s="10" t="s">
        <v>28</v>
      </c>
      <c r="H129" s="11">
        <v>1605</v>
      </c>
    </row>
    <row r="130" spans="1:8" ht="20.100000000000001" customHeight="1" x14ac:dyDescent="0.25">
      <c r="A130" s="74"/>
      <c r="B130" s="2">
        <v>45188</v>
      </c>
      <c r="C130" s="3">
        <v>3045738417</v>
      </c>
      <c r="D130" s="3">
        <v>3</v>
      </c>
      <c r="E130" s="4" t="s">
        <v>1033</v>
      </c>
      <c r="F130" s="19" t="s">
        <v>1005</v>
      </c>
      <c r="G130" s="10" t="s">
        <v>28</v>
      </c>
      <c r="H130" s="11">
        <v>1605</v>
      </c>
    </row>
    <row r="131" spans="1:8" ht="20.100000000000001" customHeight="1" x14ac:dyDescent="0.25">
      <c r="A131" s="74"/>
      <c r="B131" s="2">
        <v>45188</v>
      </c>
      <c r="C131" s="3">
        <v>1965903057</v>
      </c>
      <c r="D131" s="3">
        <v>3</v>
      </c>
      <c r="E131" s="4" t="s">
        <v>1035</v>
      </c>
      <c r="F131" s="19" t="s">
        <v>1005</v>
      </c>
      <c r="G131" s="10" t="s">
        <v>28</v>
      </c>
      <c r="H131" s="11">
        <v>1605</v>
      </c>
    </row>
    <row r="132" spans="1:8" ht="20.100000000000001" customHeight="1" x14ac:dyDescent="0.25">
      <c r="A132" s="74"/>
      <c r="B132" s="2">
        <v>45188</v>
      </c>
      <c r="C132" s="3">
        <v>4230302616</v>
      </c>
      <c r="D132" s="3">
        <v>1</v>
      </c>
      <c r="E132" s="4" t="s">
        <v>1100</v>
      </c>
      <c r="F132" s="19" t="s">
        <v>1005</v>
      </c>
      <c r="G132" s="10" t="s">
        <v>7</v>
      </c>
      <c r="H132" s="11">
        <v>535</v>
      </c>
    </row>
    <row r="133" spans="1:8" ht="20.100000000000001" customHeight="1" x14ac:dyDescent="0.25">
      <c r="A133" s="74"/>
      <c r="B133" s="2">
        <v>45190</v>
      </c>
      <c r="C133" s="3">
        <v>2097039580</v>
      </c>
      <c r="D133" s="3">
        <v>1</v>
      </c>
      <c r="E133" s="4" t="s">
        <v>1101</v>
      </c>
      <c r="F133" s="19" t="s">
        <v>1005</v>
      </c>
      <c r="G133" s="10" t="s">
        <v>7</v>
      </c>
      <c r="H133" s="11">
        <v>535</v>
      </c>
    </row>
    <row r="134" spans="1:8" ht="20.100000000000001" customHeight="1" x14ac:dyDescent="0.25">
      <c r="A134" s="74"/>
      <c r="B134" s="2">
        <v>45190</v>
      </c>
      <c r="C134" s="3">
        <v>2320713472</v>
      </c>
      <c r="D134" s="3">
        <v>1</v>
      </c>
      <c r="E134" s="4" t="s">
        <v>1081</v>
      </c>
      <c r="F134" s="19" t="s">
        <v>1005</v>
      </c>
      <c r="G134" s="10" t="s">
        <v>28</v>
      </c>
      <c r="H134" s="11">
        <v>535</v>
      </c>
    </row>
    <row r="135" spans="1:8" ht="20.100000000000001" customHeight="1" x14ac:dyDescent="0.25">
      <c r="A135" s="74"/>
      <c r="B135" s="2">
        <v>45190</v>
      </c>
      <c r="C135" s="3">
        <v>3455864046</v>
      </c>
      <c r="D135" s="3">
        <v>3</v>
      </c>
      <c r="E135" s="4" t="s">
        <v>1087</v>
      </c>
      <c r="F135" s="19" t="s">
        <v>1005</v>
      </c>
      <c r="G135" s="10" t="s">
        <v>28</v>
      </c>
      <c r="H135" s="11">
        <v>1605</v>
      </c>
    </row>
    <row r="136" spans="1:8" ht="20.100000000000001" customHeight="1" x14ac:dyDescent="0.25">
      <c r="A136" s="74"/>
      <c r="B136" s="2">
        <v>45191</v>
      </c>
      <c r="C136" s="3">
        <v>2676575922</v>
      </c>
      <c r="D136" s="3">
        <v>1</v>
      </c>
      <c r="E136" s="4" t="s">
        <v>1067</v>
      </c>
      <c r="F136" s="19" t="s">
        <v>1005</v>
      </c>
      <c r="G136" s="10" t="s">
        <v>28</v>
      </c>
      <c r="H136" s="11">
        <v>535</v>
      </c>
    </row>
    <row r="137" spans="1:8" ht="20.100000000000001" customHeight="1" x14ac:dyDescent="0.25">
      <c r="A137" s="74"/>
      <c r="B137" s="2">
        <v>45194</v>
      </c>
      <c r="C137" s="3">
        <v>2464498696</v>
      </c>
      <c r="D137" s="3">
        <v>1</v>
      </c>
      <c r="E137" s="4" t="s">
        <v>1036</v>
      </c>
      <c r="F137" s="19" t="s">
        <v>1005</v>
      </c>
      <c r="G137" s="10" t="s">
        <v>7</v>
      </c>
      <c r="H137" s="11">
        <v>535</v>
      </c>
    </row>
    <row r="138" spans="1:8" ht="20.100000000000001" customHeight="1" x14ac:dyDescent="0.25">
      <c r="A138" s="74"/>
      <c r="B138" s="2">
        <v>45195</v>
      </c>
      <c r="C138" s="3">
        <v>4009707760</v>
      </c>
      <c r="D138" s="3">
        <v>3</v>
      </c>
      <c r="E138" s="4" t="s">
        <v>1090</v>
      </c>
      <c r="F138" s="19" t="s">
        <v>1005</v>
      </c>
      <c r="G138" s="10" t="s">
        <v>28</v>
      </c>
      <c r="H138" s="11">
        <v>1605</v>
      </c>
    </row>
    <row r="139" spans="1:8" ht="20.100000000000001" customHeight="1" x14ac:dyDescent="0.25">
      <c r="A139" s="74"/>
      <c r="B139" s="2">
        <v>45195</v>
      </c>
      <c r="C139" s="3">
        <v>3066184200</v>
      </c>
      <c r="D139" s="3">
        <v>3</v>
      </c>
      <c r="E139" s="4" t="s">
        <v>1476</v>
      </c>
      <c r="F139" s="19" t="s">
        <v>1005</v>
      </c>
      <c r="G139" s="10" t="s">
        <v>28</v>
      </c>
      <c r="H139" s="11">
        <v>1605</v>
      </c>
    </row>
    <row r="140" spans="1:8" ht="20.100000000000001" customHeight="1" x14ac:dyDescent="0.25">
      <c r="A140" s="74"/>
      <c r="B140" s="2">
        <v>45196</v>
      </c>
      <c r="C140" s="3">
        <v>3038334620</v>
      </c>
      <c r="D140" s="3">
        <v>3</v>
      </c>
      <c r="E140" s="4" t="s">
        <v>1102</v>
      </c>
      <c r="F140" s="19" t="s">
        <v>1005</v>
      </c>
      <c r="G140" s="10" t="s">
        <v>11</v>
      </c>
      <c r="H140" s="11">
        <v>1605</v>
      </c>
    </row>
    <row r="141" spans="1:8" ht="20.100000000000001" customHeight="1" x14ac:dyDescent="0.25">
      <c r="A141" s="74"/>
      <c r="B141" s="2">
        <v>45196</v>
      </c>
      <c r="C141" s="3">
        <v>718491624</v>
      </c>
      <c r="D141" s="3">
        <v>1</v>
      </c>
      <c r="E141" s="4" t="s">
        <v>1103</v>
      </c>
      <c r="F141" s="19" t="s">
        <v>1005</v>
      </c>
      <c r="G141" s="10" t="s">
        <v>14</v>
      </c>
      <c r="H141" s="11">
        <v>535</v>
      </c>
    </row>
    <row r="142" spans="1:8" ht="20.100000000000001" customHeight="1" x14ac:dyDescent="0.25">
      <c r="A142" s="74"/>
      <c r="B142" s="2">
        <v>45202</v>
      </c>
      <c r="C142" s="3">
        <v>3767028696</v>
      </c>
      <c r="D142" s="3">
        <v>3</v>
      </c>
      <c r="E142" s="4" t="s">
        <v>1169</v>
      </c>
      <c r="F142" s="19" t="s">
        <v>1005</v>
      </c>
      <c r="G142" s="10" t="s">
        <v>28</v>
      </c>
      <c r="H142" s="11">
        <v>1605</v>
      </c>
    </row>
    <row r="143" spans="1:8" ht="20.100000000000001" customHeight="1" x14ac:dyDescent="0.25">
      <c r="A143" s="74"/>
      <c r="B143" s="2">
        <v>45202</v>
      </c>
      <c r="C143" s="3">
        <v>150227578</v>
      </c>
      <c r="D143" s="3">
        <v>2</v>
      </c>
      <c r="E143" s="4" t="s">
        <v>1181</v>
      </c>
      <c r="F143" s="19" t="s">
        <v>1005</v>
      </c>
      <c r="G143" s="10" t="s">
        <v>28</v>
      </c>
      <c r="H143" s="11">
        <v>1066</v>
      </c>
    </row>
    <row r="144" spans="1:8" ht="20.100000000000001" customHeight="1" x14ac:dyDescent="0.25">
      <c r="A144" s="74"/>
      <c r="B144" s="2">
        <v>45202</v>
      </c>
      <c r="C144" s="3">
        <v>150227578</v>
      </c>
      <c r="D144" s="3">
        <v>1</v>
      </c>
      <c r="E144" s="4" t="s">
        <v>1181</v>
      </c>
      <c r="F144" s="19" t="s">
        <v>1005</v>
      </c>
      <c r="G144" s="10" t="s">
        <v>28</v>
      </c>
      <c r="H144" s="11">
        <v>534</v>
      </c>
    </row>
    <row r="145" spans="1:8" ht="20.100000000000001" customHeight="1" x14ac:dyDescent="0.25">
      <c r="A145" s="74"/>
      <c r="B145" s="2">
        <v>45203</v>
      </c>
      <c r="C145" s="3">
        <v>1574325904</v>
      </c>
      <c r="D145" s="3">
        <v>5</v>
      </c>
      <c r="E145" s="4" t="s">
        <v>1182</v>
      </c>
      <c r="F145" s="19" t="s">
        <v>1183</v>
      </c>
      <c r="G145" s="10" t="s">
        <v>36</v>
      </c>
      <c r="H145" s="11">
        <v>3058</v>
      </c>
    </row>
    <row r="146" spans="1:8" ht="20.100000000000001" customHeight="1" x14ac:dyDescent="0.25">
      <c r="A146" s="74"/>
      <c r="B146" s="2">
        <v>45203</v>
      </c>
      <c r="C146" s="3">
        <v>1574325904</v>
      </c>
      <c r="D146" s="3">
        <v>1</v>
      </c>
      <c r="E146" s="4" t="s">
        <v>1182</v>
      </c>
      <c r="F146" s="19" t="s">
        <v>1184</v>
      </c>
      <c r="G146" s="10" t="s">
        <v>14</v>
      </c>
      <c r="H146" s="11">
        <v>152</v>
      </c>
    </row>
    <row r="147" spans="1:8" ht="20.100000000000001" customHeight="1" x14ac:dyDescent="0.25">
      <c r="A147" s="74"/>
      <c r="B147" s="2">
        <v>45204</v>
      </c>
      <c r="C147" s="3">
        <v>2177191099</v>
      </c>
      <c r="D147" s="3">
        <v>1</v>
      </c>
      <c r="E147" s="4" t="s">
        <v>1163</v>
      </c>
      <c r="F147" s="19" t="s">
        <v>1005</v>
      </c>
      <c r="G147" s="10" t="s">
        <v>16</v>
      </c>
      <c r="H147" s="11">
        <v>376</v>
      </c>
    </row>
    <row r="148" spans="1:8" ht="20.100000000000001" customHeight="1" x14ac:dyDescent="0.25">
      <c r="A148" s="74"/>
      <c r="B148" s="2">
        <v>45204</v>
      </c>
      <c r="C148" s="3">
        <v>1111704284</v>
      </c>
      <c r="D148" s="3">
        <v>3</v>
      </c>
      <c r="E148" s="4" t="s">
        <v>981</v>
      </c>
      <c r="F148" s="19" t="s">
        <v>1005</v>
      </c>
      <c r="G148" s="10" t="s">
        <v>7</v>
      </c>
      <c r="H148" s="11">
        <v>1605</v>
      </c>
    </row>
    <row r="149" spans="1:8" ht="20.100000000000001" customHeight="1" x14ac:dyDescent="0.25">
      <c r="A149" s="74"/>
      <c r="B149" s="2">
        <v>45204</v>
      </c>
      <c r="C149" s="3">
        <v>2651605547</v>
      </c>
      <c r="D149" s="3">
        <v>3</v>
      </c>
      <c r="E149" s="4" t="s">
        <v>1185</v>
      </c>
      <c r="F149" s="19" t="s">
        <v>1005</v>
      </c>
      <c r="G149" s="10" t="s">
        <v>11</v>
      </c>
      <c r="H149" s="11">
        <v>1605</v>
      </c>
    </row>
    <row r="150" spans="1:8" ht="20.100000000000001" customHeight="1" x14ac:dyDescent="0.25">
      <c r="A150" s="74"/>
      <c r="B150" s="2">
        <v>45210</v>
      </c>
      <c r="C150" s="3">
        <v>221987362</v>
      </c>
      <c r="D150" s="3">
        <v>3</v>
      </c>
      <c r="E150" s="4" t="s">
        <v>1186</v>
      </c>
      <c r="F150" s="19" t="s">
        <v>1005</v>
      </c>
      <c r="G150" s="10" t="s">
        <v>7</v>
      </c>
      <c r="H150" s="11">
        <v>1605</v>
      </c>
    </row>
    <row r="151" spans="1:8" ht="20.100000000000001" customHeight="1" x14ac:dyDescent="0.25">
      <c r="A151" s="74"/>
      <c r="B151" s="2">
        <v>45217</v>
      </c>
      <c r="C151" s="3">
        <v>1634684561</v>
      </c>
      <c r="D151" s="3">
        <v>1</v>
      </c>
      <c r="E151" s="4" t="s">
        <v>1187</v>
      </c>
      <c r="F151" s="19" t="s">
        <v>1005</v>
      </c>
      <c r="G151" s="10" t="s">
        <v>6</v>
      </c>
      <c r="H151" s="11">
        <v>535</v>
      </c>
    </row>
    <row r="152" spans="1:8" ht="20.100000000000001" customHeight="1" x14ac:dyDescent="0.25">
      <c r="A152" s="74"/>
      <c r="B152" s="2">
        <v>45223</v>
      </c>
      <c r="C152" s="3">
        <v>2466925168</v>
      </c>
      <c r="D152" s="3">
        <v>1</v>
      </c>
      <c r="E152" s="4" t="s">
        <v>1172</v>
      </c>
      <c r="F152" s="19" t="s">
        <v>1005</v>
      </c>
      <c r="G152" s="10" t="s">
        <v>14</v>
      </c>
      <c r="H152" s="11">
        <v>535</v>
      </c>
    </row>
    <row r="153" spans="1:8" ht="20.100000000000001" customHeight="1" x14ac:dyDescent="0.25">
      <c r="A153" s="74"/>
      <c r="B153" s="2">
        <v>45223</v>
      </c>
      <c r="C153" s="3">
        <v>3016246281</v>
      </c>
      <c r="D153" s="3">
        <v>1</v>
      </c>
      <c r="E153" s="4" t="s">
        <v>1153</v>
      </c>
      <c r="F153" s="19" t="s">
        <v>1005</v>
      </c>
      <c r="G153" s="10" t="s">
        <v>14</v>
      </c>
      <c r="H153" s="11">
        <v>535</v>
      </c>
    </row>
    <row r="154" spans="1:8" ht="20.100000000000001" customHeight="1" x14ac:dyDescent="0.25">
      <c r="A154" s="74"/>
      <c r="B154" s="2">
        <v>45225</v>
      </c>
      <c r="C154" s="3">
        <v>2715437484</v>
      </c>
      <c r="D154" s="3">
        <v>3</v>
      </c>
      <c r="E154" s="4" t="s">
        <v>1188</v>
      </c>
      <c r="F154" s="19" t="s">
        <v>1005</v>
      </c>
      <c r="G154" s="10" t="s">
        <v>7</v>
      </c>
      <c r="H154" s="11">
        <v>1605</v>
      </c>
    </row>
    <row r="155" spans="1:8" ht="20.100000000000001" customHeight="1" x14ac:dyDescent="0.25">
      <c r="A155" s="74"/>
      <c r="B155" s="2">
        <v>45225</v>
      </c>
      <c r="C155" s="3">
        <v>4293151440</v>
      </c>
      <c r="D155" s="3">
        <v>3</v>
      </c>
      <c r="E155" s="4" t="s">
        <v>1174</v>
      </c>
      <c r="F155" s="19" t="s">
        <v>1005</v>
      </c>
      <c r="G155" s="10" t="s">
        <v>7</v>
      </c>
      <c r="H155" s="11">
        <v>1605</v>
      </c>
    </row>
    <row r="156" spans="1:8" ht="20.100000000000001" customHeight="1" x14ac:dyDescent="0.25">
      <c r="A156" s="74"/>
      <c r="B156" s="2">
        <v>45229</v>
      </c>
      <c r="C156" s="3">
        <v>3139454743</v>
      </c>
      <c r="D156" s="3">
        <v>3</v>
      </c>
      <c r="E156" s="4" t="s">
        <v>1168</v>
      </c>
      <c r="F156" s="19" t="s">
        <v>1005</v>
      </c>
      <c r="G156" s="10" t="s">
        <v>6</v>
      </c>
      <c r="H156" s="11">
        <v>1605</v>
      </c>
    </row>
    <row r="157" spans="1:8" ht="20.100000000000001" customHeight="1" x14ac:dyDescent="0.25">
      <c r="A157" s="74"/>
      <c r="B157" s="2">
        <v>45236</v>
      </c>
      <c r="C157" s="3">
        <v>2102216611</v>
      </c>
      <c r="D157" s="3">
        <v>2</v>
      </c>
      <c r="E157" s="4" t="s">
        <v>1222</v>
      </c>
      <c r="F157" s="19" t="s">
        <v>1005</v>
      </c>
      <c r="G157" s="10" t="s">
        <v>7</v>
      </c>
      <c r="H157" s="11">
        <v>1070</v>
      </c>
    </row>
    <row r="158" spans="1:8" ht="20.100000000000001" customHeight="1" x14ac:dyDescent="0.25">
      <c r="A158" s="74"/>
      <c r="B158" s="2">
        <v>45236</v>
      </c>
      <c r="C158" s="3">
        <v>1197032425</v>
      </c>
      <c r="D158" s="3">
        <v>4</v>
      </c>
      <c r="E158" s="4" t="s">
        <v>1223</v>
      </c>
      <c r="F158" s="19" t="s">
        <v>1005</v>
      </c>
      <c r="G158" s="10" t="s">
        <v>28</v>
      </c>
      <c r="H158" s="11">
        <v>2140</v>
      </c>
    </row>
    <row r="159" spans="1:8" ht="20.100000000000001" customHeight="1" x14ac:dyDescent="0.25">
      <c r="A159" s="74"/>
      <c r="B159" s="2">
        <v>45237</v>
      </c>
      <c r="C159" s="3">
        <v>1994604880</v>
      </c>
      <c r="D159" s="3">
        <v>1</v>
      </c>
      <c r="E159" s="4" t="s">
        <v>1224</v>
      </c>
      <c r="F159" s="19" t="s">
        <v>1005</v>
      </c>
      <c r="G159" s="10" t="s">
        <v>6</v>
      </c>
      <c r="H159" s="11">
        <v>535</v>
      </c>
    </row>
    <row r="160" spans="1:8" ht="20.100000000000001" customHeight="1" x14ac:dyDescent="0.25">
      <c r="A160" s="74"/>
      <c r="B160" s="2">
        <v>45237</v>
      </c>
      <c r="C160" s="3">
        <v>1948272867</v>
      </c>
      <c r="D160" s="3">
        <v>3</v>
      </c>
      <c r="E160" s="4" t="s">
        <v>1201</v>
      </c>
      <c r="F160" s="19" t="s">
        <v>1005</v>
      </c>
      <c r="G160" s="10" t="s">
        <v>7</v>
      </c>
      <c r="H160" s="11">
        <v>1605</v>
      </c>
    </row>
    <row r="161" spans="1:8" ht="20.100000000000001" customHeight="1" x14ac:dyDescent="0.25">
      <c r="A161" s="74"/>
      <c r="B161" s="2">
        <v>45238</v>
      </c>
      <c r="C161" s="3">
        <v>3158134526</v>
      </c>
      <c r="D161" s="3">
        <v>3</v>
      </c>
      <c r="E161" s="4" t="s">
        <v>1225</v>
      </c>
      <c r="F161" s="19" t="s">
        <v>1005</v>
      </c>
      <c r="G161" s="10" t="s">
        <v>7</v>
      </c>
      <c r="H161" s="11">
        <v>1605</v>
      </c>
    </row>
    <row r="162" spans="1:8" ht="20.100000000000001" customHeight="1" x14ac:dyDescent="0.25">
      <c r="A162" s="74"/>
      <c r="B162" s="2">
        <v>45239</v>
      </c>
      <c r="C162" s="3">
        <v>2273725245</v>
      </c>
      <c r="D162" s="3">
        <v>4</v>
      </c>
      <c r="E162" s="4" t="s">
        <v>1226</v>
      </c>
      <c r="F162" s="19" t="s">
        <v>1005</v>
      </c>
      <c r="G162" s="10" t="s">
        <v>6</v>
      </c>
      <c r="H162" s="11">
        <v>2140</v>
      </c>
    </row>
    <row r="163" spans="1:8" ht="20.100000000000001" customHeight="1" x14ac:dyDescent="0.25">
      <c r="A163" s="74"/>
      <c r="B163" s="2">
        <v>45239</v>
      </c>
      <c r="C163" s="3">
        <v>2293188552</v>
      </c>
      <c r="D163" s="3">
        <v>3</v>
      </c>
      <c r="E163" s="4" t="s">
        <v>1203</v>
      </c>
      <c r="F163" s="19" t="s">
        <v>1005</v>
      </c>
      <c r="G163" s="10" t="s">
        <v>7</v>
      </c>
      <c r="H163" s="11">
        <v>1605</v>
      </c>
    </row>
    <row r="164" spans="1:8" ht="20.100000000000001" customHeight="1" x14ac:dyDescent="0.25">
      <c r="A164" s="74"/>
      <c r="B164" s="2">
        <v>45239</v>
      </c>
      <c r="C164" s="3">
        <v>1497514584</v>
      </c>
      <c r="D164" s="3">
        <v>3</v>
      </c>
      <c r="E164" s="4" t="s">
        <v>1206</v>
      </c>
      <c r="F164" s="19" t="s">
        <v>1005</v>
      </c>
      <c r="G164" s="10" t="s">
        <v>7</v>
      </c>
      <c r="H164" s="11">
        <v>1605</v>
      </c>
    </row>
    <row r="165" spans="1:8" ht="20.100000000000001" customHeight="1" x14ac:dyDescent="0.25">
      <c r="A165" s="74"/>
      <c r="B165" s="2">
        <v>45239</v>
      </c>
      <c r="C165" s="3">
        <v>3188214480</v>
      </c>
      <c r="D165" s="3">
        <v>2</v>
      </c>
      <c r="E165" s="4" t="s">
        <v>1227</v>
      </c>
      <c r="F165" s="19" t="s">
        <v>1005</v>
      </c>
      <c r="G165" s="10" t="s">
        <v>599</v>
      </c>
      <c r="H165" s="11">
        <v>1070</v>
      </c>
    </row>
    <row r="166" spans="1:8" ht="20.100000000000001" customHeight="1" x14ac:dyDescent="0.25">
      <c r="A166" s="74"/>
      <c r="B166" s="2">
        <v>45240</v>
      </c>
      <c r="C166" s="3">
        <v>835735150</v>
      </c>
      <c r="D166" s="3">
        <v>4</v>
      </c>
      <c r="E166" s="4" t="s">
        <v>1228</v>
      </c>
      <c r="F166" s="19" t="s">
        <v>1005</v>
      </c>
      <c r="G166" s="10" t="s">
        <v>14</v>
      </c>
      <c r="H166" s="11">
        <v>2140</v>
      </c>
    </row>
    <row r="167" spans="1:8" ht="20.100000000000001" customHeight="1" x14ac:dyDescent="0.25">
      <c r="A167" s="74"/>
      <c r="B167" s="2">
        <v>45243</v>
      </c>
      <c r="C167" s="3">
        <v>4235019929</v>
      </c>
      <c r="D167" s="3">
        <v>4</v>
      </c>
      <c r="E167" s="4" t="s">
        <v>1294</v>
      </c>
      <c r="F167" s="19" t="s">
        <v>1005</v>
      </c>
      <c r="G167" s="10" t="s">
        <v>7</v>
      </c>
      <c r="H167" s="11">
        <v>2140</v>
      </c>
    </row>
    <row r="168" spans="1:8" ht="20.100000000000001" customHeight="1" x14ac:dyDescent="0.25">
      <c r="A168" s="74"/>
      <c r="B168" s="2">
        <v>45244</v>
      </c>
      <c r="C168" s="3">
        <v>2685160978</v>
      </c>
      <c r="D168" s="3">
        <v>4</v>
      </c>
      <c r="E168" s="4" t="s">
        <v>1197</v>
      </c>
      <c r="F168" s="19" t="s">
        <v>1005</v>
      </c>
      <c r="G168" s="10" t="s">
        <v>28</v>
      </c>
      <c r="H168" s="11">
        <v>2140</v>
      </c>
    </row>
    <row r="169" spans="1:8" ht="20.100000000000001" customHeight="1" x14ac:dyDescent="0.25">
      <c r="A169" s="74"/>
      <c r="B169" s="2">
        <v>45244</v>
      </c>
      <c r="C169" s="3">
        <v>128206874</v>
      </c>
      <c r="D169" s="3">
        <v>1</v>
      </c>
      <c r="E169" s="4" t="s">
        <v>1163</v>
      </c>
      <c r="F169" s="19" t="s">
        <v>1005</v>
      </c>
      <c r="G169" s="10" t="s">
        <v>599</v>
      </c>
      <c r="H169" s="11">
        <v>376</v>
      </c>
    </row>
    <row r="170" spans="1:8" ht="20.100000000000001" customHeight="1" x14ac:dyDescent="0.25">
      <c r="A170" s="74"/>
      <c r="B170" s="2">
        <v>45251</v>
      </c>
      <c r="C170" s="3">
        <v>1119896410</v>
      </c>
      <c r="D170" s="3">
        <v>1</v>
      </c>
      <c r="E170" s="4" t="s">
        <v>1295</v>
      </c>
      <c r="F170" s="19" t="s">
        <v>1005</v>
      </c>
      <c r="G170" s="10" t="s">
        <v>6</v>
      </c>
      <c r="H170" s="11">
        <v>535</v>
      </c>
    </row>
    <row r="171" spans="1:8" ht="20.100000000000001" customHeight="1" x14ac:dyDescent="0.25">
      <c r="A171" s="74"/>
      <c r="B171" s="2">
        <v>45254</v>
      </c>
      <c r="C171" s="3">
        <v>3809559995</v>
      </c>
      <c r="D171" s="3">
        <v>3</v>
      </c>
      <c r="E171" s="4" t="s">
        <v>1249</v>
      </c>
      <c r="F171" s="19" t="s">
        <v>1005</v>
      </c>
      <c r="G171" s="10" t="s">
        <v>7</v>
      </c>
      <c r="H171" s="11">
        <v>1605</v>
      </c>
    </row>
    <row r="172" spans="1:8" ht="20.100000000000001" customHeight="1" x14ac:dyDescent="0.25">
      <c r="A172" s="74"/>
      <c r="B172" s="2">
        <v>45258</v>
      </c>
      <c r="C172" s="3">
        <v>786317349</v>
      </c>
      <c r="D172" s="3">
        <v>1</v>
      </c>
      <c r="E172" s="4" t="s">
        <v>1296</v>
      </c>
      <c r="F172" s="19" t="s">
        <v>1005</v>
      </c>
      <c r="G172" s="10" t="s">
        <v>7</v>
      </c>
      <c r="H172" s="11">
        <v>535</v>
      </c>
    </row>
    <row r="173" spans="1:8" ht="20.100000000000001" customHeight="1" x14ac:dyDescent="0.25">
      <c r="A173" s="74"/>
      <c r="B173" s="2">
        <v>45259</v>
      </c>
      <c r="C173" s="3">
        <v>3714138736</v>
      </c>
      <c r="D173" s="3">
        <v>1</v>
      </c>
      <c r="E173" s="4" t="s">
        <v>1297</v>
      </c>
      <c r="F173" s="19" t="s">
        <v>1005</v>
      </c>
      <c r="G173" s="10" t="s">
        <v>7</v>
      </c>
      <c r="H173" s="11">
        <v>535</v>
      </c>
    </row>
    <row r="174" spans="1:8" ht="20.100000000000001" customHeight="1" x14ac:dyDescent="0.25">
      <c r="A174" s="74"/>
      <c r="B174" s="2">
        <v>45260</v>
      </c>
      <c r="C174" s="3">
        <v>3838329344</v>
      </c>
      <c r="D174" s="3">
        <v>1</v>
      </c>
      <c r="E174" s="4" t="s">
        <v>1368</v>
      </c>
      <c r="F174" s="19" t="s">
        <v>1005</v>
      </c>
      <c r="G174" s="10" t="s">
        <v>7</v>
      </c>
      <c r="H174" s="11">
        <v>535</v>
      </c>
    </row>
    <row r="175" spans="1:8" ht="20.100000000000001" customHeight="1" x14ac:dyDescent="0.25">
      <c r="A175" s="74"/>
      <c r="B175" s="2">
        <v>45261</v>
      </c>
      <c r="C175" s="3">
        <v>2787331819</v>
      </c>
      <c r="D175" s="3">
        <v>1</v>
      </c>
      <c r="E175" s="4" t="s">
        <v>89</v>
      </c>
      <c r="F175" s="19" t="s">
        <v>292</v>
      </c>
      <c r="G175" s="10" t="s">
        <v>14</v>
      </c>
      <c r="H175" s="11">
        <v>535</v>
      </c>
    </row>
    <row r="176" spans="1:8" ht="20.100000000000001" customHeight="1" x14ac:dyDescent="0.25">
      <c r="A176" s="74"/>
      <c r="B176" s="2">
        <v>45268</v>
      </c>
      <c r="C176" s="3">
        <v>3526197835</v>
      </c>
      <c r="D176" s="3">
        <v>3</v>
      </c>
      <c r="E176" s="4" t="s">
        <v>41</v>
      </c>
      <c r="F176" s="19" t="s">
        <v>1459</v>
      </c>
      <c r="G176" s="10" t="s">
        <v>6</v>
      </c>
      <c r="H176" s="11">
        <v>1605</v>
      </c>
    </row>
    <row r="177" spans="1:8" ht="20.100000000000001" customHeight="1" x14ac:dyDescent="0.25">
      <c r="A177" s="74"/>
      <c r="B177" s="2">
        <v>45268</v>
      </c>
      <c r="C177" s="3">
        <v>2633253134</v>
      </c>
      <c r="D177" s="3">
        <v>1</v>
      </c>
      <c r="E177" s="4" t="s">
        <v>218</v>
      </c>
      <c r="F177" s="19" t="s">
        <v>1459</v>
      </c>
      <c r="G177" s="10" t="s">
        <v>6</v>
      </c>
      <c r="H177" s="11">
        <v>535</v>
      </c>
    </row>
    <row r="178" spans="1:8" ht="20.100000000000001" customHeight="1" x14ac:dyDescent="0.25">
      <c r="A178" s="74"/>
      <c r="B178" s="2">
        <v>45271</v>
      </c>
      <c r="C178" s="3">
        <v>2335852059</v>
      </c>
      <c r="D178" s="3">
        <v>2</v>
      </c>
      <c r="E178" s="4" t="s">
        <v>108</v>
      </c>
      <c r="F178" s="19" t="s">
        <v>292</v>
      </c>
      <c r="G178" s="10" t="s">
        <v>14</v>
      </c>
      <c r="H178" s="11">
        <v>1070</v>
      </c>
    </row>
    <row r="179" spans="1:8" ht="20.100000000000001" customHeight="1" x14ac:dyDescent="0.25">
      <c r="A179" s="74"/>
      <c r="B179" s="2">
        <v>45272</v>
      </c>
      <c r="C179" s="3">
        <v>3530375743</v>
      </c>
      <c r="D179" s="3">
        <v>3</v>
      </c>
      <c r="E179" s="4" t="s">
        <v>1447</v>
      </c>
      <c r="F179" s="19" t="s">
        <v>292</v>
      </c>
      <c r="G179" s="10" t="s">
        <v>7</v>
      </c>
      <c r="H179" s="11">
        <v>1605</v>
      </c>
    </row>
    <row r="180" spans="1:8" ht="20.100000000000001" customHeight="1" x14ac:dyDescent="0.25">
      <c r="A180" s="74"/>
      <c r="B180" s="2">
        <v>45272</v>
      </c>
      <c r="C180" s="3">
        <v>3216001885</v>
      </c>
      <c r="D180" s="3">
        <v>6</v>
      </c>
      <c r="E180" s="4" t="s">
        <v>920</v>
      </c>
      <c r="F180" s="19" t="s">
        <v>292</v>
      </c>
      <c r="G180" s="10" t="s">
        <v>6</v>
      </c>
      <c r="H180" s="11">
        <v>3210</v>
      </c>
    </row>
    <row r="181" spans="1:8" ht="20.100000000000001" customHeight="1" x14ac:dyDescent="0.25">
      <c r="A181" s="74"/>
      <c r="B181" s="2">
        <v>45274</v>
      </c>
      <c r="C181" s="3">
        <v>1010519091</v>
      </c>
      <c r="D181" s="3">
        <v>1</v>
      </c>
      <c r="E181" s="4" t="s">
        <v>94</v>
      </c>
      <c r="F181" s="19" t="s">
        <v>292</v>
      </c>
      <c r="G181" s="10" t="s">
        <v>16</v>
      </c>
      <c r="H181" s="11">
        <v>376</v>
      </c>
    </row>
    <row r="182" spans="1:8" ht="20.100000000000001" customHeight="1" x14ac:dyDescent="0.25">
      <c r="A182" s="74"/>
      <c r="B182" s="2">
        <v>45278</v>
      </c>
      <c r="C182" s="3">
        <v>3977330738</v>
      </c>
      <c r="D182" s="3">
        <v>3</v>
      </c>
      <c r="E182" s="4" t="s">
        <v>1449</v>
      </c>
      <c r="F182" s="19" t="s">
        <v>292</v>
      </c>
      <c r="G182" s="10" t="s">
        <v>7</v>
      </c>
      <c r="H182" s="11">
        <v>1605</v>
      </c>
    </row>
    <row r="183" spans="1:8" ht="20.100000000000001" customHeight="1" x14ac:dyDescent="0.25">
      <c r="A183" s="74"/>
      <c r="B183" s="2">
        <v>45278</v>
      </c>
      <c r="C183" s="3">
        <v>1634549823</v>
      </c>
      <c r="D183" s="3">
        <v>6</v>
      </c>
      <c r="E183" s="4" t="s">
        <v>821</v>
      </c>
      <c r="F183" s="19" t="s">
        <v>292</v>
      </c>
      <c r="G183" s="10" t="s">
        <v>28</v>
      </c>
      <c r="H183" s="11">
        <v>3210</v>
      </c>
    </row>
    <row r="184" spans="1:8" ht="15.75" x14ac:dyDescent="0.25">
      <c r="A184" s="75"/>
      <c r="B184" s="13"/>
      <c r="C184" s="14"/>
      <c r="D184" s="14"/>
      <c r="E184" s="14" t="s">
        <v>5</v>
      </c>
      <c r="F184" s="15"/>
      <c r="G184" s="16"/>
      <c r="H184" s="23">
        <f>SUM(H3:H183)</f>
        <v>196022.1</v>
      </c>
    </row>
  </sheetData>
  <autoFilter ref="B1:H184" xr:uid="{00000000-0009-0000-0000-000018000000}"/>
  <mergeCells count="8">
    <mergeCell ref="F1:F2"/>
    <mergeCell ref="G1:G2"/>
    <mergeCell ref="H1:H2"/>
    <mergeCell ref="A1:A184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"/>
  <sheetViews>
    <sheetView workbookViewId="0">
      <selection activeCell="F16" sqref="F16"/>
    </sheetView>
  </sheetViews>
  <sheetFormatPr baseColWidth="10" defaultColWidth="9.140625" defaultRowHeight="15" x14ac:dyDescent="0.25"/>
  <cols>
    <col min="1" max="1" width="18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9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60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15" customHeight="1" x14ac:dyDescent="0.25">
      <c r="A3" s="79"/>
      <c r="B3" s="2">
        <v>45035</v>
      </c>
      <c r="C3" s="3">
        <v>4027205059</v>
      </c>
      <c r="D3" s="3">
        <v>4</v>
      </c>
      <c r="E3" s="4" t="s">
        <v>568</v>
      </c>
      <c r="F3" s="19" t="s">
        <v>592</v>
      </c>
      <c r="G3" s="5" t="s">
        <v>6</v>
      </c>
      <c r="H3" s="6">
        <v>18000</v>
      </c>
    </row>
    <row r="4" spans="1:8" ht="15" customHeight="1" x14ac:dyDescent="0.25">
      <c r="A4" s="79"/>
      <c r="B4" s="2">
        <v>45159</v>
      </c>
      <c r="C4" s="3">
        <v>2087602020</v>
      </c>
      <c r="D4" s="3">
        <v>2</v>
      </c>
      <c r="E4" s="4" t="s">
        <v>1007</v>
      </c>
      <c r="F4" s="19" t="s">
        <v>592</v>
      </c>
      <c r="G4" s="5" t="s">
        <v>7</v>
      </c>
      <c r="H4" s="6">
        <v>9000</v>
      </c>
    </row>
    <row r="5" spans="1:8" ht="20.100000000000001" customHeight="1" x14ac:dyDescent="0.25">
      <c r="A5" s="80"/>
      <c r="B5" s="13"/>
      <c r="C5" s="14"/>
      <c r="D5" s="14"/>
      <c r="E5" s="14" t="s">
        <v>5</v>
      </c>
      <c r="F5" s="15"/>
      <c r="G5" s="16"/>
      <c r="H5" s="17">
        <f>SUM(H3:H4)</f>
        <v>27000</v>
      </c>
    </row>
    <row r="6" spans="1:8" ht="20.100000000000001" customHeight="1" x14ac:dyDescent="0.25">
      <c r="A6" s="27"/>
      <c r="B6" s="8"/>
      <c r="C6" s="8"/>
      <c r="D6" s="8"/>
      <c r="E6" s="8"/>
      <c r="F6" s="12"/>
      <c r="G6" s="8"/>
      <c r="H6" s="9"/>
    </row>
  </sheetData>
  <mergeCells count="8">
    <mergeCell ref="G1:G2"/>
    <mergeCell ref="H1:H2"/>
    <mergeCell ref="A1:A5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"/>
  <sheetViews>
    <sheetView workbookViewId="0">
      <selection activeCell="C12" sqref="C12"/>
    </sheetView>
  </sheetViews>
  <sheetFormatPr baseColWidth="10" defaultColWidth="9.140625" defaultRowHeight="15" x14ac:dyDescent="0.25"/>
  <cols>
    <col min="1" max="1" width="18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5.57031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61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15" customHeight="1" x14ac:dyDescent="0.25">
      <c r="A3" s="79"/>
      <c r="B3" s="54" t="s">
        <v>1438</v>
      </c>
      <c r="C3" s="54" t="s">
        <v>1438</v>
      </c>
      <c r="D3" s="54" t="s">
        <v>1438</v>
      </c>
      <c r="E3" s="54" t="s">
        <v>1438</v>
      </c>
      <c r="F3" s="54" t="s">
        <v>1438</v>
      </c>
      <c r="G3" s="54" t="s">
        <v>1438</v>
      </c>
      <c r="H3" s="6">
        <v>0</v>
      </c>
    </row>
    <row r="4" spans="1:8" ht="20.100000000000001" customHeight="1" x14ac:dyDescent="0.25">
      <c r="A4" s="80"/>
      <c r="B4" s="13"/>
      <c r="C4" s="14"/>
      <c r="D4" s="14"/>
      <c r="E4" s="14" t="s">
        <v>5</v>
      </c>
      <c r="F4" s="15"/>
      <c r="G4" s="16"/>
      <c r="H4" s="40">
        <f>SUM(H3:H3)</f>
        <v>0</v>
      </c>
    </row>
    <row r="5" spans="1:8" ht="20.100000000000001" customHeight="1" x14ac:dyDescent="0.25">
      <c r="A5" s="27"/>
      <c r="B5" s="8"/>
      <c r="C5" s="8"/>
      <c r="D5" s="8"/>
      <c r="E5" s="8"/>
      <c r="F5" s="12"/>
      <c r="G5" s="8"/>
      <c r="H5" s="9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1"/>
  <sheetViews>
    <sheetView topLeftCell="A9" workbookViewId="0">
      <selection activeCell="E26" sqref="E26"/>
    </sheetView>
  </sheetViews>
  <sheetFormatPr baseColWidth="10" defaultColWidth="9.140625" defaultRowHeight="15" x14ac:dyDescent="0.25"/>
  <cols>
    <col min="1" max="1" width="18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1.140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63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20.100000000000001" customHeight="1" x14ac:dyDescent="0.25">
      <c r="A3" s="79"/>
      <c r="B3" s="2">
        <v>44946</v>
      </c>
      <c r="C3" s="3">
        <v>4289874178</v>
      </c>
      <c r="D3" s="3">
        <v>3</v>
      </c>
      <c r="E3" s="4" t="s">
        <v>189</v>
      </c>
      <c r="F3" s="28" t="s">
        <v>62</v>
      </c>
      <c r="G3" s="5" t="s">
        <v>28</v>
      </c>
      <c r="H3" s="6">
        <v>3000</v>
      </c>
    </row>
    <row r="4" spans="1:8" ht="20.100000000000001" customHeight="1" x14ac:dyDescent="0.25">
      <c r="A4" s="79"/>
      <c r="B4" s="2">
        <v>44966</v>
      </c>
      <c r="C4" s="3">
        <v>4242624287</v>
      </c>
      <c r="D4" s="3">
        <v>1</v>
      </c>
      <c r="E4" s="4" t="s">
        <v>303</v>
      </c>
      <c r="F4" s="28" t="s">
        <v>62</v>
      </c>
      <c r="G4" s="5" t="s">
        <v>7</v>
      </c>
      <c r="H4" s="6">
        <v>1260</v>
      </c>
    </row>
    <row r="5" spans="1:8" ht="20.100000000000001" customHeight="1" x14ac:dyDescent="0.25">
      <c r="A5" s="79"/>
      <c r="B5" s="2">
        <v>44970</v>
      </c>
      <c r="C5" s="3">
        <v>561397809</v>
      </c>
      <c r="D5" s="3">
        <v>2</v>
      </c>
      <c r="E5" s="4" t="s">
        <v>231</v>
      </c>
      <c r="F5" s="28" t="s">
        <v>62</v>
      </c>
      <c r="G5" s="5" t="s">
        <v>28</v>
      </c>
      <c r="H5" s="6">
        <v>2400</v>
      </c>
    </row>
    <row r="6" spans="1:8" ht="20.100000000000001" customHeight="1" x14ac:dyDescent="0.25">
      <c r="A6" s="79"/>
      <c r="B6" s="2">
        <v>44981</v>
      </c>
      <c r="C6" s="3">
        <v>2333689185</v>
      </c>
      <c r="D6" s="3">
        <v>3</v>
      </c>
      <c r="E6" s="4" t="s">
        <v>304</v>
      </c>
      <c r="F6" s="28" t="s">
        <v>62</v>
      </c>
      <c r="G6" s="5" t="s">
        <v>28</v>
      </c>
      <c r="H6" s="6">
        <v>3000</v>
      </c>
    </row>
    <row r="7" spans="1:8" ht="20.100000000000001" customHeight="1" x14ac:dyDescent="0.25">
      <c r="A7" s="79"/>
      <c r="B7" s="2">
        <v>44984</v>
      </c>
      <c r="C7" s="3">
        <v>2840809246</v>
      </c>
      <c r="D7" s="3">
        <v>1</v>
      </c>
      <c r="E7" s="4" t="s">
        <v>305</v>
      </c>
      <c r="F7" s="28" t="s">
        <v>62</v>
      </c>
      <c r="G7" s="5" t="s">
        <v>14</v>
      </c>
      <c r="H7" s="6">
        <v>1000</v>
      </c>
    </row>
    <row r="8" spans="1:8" ht="30" x14ac:dyDescent="0.25">
      <c r="A8" s="79"/>
      <c r="B8" s="2">
        <v>44984</v>
      </c>
      <c r="C8" s="3">
        <v>2840809246</v>
      </c>
      <c r="D8" s="3">
        <v>1</v>
      </c>
      <c r="E8" s="4" t="s">
        <v>305</v>
      </c>
      <c r="F8" s="28" t="s">
        <v>306</v>
      </c>
      <c r="G8" s="5" t="s">
        <v>14</v>
      </c>
      <c r="H8" s="6">
        <v>500</v>
      </c>
    </row>
    <row r="9" spans="1:8" ht="20.100000000000001" customHeight="1" x14ac:dyDescent="0.25">
      <c r="A9" s="79"/>
      <c r="B9" s="2">
        <v>45027</v>
      </c>
      <c r="C9" s="3">
        <v>1784760685</v>
      </c>
      <c r="D9" s="3">
        <v>3</v>
      </c>
      <c r="E9" s="4" t="s">
        <v>593</v>
      </c>
      <c r="F9" s="28" t="s">
        <v>62</v>
      </c>
      <c r="G9" s="5" t="s">
        <v>14</v>
      </c>
      <c r="H9" s="6">
        <v>3300</v>
      </c>
    </row>
    <row r="10" spans="1:8" ht="20.100000000000001" customHeight="1" x14ac:dyDescent="0.25">
      <c r="A10" s="79"/>
      <c r="B10" s="2">
        <v>45068</v>
      </c>
      <c r="C10" s="3">
        <v>1923237767</v>
      </c>
      <c r="D10" s="3">
        <v>1</v>
      </c>
      <c r="E10" s="4" t="s">
        <v>654</v>
      </c>
      <c r="F10" s="28" t="s">
        <v>62</v>
      </c>
      <c r="G10" s="5" t="s">
        <v>16</v>
      </c>
      <c r="H10" s="6">
        <v>1000</v>
      </c>
    </row>
    <row r="11" spans="1:8" ht="20.100000000000001" customHeight="1" x14ac:dyDescent="0.25">
      <c r="A11" s="79"/>
      <c r="B11" s="2">
        <v>45077</v>
      </c>
      <c r="C11" s="3">
        <v>2171095910</v>
      </c>
      <c r="D11" s="3">
        <v>3</v>
      </c>
      <c r="E11" s="4" t="s">
        <v>688</v>
      </c>
      <c r="F11" s="28" t="s">
        <v>62</v>
      </c>
      <c r="G11" s="5" t="s">
        <v>16</v>
      </c>
      <c r="H11" s="6">
        <v>3300</v>
      </c>
    </row>
    <row r="12" spans="1:8" ht="30" x14ac:dyDescent="0.25">
      <c r="A12" s="79"/>
      <c r="B12" s="2">
        <v>45090</v>
      </c>
      <c r="C12" s="3">
        <v>1990610141</v>
      </c>
      <c r="D12" s="3">
        <v>1</v>
      </c>
      <c r="E12" s="4" t="s">
        <v>767</v>
      </c>
      <c r="F12" s="28" t="s">
        <v>62</v>
      </c>
      <c r="G12" s="5" t="s">
        <v>7</v>
      </c>
      <c r="H12" s="6">
        <v>1200</v>
      </c>
    </row>
    <row r="13" spans="1:8" ht="20.100000000000001" customHeight="1" x14ac:dyDescent="0.25">
      <c r="A13" s="79"/>
      <c r="B13" s="2">
        <v>45092</v>
      </c>
      <c r="C13" s="3">
        <v>1375552100</v>
      </c>
      <c r="D13" s="3">
        <v>1</v>
      </c>
      <c r="E13" s="4" t="s">
        <v>305</v>
      </c>
      <c r="F13" s="28" t="s">
        <v>768</v>
      </c>
      <c r="G13" s="5" t="s">
        <v>14</v>
      </c>
      <c r="H13" s="6">
        <v>500</v>
      </c>
    </row>
    <row r="14" spans="1:8" ht="20.100000000000001" customHeight="1" x14ac:dyDescent="0.25">
      <c r="A14" s="79"/>
      <c r="B14" s="2">
        <v>45092</v>
      </c>
      <c r="C14" s="3">
        <v>1375552100</v>
      </c>
      <c r="D14" s="3">
        <v>1</v>
      </c>
      <c r="E14" s="4" t="s">
        <v>305</v>
      </c>
      <c r="F14" s="28" t="s">
        <v>62</v>
      </c>
      <c r="G14" s="5" t="s">
        <v>14</v>
      </c>
      <c r="H14" s="6">
        <v>1000</v>
      </c>
    </row>
    <row r="15" spans="1:8" ht="20.100000000000001" customHeight="1" x14ac:dyDescent="0.25">
      <c r="A15" s="79"/>
      <c r="B15" s="2">
        <v>45096</v>
      </c>
      <c r="C15" s="3">
        <v>3436529492</v>
      </c>
      <c r="D15" s="3">
        <v>2</v>
      </c>
      <c r="E15" s="4" t="s">
        <v>431</v>
      </c>
      <c r="F15" s="28" t="s">
        <v>62</v>
      </c>
      <c r="G15" s="5" t="s">
        <v>7</v>
      </c>
      <c r="H15" s="6">
        <v>2200</v>
      </c>
    </row>
    <row r="16" spans="1:8" ht="20.100000000000001" customHeight="1" x14ac:dyDescent="0.25">
      <c r="A16" s="79"/>
      <c r="B16" s="2">
        <v>45111</v>
      </c>
      <c r="C16" s="3">
        <v>521881109</v>
      </c>
      <c r="D16" s="3">
        <v>1</v>
      </c>
      <c r="E16" s="4" t="s">
        <v>822</v>
      </c>
      <c r="F16" s="28" t="s">
        <v>62</v>
      </c>
      <c r="G16" s="5" t="s">
        <v>7</v>
      </c>
      <c r="H16" s="6">
        <v>1000</v>
      </c>
    </row>
    <row r="17" spans="1:8" ht="20.100000000000001" customHeight="1" x14ac:dyDescent="0.25">
      <c r="A17" s="79"/>
      <c r="B17" s="2">
        <v>45223</v>
      </c>
      <c r="C17" s="3">
        <v>4116399955</v>
      </c>
      <c r="D17" s="3">
        <v>1</v>
      </c>
      <c r="E17" s="4" t="s">
        <v>1153</v>
      </c>
      <c r="F17" s="28" t="s">
        <v>1189</v>
      </c>
      <c r="G17" s="5" t="s">
        <v>6</v>
      </c>
      <c r="H17" s="6">
        <v>1280</v>
      </c>
    </row>
    <row r="18" spans="1:8" ht="20.100000000000001" customHeight="1" x14ac:dyDescent="0.25">
      <c r="A18" s="79"/>
      <c r="B18" s="2">
        <v>45239</v>
      </c>
      <c r="C18" s="3">
        <v>453919099</v>
      </c>
      <c r="D18" s="3">
        <v>3</v>
      </c>
      <c r="E18" s="4" t="s">
        <v>1207</v>
      </c>
      <c r="F18" s="28" t="s">
        <v>62</v>
      </c>
      <c r="G18" s="5" t="s">
        <v>7</v>
      </c>
      <c r="H18" s="6">
        <v>3300</v>
      </c>
    </row>
    <row r="19" spans="1:8" ht="20.100000000000001" customHeight="1" x14ac:dyDescent="0.25">
      <c r="A19" s="79"/>
      <c r="B19" s="2">
        <v>45266</v>
      </c>
      <c r="C19" s="3">
        <v>1935887194</v>
      </c>
      <c r="D19" s="3">
        <v>3</v>
      </c>
      <c r="E19" s="4" t="s">
        <v>343</v>
      </c>
      <c r="F19" s="28" t="s">
        <v>62</v>
      </c>
      <c r="G19" s="5" t="s">
        <v>7</v>
      </c>
      <c r="H19" s="6">
        <v>3240</v>
      </c>
    </row>
    <row r="20" spans="1:8" ht="20.100000000000001" customHeight="1" x14ac:dyDescent="0.25">
      <c r="A20" s="80"/>
      <c r="B20" s="13"/>
      <c r="C20" s="14"/>
      <c r="D20" s="14"/>
      <c r="E20" s="14" t="s">
        <v>5</v>
      </c>
      <c r="F20" s="15"/>
      <c r="G20" s="16"/>
      <c r="H20" s="17">
        <f>SUM(H3:H19)</f>
        <v>32480</v>
      </c>
    </row>
    <row r="21" spans="1:8" ht="20.100000000000001" customHeight="1" x14ac:dyDescent="0.25">
      <c r="A21" s="27"/>
      <c r="B21" s="8"/>
      <c r="C21" s="8"/>
      <c r="D21" s="8"/>
      <c r="E21" s="8"/>
      <c r="F21" s="12"/>
      <c r="G21" s="8"/>
      <c r="H21" s="9"/>
    </row>
  </sheetData>
  <mergeCells count="8">
    <mergeCell ref="G1:G2"/>
    <mergeCell ref="H1:H2"/>
    <mergeCell ref="A1:A20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0"/>
  <sheetViews>
    <sheetView workbookViewId="0">
      <selection activeCell="B15" sqref="B15"/>
    </sheetView>
  </sheetViews>
  <sheetFormatPr baseColWidth="10" defaultColWidth="9.140625" defaultRowHeight="15" x14ac:dyDescent="0.25"/>
  <cols>
    <col min="1" max="1" width="18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1.140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64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15" customHeight="1" x14ac:dyDescent="0.25">
      <c r="A3" s="79"/>
      <c r="B3" s="2">
        <v>44935</v>
      </c>
      <c r="C3" s="3">
        <v>3306967000</v>
      </c>
      <c r="D3" s="3">
        <v>1</v>
      </c>
      <c r="E3" s="4" t="s">
        <v>218</v>
      </c>
      <c r="F3" s="28" t="s">
        <v>219</v>
      </c>
      <c r="G3" s="5" t="s">
        <v>11</v>
      </c>
      <c r="H3" s="6">
        <v>3900</v>
      </c>
    </row>
    <row r="4" spans="1:8" ht="15" customHeight="1" x14ac:dyDescent="0.25">
      <c r="A4" s="79"/>
      <c r="B4" s="2">
        <v>45008</v>
      </c>
      <c r="C4" s="3">
        <v>1720797090</v>
      </c>
      <c r="D4" s="3">
        <v>1</v>
      </c>
      <c r="E4" s="4" t="s">
        <v>356</v>
      </c>
      <c r="F4" s="28" t="s">
        <v>537</v>
      </c>
      <c r="G4" s="5" t="s">
        <v>11</v>
      </c>
      <c r="H4" s="6">
        <v>5000</v>
      </c>
    </row>
    <row r="5" spans="1:8" ht="15" customHeight="1" x14ac:dyDescent="0.25">
      <c r="A5" s="79"/>
      <c r="B5" s="2">
        <v>45050</v>
      </c>
      <c r="C5" s="3">
        <v>4007611036</v>
      </c>
      <c r="D5" s="3">
        <v>1</v>
      </c>
      <c r="E5" s="4" t="s">
        <v>664</v>
      </c>
      <c r="F5" s="28" t="s">
        <v>219</v>
      </c>
      <c r="G5" s="5" t="s">
        <v>6</v>
      </c>
      <c r="H5" s="6">
        <v>4680</v>
      </c>
    </row>
    <row r="6" spans="1:8" ht="15" customHeight="1" x14ac:dyDescent="0.25">
      <c r="A6" s="79"/>
      <c r="B6" s="2">
        <v>45076</v>
      </c>
      <c r="C6" s="3">
        <v>2473609958</v>
      </c>
      <c r="D6" s="3">
        <v>1</v>
      </c>
      <c r="E6" s="4" t="s">
        <v>690</v>
      </c>
      <c r="F6" s="28" t="s">
        <v>219</v>
      </c>
      <c r="G6" s="5" t="s">
        <v>7</v>
      </c>
      <c r="H6" s="6">
        <v>6000</v>
      </c>
    </row>
    <row r="7" spans="1:8" ht="15" customHeight="1" x14ac:dyDescent="0.25">
      <c r="A7" s="79"/>
      <c r="B7" s="2">
        <v>45243</v>
      </c>
      <c r="C7" s="3">
        <v>4065282753</v>
      </c>
      <c r="D7" s="3">
        <v>1</v>
      </c>
      <c r="E7" s="4" t="s">
        <v>1277</v>
      </c>
      <c r="F7" s="28" t="s">
        <v>537</v>
      </c>
      <c r="G7" s="5" t="s">
        <v>6</v>
      </c>
      <c r="H7" s="6">
        <v>5600</v>
      </c>
    </row>
    <row r="8" spans="1:8" ht="15" customHeight="1" x14ac:dyDescent="0.25">
      <c r="A8" s="79"/>
      <c r="B8" s="2">
        <v>45253</v>
      </c>
      <c r="C8" s="3">
        <v>4223944002</v>
      </c>
      <c r="D8" s="3">
        <v>1</v>
      </c>
      <c r="E8" s="4" t="s">
        <v>1298</v>
      </c>
      <c r="F8" s="28" t="s">
        <v>537</v>
      </c>
      <c r="G8" s="5" t="s">
        <v>28</v>
      </c>
      <c r="H8" s="6">
        <v>3900</v>
      </c>
    </row>
    <row r="9" spans="1:8" ht="20.100000000000001" customHeight="1" x14ac:dyDescent="0.25">
      <c r="A9" s="80"/>
      <c r="B9" s="13"/>
      <c r="C9" s="14"/>
      <c r="D9" s="14"/>
      <c r="E9" s="14" t="s">
        <v>5</v>
      </c>
      <c r="F9" s="15"/>
      <c r="G9" s="16"/>
      <c r="H9" s="17">
        <f>SUM(H3:H8)</f>
        <v>29080</v>
      </c>
    </row>
    <row r="10" spans="1:8" ht="20.100000000000001" customHeight="1" x14ac:dyDescent="0.25">
      <c r="A10" s="27"/>
      <c r="B10" s="8"/>
      <c r="C10" s="8"/>
      <c r="D10" s="8"/>
      <c r="E10" s="8"/>
      <c r="F10" s="12"/>
      <c r="G10" s="8"/>
      <c r="H10" s="9"/>
    </row>
  </sheetData>
  <mergeCells count="8">
    <mergeCell ref="G1:G2"/>
    <mergeCell ref="H1:H2"/>
    <mergeCell ref="A1:A9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6"/>
  <sheetViews>
    <sheetView workbookViewId="0">
      <selection activeCell="F18" sqref="F18"/>
    </sheetView>
  </sheetViews>
  <sheetFormatPr baseColWidth="10" defaultColWidth="9.140625" defaultRowHeight="15" x14ac:dyDescent="0.25"/>
  <cols>
    <col min="1" max="1" width="18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1.140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65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15" customHeight="1" x14ac:dyDescent="0.25">
      <c r="A3" s="79"/>
      <c r="B3" s="2">
        <v>44937</v>
      </c>
      <c r="C3" s="3">
        <v>2721729139</v>
      </c>
      <c r="D3" s="3">
        <v>1</v>
      </c>
      <c r="E3" s="4" t="s">
        <v>76</v>
      </c>
      <c r="F3" s="28" t="s">
        <v>65</v>
      </c>
      <c r="G3" s="5" t="s">
        <v>6</v>
      </c>
      <c r="H3" s="6">
        <v>300</v>
      </c>
    </row>
    <row r="4" spans="1:8" ht="15" customHeight="1" x14ac:dyDescent="0.25">
      <c r="A4" s="79"/>
      <c r="B4" s="2">
        <v>44946</v>
      </c>
      <c r="C4" s="3">
        <v>1508524242</v>
      </c>
      <c r="D4" s="3">
        <v>1</v>
      </c>
      <c r="E4" s="4" t="s">
        <v>51</v>
      </c>
      <c r="F4" s="28" t="s">
        <v>65</v>
      </c>
      <c r="G4" s="5" t="s">
        <v>7</v>
      </c>
      <c r="H4" s="6">
        <v>250</v>
      </c>
    </row>
    <row r="5" spans="1:8" ht="15" customHeight="1" x14ac:dyDescent="0.25">
      <c r="A5" s="79"/>
      <c r="B5" s="2">
        <v>44965</v>
      </c>
      <c r="C5" s="3">
        <v>975718793</v>
      </c>
      <c r="D5" s="3">
        <v>1</v>
      </c>
      <c r="E5" s="4" t="s">
        <v>307</v>
      </c>
      <c r="F5" s="28" t="s">
        <v>65</v>
      </c>
      <c r="G5" s="5" t="s">
        <v>14</v>
      </c>
      <c r="H5" s="6">
        <v>280</v>
      </c>
    </row>
    <row r="6" spans="1:8" ht="15" customHeight="1" x14ac:dyDescent="0.25">
      <c r="A6" s="79"/>
      <c r="B6" s="2">
        <v>45061</v>
      </c>
      <c r="C6" s="3">
        <v>1533296782</v>
      </c>
      <c r="D6" s="3">
        <v>10</v>
      </c>
      <c r="E6" s="4" t="s">
        <v>631</v>
      </c>
      <c r="F6" s="28" t="s">
        <v>65</v>
      </c>
      <c r="G6" s="5" t="s">
        <v>16</v>
      </c>
      <c r="H6" s="6">
        <v>2000</v>
      </c>
    </row>
    <row r="7" spans="1:8" ht="15" customHeight="1" x14ac:dyDescent="0.25">
      <c r="A7" s="79"/>
      <c r="B7" s="2">
        <v>45083</v>
      </c>
      <c r="C7" s="3">
        <v>77611340</v>
      </c>
      <c r="D7" s="3">
        <v>1</v>
      </c>
      <c r="E7" s="4" t="s">
        <v>769</v>
      </c>
      <c r="F7" s="28" t="s">
        <v>65</v>
      </c>
      <c r="G7" s="5" t="s">
        <v>6</v>
      </c>
      <c r="H7" s="6">
        <v>350</v>
      </c>
    </row>
    <row r="8" spans="1:8" ht="15" customHeight="1" x14ac:dyDescent="0.25">
      <c r="A8" s="79"/>
      <c r="B8" s="2">
        <v>45091</v>
      </c>
      <c r="C8" s="3">
        <v>2570471180</v>
      </c>
      <c r="D8" s="3">
        <v>2</v>
      </c>
      <c r="E8" s="4" t="s">
        <v>246</v>
      </c>
      <c r="F8" s="28" t="s">
        <v>65</v>
      </c>
      <c r="G8" s="5" t="s">
        <v>6</v>
      </c>
      <c r="H8" s="6">
        <v>700</v>
      </c>
    </row>
    <row r="9" spans="1:8" ht="15" customHeight="1" x14ac:dyDescent="0.25">
      <c r="A9" s="79"/>
      <c r="B9" s="2">
        <v>45113</v>
      </c>
      <c r="C9" s="3">
        <v>160452171</v>
      </c>
      <c r="D9" s="3">
        <v>1</v>
      </c>
      <c r="E9" s="4" t="s">
        <v>848</v>
      </c>
      <c r="F9" s="28" t="s">
        <v>65</v>
      </c>
      <c r="G9" s="5" t="s">
        <v>6</v>
      </c>
      <c r="H9" s="6">
        <v>250</v>
      </c>
    </row>
    <row r="10" spans="1:8" ht="15" customHeight="1" x14ac:dyDescent="0.25">
      <c r="A10" s="79"/>
      <c r="B10" s="2">
        <v>45155</v>
      </c>
      <c r="C10" s="3">
        <v>2680376855</v>
      </c>
      <c r="D10" s="3">
        <v>1</v>
      </c>
      <c r="E10" s="4" t="s">
        <v>970</v>
      </c>
      <c r="F10" s="28" t="s">
        <v>65</v>
      </c>
      <c r="G10" s="5" t="s">
        <v>11</v>
      </c>
      <c r="H10" s="6">
        <v>250</v>
      </c>
    </row>
    <row r="11" spans="1:8" ht="15" customHeight="1" x14ac:dyDescent="0.25">
      <c r="A11" s="79"/>
      <c r="B11" s="2">
        <v>45196</v>
      </c>
      <c r="C11" s="3">
        <v>2906803208</v>
      </c>
      <c r="D11" s="3">
        <v>6</v>
      </c>
      <c r="E11" s="4" t="s">
        <v>1019</v>
      </c>
      <c r="F11" s="28" t="s">
        <v>72</v>
      </c>
      <c r="G11" s="5" t="s">
        <v>7</v>
      </c>
      <c r="H11" s="6">
        <v>1200</v>
      </c>
    </row>
    <row r="12" spans="1:8" ht="15" customHeight="1" x14ac:dyDescent="0.25">
      <c r="A12" s="79"/>
      <c r="B12" s="2">
        <v>45196</v>
      </c>
      <c r="C12" s="3">
        <v>2906803208</v>
      </c>
      <c r="D12" s="3">
        <v>6</v>
      </c>
      <c r="E12" s="4" t="s">
        <v>1019</v>
      </c>
      <c r="F12" s="28" t="s">
        <v>72</v>
      </c>
      <c r="G12" s="5" t="s">
        <v>7</v>
      </c>
      <c r="H12" s="6">
        <v>1200</v>
      </c>
    </row>
    <row r="13" spans="1:8" ht="15" customHeight="1" x14ac:dyDescent="0.25">
      <c r="A13" s="79"/>
      <c r="B13" s="2">
        <v>45274</v>
      </c>
      <c r="C13" s="3">
        <v>1222724962</v>
      </c>
      <c r="D13" s="3">
        <v>1</v>
      </c>
      <c r="E13" s="4" t="s">
        <v>1460</v>
      </c>
      <c r="F13" s="28" t="s">
        <v>65</v>
      </c>
      <c r="G13" s="5" t="s">
        <v>6</v>
      </c>
      <c r="H13" s="6">
        <v>250</v>
      </c>
    </row>
    <row r="14" spans="1:8" ht="15" customHeight="1" x14ac:dyDescent="0.25">
      <c r="A14" s="79"/>
      <c r="B14" s="2">
        <v>45278</v>
      </c>
      <c r="C14" s="3">
        <v>182013905</v>
      </c>
      <c r="D14" s="3">
        <v>10</v>
      </c>
      <c r="E14" s="4" t="s">
        <v>912</v>
      </c>
      <c r="F14" s="28" t="s">
        <v>65</v>
      </c>
      <c r="G14" s="5" t="s">
        <v>28</v>
      </c>
      <c r="H14" s="6">
        <v>3000</v>
      </c>
    </row>
    <row r="15" spans="1:8" ht="20.100000000000001" customHeight="1" x14ac:dyDescent="0.25">
      <c r="A15" s="80"/>
      <c r="B15" s="13"/>
      <c r="C15" s="14"/>
      <c r="D15" s="14"/>
      <c r="E15" s="14" t="s">
        <v>5</v>
      </c>
      <c r="F15" s="15"/>
      <c r="G15" s="16"/>
      <c r="H15" s="17">
        <f>SUM(H3:H14)</f>
        <v>10030</v>
      </c>
    </row>
    <row r="16" spans="1:8" ht="20.100000000000001" customHeight="1" x14ac:dyDescent="0.25">
      <c r="A16" s="27"/>
      <c r="B16" s="8"/>
      <c r="C16" s="8"/>
      <c r="D16" s="8"/>
      <c r="E16" s="8"/>
      <c r="F16" s="12"/>
      <c r="G16" s="8"/>
      <c r="H16" s="9"/>
    </row>
  </sheetData>
  <mergeCells count="8">
    <mergeCell ref="G1:G2"/>
    <mergeCell ref="H1:H2"/>
    <mergeCell ref="A1:A15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5"/>
  <sheetViews>
    <sheetView workbookViewId="0">
      <selection activeCell="E24" sqref="E24"/>
    </sheetView>
  </sheetViews>
  <sheetFormatPr baseColWidth="10" defaultColWidth="9.140625" defaultRowHeight="15" x14ac:dyDescent="0.25"/>
  <cols>
    <col min="1" max="1" width="18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1.140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66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20.100000000000001" customHeight="1" x14ac:dyDescent="0.25">
      <c r="A3" s="79"/>
      <c r="B3" s="54" t="s">
        <v>1438</v>
      </c>
      <c r="C3" s="54" t="s">
        <v>1438</v>
      </c>
      <c r="D3" s="54" t="s">
        <v>1438</v>
      </c>
      <c r="E3" s="54" t="s">
        <v>1438</v>
      </c>
      <c r="F3" s="54" t="s">
        <v>1438</v>
      </c>
      <c r="G3" s="54" t="s">
        <v>1438</v>
      </c>
      <c r="H3" s="6">
        <v>0</v>
      </c>
    </row>
    <row r="4" spans="1:8" ht="20.100000000000001" customHeight="1" x14ac:dyDescent="0.25">
      <c r="A4" s="80"/>
      <c r="B4" s="13"/>
      <c r="C4" s="14"/>
      <c r="D4" s="14"/>
      <c r="E4" s="14" t="s">
        <v>5</v>
      </c>
      <c r="F4" s="15"/>
      <c r="G4" s="16"/>
      <c r="H4" s="17">
        <f>SUM(H3:H3)</f>
        <v>0</v>
      </c>
    </row>
    <row r="5" spans="1:8" ht="20.100000000000001" customHeight="1" x14ac:dyDescent="0.25">
      <c r="A5" s="27"/>
      <c r="B5" s="8"/>
      <c r="C5" s="8"/>
      <c r="D5" s="8"/>
      <c r="E5" s="8"/>
      <c r="F5" s="12"/>
      <c r="G5" s="8"/>
      <c r="H5" s="9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3"/>
  <sheetViews>
    <sheetView workbookViewId="0">
      <selection activeCell="C11" sqref="C11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9" ht="15" customHeight="1" x14ac:dyDescent="0.25">
      <c r="A1" s="58" t="s">
        <v>81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9" ht="15" customHeight="1" x14ac:dyDescent="0.25">
      <c r="A2" s="59"/>
      <c r="B2" s="66"/>
      <c r="C2" s="68"/>
      <c r="D2" s="68"/>
      <c r="E2" s="68"/>
      <c r="F2" s="68"/>
      <c r="G2" s="62"/>
      <c r="H2" s="64"/>
    </row>
    <row r="3" spans="1:9" ht="15" customHeight="1" x14ac:dyDescent="0.25">
      <c r="A3" s="59"/>
      <c r="B3" s="2">
        <v>44946</v>
      </c>
      <c r="C3" s="3">
        <v>4259727711</v>
      </c>
      <c r="D3" s="3">
        <v>1</v>
      </c>
      <c r="E3" s="4" t="s">
        <v>172</v>
      </c>
      <c r="F3" s="19" t="s">
        <v>82</v>
      </c>
      <c r="G3" s="5" t="s">
        <v>7</v>
      </c>
      <c r="H3" s="6">
        <v>26550</v>
      </c>
    </row>
    <row r="4" spans="1:9" ht="15" customHeight="1" x14ac:dyDescent="0.25">
      <c r="A4" s="59"/>
      <c r="B4" s="2">
        <v>44946</v>
      </c>
      <c r="C4" s="3">
        <v>2951302643</v>
      </c>
      <c r="D4" s="3">
        <v>1</v>
      </c>
      <c r="E4" s="4" t="s">
        <v>173</v>
      </c>
      <c r="F4" s="19" t="s">
        <v>82</v>
      </c>
      <c r="G4" s="5" t="s">
        <v>14</v>
      </c>
      <c r="H4" s="6">
        <v>24050</v>
      </c>
    </row>
    <row r="5" spans="1:9" ht="15" customHeight="1" x14ac:dyDescent="0.25">
      <c r="A5" s="59"/>
      <c r="B5" s="2">
        <v>44992</v>
      </c>
      <c r="C5" s="3">
        <v>2930526121</v>
      </c>
      <c r="D5" s="3">
        <v>1</v>
      </c>
      <c r="E5" s="4" t="s">
        <v>389</v>
      </c>
      <c r="F5" s="19" t="s">
        <v>82</v>
      </c>
      <c r="G5" s="5" t="s">
        <v>16</v>
      </c>
      <c r="H5" s="6">
        <v>22750</v>
      </c>
    </row>
    <row r="6" spans="1:9" ht="15" customHeight="1" x14ac:dyDescent="0.25">
      <c r="A6" s="59"/>
      <c r="B6" s="2">
        <v>45043</v>
      </c>
      <c r="C6" s="3">
        <v>2201175240</v>
      </c>
      <c r="D6" s="3">
        <v>1</v>
      </c>
      <c r="E6" s="4" t="s">
        <v>95</v>
      </c>
      <c r="F6" s="19" t="s">
        <v>82</v>
      </c>
      <c r="G6" s="5" t="s">
        <v>7</v>
      </c>
      <c r="H6" s="6">
        <v>24250</v>
      </c>
    </row>
    <row r="7" spans="1:9" ht="15" customHeight="1" x14ac:dyDescent="0.25">
      <c r="A7" s="59"/>
      <c r="B7" s="2">
        <v>45121</v>
      </c>
      <c r="C7" s="3">
        <v>3320005399</v>
      </c>
      <c r="D7" s="3">
        <v>1</v>
      </c>
      <c r="E7" s="4" t="s">
        <v>825</v>
      </c>
      <c r="F7" s="19" t="s">
        <v>82</v>
      </c>
      <c r="G7" s="5" t="s">
        <v>7</v>
      </c>
      <c r="H7" s="6">
        <v>22700</v>
      </c>
    </row>
    <row r="8" spans="1:9" ht="15" customHeight="1" x14ac:dyDescent="0.25">
      <c r="A8" s="59"/>
      <c r="B8" s="2">
        <v>45121</v>
      </c>
      <c r="C8" s="3">
        <v>3320005399</v>
      </c>
      <c r="D8" s="3">
        <v>1</v>
      </c>
      <c r="E8" s="4" t="s">
        <v>93</v>
      </c>
      <c r="F8" s="19" t="s">
        <v>82</v>
      </c>
      <c r="G8" s="5" t="s">
        <v>7</v>
      </c>
      <c r="H8" s="6">
        <v>22700</v>
      </c>
    </row>
    <row r="9" spans="1:9" ht="15" customHeight="1" x14ac:dyDescent="0.25">
      <c r="A9" s="59"/>
      <c r="B9" s="2">
        <v>45149</v>
      </c>
      <c r="C9" s="3">
        <v>4044309255</v>
      </c>
      <c r="D9" s="3">
        <v>1</v>
      </c>
      <c r="E9" s="4" t="s">
        <v>976</v>
      </c>
      <c r="F9" s="19" t="s">
        <v>82</v>
      </c>
      <c r="G9" s="5" t="s">
        <v>7</v>
      </c>
      <c r="H9" s="6">
        <v>19150</v>
      </c>
      <c r="I9" s="50"/>
    </row>
    <row r="10" spans="1:9" ht="15" customHeight="1" x14ac:dyDescent="0.25">
      <c r="A10" s="59"/>
      <c r="B10" s="2">
        <v>45215</v>
      </c>
      <c r="C10" s="3">
        <v>1232161653</v>
      </c>
      <c r="D10" s="3">
        <v>2</v>
      </c>
      <c r="E10" s="4" t="s">
        <v>1190</v>
      </c>
      <c r="F10" s="19" t="s">
        <v>1191</v>
      </c>
      <c r="G10" s="5" t="s">
        <v>11</v>
      </c>
      <c r="H10" s="6">
        <v>28000</v>
      </c>
    </row>
    <row r="11" spans="1:9" ht="15" customHeight="1" x14ac:dyDescent="0.25">
      <c r="A11" s="59"/>
      <c r="B11" s="2">
        <v>45218</v>
      </c>
      <c r="C11" s="3">
        <v>644236177</v>
      </c>
      <c r="D11" s="3">
        <v>1</v>
      </c>
      <c r="E11" s="4" t="s">
        <v>1155</v>
      </c>
      <c r="F11" s="19" t="s">
        <v>1191</v>
      </c>
      <c r="G11" s="5" t="s">
        <v>7</v>
      </c>
      <c r="H11" s="6">
        <v>24350</v>
      </c>
    </row>
    <row r="12" spans="1:9" ht="20.100000000000001" customHeight="1" x14ac:dyDescent="0.25">
      <c r="A12" s="60"/>
      <c r="B12" s="13"/>
      <c r="C12" s="14"/>
      <c r="D12" s="14"/>
      <c r="E12" s="14" t="s">
        <v>5</v>
      </c>
      <c r="F12" s="15"/>
      <c r="G12" s="16"/>
      <c r="H12" s="17">
        <f>SUM(H3:H11)</f>
        <v>214500</v>
      </c>
    </row>
    <row r="13" spans="1:9" ht="20.100000000000001" customHeight="1" x14ac:dyDescent="0.25">
      <c r="A13" s="7"/>
      <c r="B13" s="8"/>
      <c r="C13" s="8"/>
      <c r="D13" s="8"/>
      <c r="E13" s="8"/>
      <c r="F13" s="12"/>
      <c r="G13" s="8"/>
      <c r="H13" s="9"/>
    </row>
  </sheetData>
  <mergeCells count="8">
    <mergeCell ref="G1:G2"/>
    <mergeCell ref="H1:H2"/>
    <mergeCell ref="A1:A1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5"/>
  <sheetViews>
    <sheetView workbookViewId="0">
      <selection activeCell="E15" sqref="E15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8" t="s">
        <v>98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59"/>
      <c r="B2" s="66"/>
      <c r="C2" s="68"/>
      <c r="D2" s="68"/>
      <c r="E2" s="68"/>
      <c r="F2" s="68"/>
      <c r="G2" s="62"/>
      <c r="H2" s="64"/>
    </row>
    <row r="3" spans="1:8" ht="15" customHeight="1" x14ac:dyDescent="0.25">
      <c r="A3" s="59"/>
      <c r="B3" s="57" t="s">
        <v>1438</v>
      </c>
      <c r="C3" s="57" t="s">
        <v>1438</v>
      </c>
      <c r="D3" s="57" t="s">
        <v>1438</v>
      </c>
      <c r="E3" s="57" t="s">
        <v>1438</v>
      </c>
      <c r="F3" s="57" t="s">
        <v>1438</v>
      </c>
      <c r="G3" s="57" t="s">
        <v>1438</v>
      </c>
      <c r="H3" s="50">
        <v>0</v>
      </c>
    </row>
    <row r="4" spans="1:8" ht="20.100000000000001" customHeight="1" x14ac:dyDescent="0.25">
      <c r="A4" s="60"/>
      <c r="B4" s="13"/>
      <c r="C4" s="14"/>
      <c r="D4" s="14"/>
      <c r="E4" s="14" t="s">
        <v>5</v>
      </c>
      <c r="F4" s="15"/>
      <c r="G4" s="16"/>
      <c r="H4" s="40">
        <f>SUM(H3:H3)</f>
        <v>0</v>
      </c>
    </row>
    <row r="5" spans="1:8" ht="20.100000000000001" customHeight="1" x14ac:dyDescent="0.25">
      <c r="A5" s="7"/>
      <c r="B5" s="8"/>
      <c r="C5" s="8"/>
      <c r="D5" s="8"/>
      <c r="E5" s="8"/>
      <c r="F5" s="12"/>
      <c r="G5" s="8"/>
      <c r="H5" s="9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5"/>
  <sheetViews>
    <sheetView workbookViewId="0">
      <selection activeCell="C16" sqref="C16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8" t="s">
        <v>99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59"/>
      <c r="B2" s="66"/>
      <c r="C2" s="68"/>
      <c r="D2" s="68"/>
      <c r="E2" s="68"/>
      <c r="F2" s="68"/>
      <c r="G2" s="62"/>
      <c r="H2" s="64"/>
    </row>
    <row r="3" spans="1:8" ht="15" customHeight="1" x14ac:dyDescent="0.25">
      <c r="A3" s="59"/>
      <c r="B3" s="54" t="s">
        <v>1438</v>
      </c>
      <c r="C3" s="54" t="s">
        <v>1438</v>
      </c>
      <c r="D3" s="54" t="s">
        <v>1438</v>
      </c>
      <c r="E3" s="54" t="s">
        <v>1438</v>
      </c>
      <c r="F3" s="54" t="s">
        <v>1438</v>
      </c>
      <c r="G3" s="54" t="s">
        <v>1438</v>
      </c>
      <c r="H3" s="6">
        <v>0</v>
      </c>
    </row>
    <row r="4" spans="1:8" ht="20.100000000000001" customHeight="1" x14ac:dyDescent="0.25">
      <c r="A4" s="60"/>
      <c r="B4" s="13"/>
      <c r="C4" s="14"/>
      <c r="D4" s="14"/>
      <c r="E4" s="14" t="s">
        <v>5</v>
      </c>
      <c r="F4" s="15"/>
      <c r="G4" s="16"/>
      <c r="H4" s="17">
        <f>SUM(H3:H3)</f>
        <v>0</v>
      </c>
    </row>
    <row r="5" spans="1:8" ht="20.100000000000001" customHeight="1" x14ac:dyDescent="0.25">
      <c r="A5" s="7"/>
      <c r="B5" s="8"/>
      <c r="C5" s="8"/>
      <c r="D5" s="8"/>
      <c r="E5" s="8"/>
      <c r="F5" s="12"/>
      <c r="G5" s="8"/>
      <c r="H5" s="9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33"/>
  <sheetViews>
    <sheetView topLeftCell="A13" workbookViewId="0">
      <selection activeCell="F21" sqref="F21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100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15" customHeight="1" x14ac:dyDescent="0.25">
      <c r="A3" s="79"/>
      <c r="B3" s="2">
        <v>44942</v>
      </c>
      <c r="C3" s="3">
        <v>1908886624</v>
      </c>
      <c r="D3" s="3">
        <v>2</v>
      </c>
      <c r="E3" s="4" t="s">
        <v>186</v>
      </c>
      <c r="F3" s="19" t="s">
        <v>100</v>
      </c>
      <c r="G3" s="5" t="s">
        <v>7</v>
      </c>
      <c r="H3" s="6">
        <v>3332</v>
      </c>
    </row>
    <row r="4" spans="1:8" ht="15" customHeight="1" x14ac:dyDescent="0.25">
      <c r="A4" s="79"/>
      <c r="B4" s="2">
        <v>44942</v>
      </c>
      <c r="C4" s="3">
        <v>1908886624</v>
      </c>
      <c r="D4" s="3">
        <v>1</v>
      </c>
      <c r="E4" s="4" t="s">
        <v>186</v>
      </c>
      <c r="F4" s="19" t="s">
        <v>100</v>
      </c>
      <c r="G4" s="5" t="s">
        <v>7</v>
      </c>
      <c r="H4" s="6">
        <v>1668</v>
      </c>
    </row>
    <row r="5" spans="1:8" ht="15" customHeight="1" x14ac:dyDescent="0.25">
      <c r="A5" s="79"/>
      <c r="B5" s="2">
        <v>44944</v>
      </c>
      <c r="C5" s="3">
        <v>3178711647</v>
      </c>
      <c r="D5" s="3">
        <v>2</v>
      </c>
      <c r="E5" s="4" t="s">
        <v>204</v>
      </c>
      <c r="F5" s="19" t="s">
        <v>100</v>
      </c>
      <c r="G5" s="5" t="s">
        <v>6</v>
      </c>
      <c r="H5" s="6">
        <v>3200</v>
      </c>
    </row>
    <row r="6" spans="1:8" ht="15" customHeight="1" x14ac:dyDescent="0.25">
      <c r="A6" s="79"/>
      <c r="B6" s="2">
        <v>44944</v>
      </c>
      <c r="C6" s="3">
        <v>3178711647</v>
      </c>
      <c r="D6" s="3">
        <v>1</v>
      </c>
      <c r="E6" s="4" t="s">
        <v>204</v>
      </c>
      <c r="F6" s="19" t="s">
        <v>100</v>
      </c>
      <c r="G6" s="5" t="s">
        <v>6</v>
      </c>
      <c r="H6" s="6">
        <v>1800</v>
      </c>
    </row>
    <row r="7" spans="1:8" ht="15" customHeight="1" x14ac:dyDescent="0.25">
      <c r="A7" s="79"/>
      <c r="B7" s="2">
        <v>44965</v>
      </c>
      <c r="C7" s="3">
        <v>4145630009</v>
      </c>
      <c r="D7" s="3">
        <v>3</v>
      </c>
      <c r="E7" s="4" t="s">
        <v>309</v>
      </c>
      <c r="F7" s="19" t="s">
        <v>100</v>
      </c>
      <c r="G7" s="5" t="s">
        <v>6</v>
      </c>
      <c r="H7" s="6">
        <v>5809.9997999999996</v>
      </c>
    </row>
    <row r="8" spans="1:8" ht="15" customHeight="1" x14ac:dyDescent="0.25">
      <c r="A8" s="79"/>
      <c r="B8" s="2">
        <v>44980</v>
      </c>
      <c r="C8" s="3">
        <v>2168343551</v>
      </c>
      <c r="D8" s="3">
        <v>2</v>
      </c>
      <c r="E8" s="4" t="s">
        <v>310</v>
      </c>
      <c r="F8" s="19" t="s">
        <v>100</v>
      </c>
      <c r="G8" s="5" t="s">
        <v>11</v>
      </c>
      <c r="H8" s="6">
        <v>3332</v>
      </c>
    </row>
    <row r="9" spans="1:8" ht="15" customHeight="1" x14ac:dyDescent="0.25">
      <c r="A9" s="79"/>
      <c r="B9" s="2">
        <v>44980</v>
      </c>
      <c r="C9" s="3">
        <v>2168343551</v>
      </c>
      <c r="D9" s="3">
        <v>1</v>
      </c>
      <c r="E9" s="4" t="s">
        <v>310</v>
      </c>
      <c r="F9" s="19" t="s">
        <v>100</v>
      </c>
      <c r="G9" s="5" t="s">
        <v>11</v>
      </c>
      <c r="H9" s="6">
        <v>1668</v>
      </c>
    </row>
    <row r="10" spans="1:8" ht="15" customHeight="1" x14ac:dyDescent="0.25">
      <c r="A10" s="79"/>
      <c r="B10" s="2">
        <v>44984</v>
      </c>
      <c r="C10" s="3">
        <v>1615809294</v>
      </c>
      <c r="D10" s="3">
        <v>2</v>
      </c>
      <c r="E10" s="4" t="s">
        <v>300</v>
      </c>
      <c r="F10" s="19" t="s">
        <v>100</v>
      </c>
      <c r="G10" s="5" t="s">
        <v>7</v>
      </c>
      <c r="H10" s="6">
        <v>3332</v>
      </c>
    </row>
    <row r="11" spans="1:8" ht="15" customHeight="1" x14ac:dyDescent="0.25">
      <c r="A11" s="79"/>
      <c r="B11" s="2">
        <v>44984</v>
      </c>
      <c r="C11" s="3">
        <v>1615809294</v>
      </c>
      <c r="D11" s="3">
        <v>1</v>
      </c>
      <c r="E11" s="4" t="s">
        <v>300</v>
      </c>
      <c r="F11" s="19" t="s">
        <v>100</v>
      </c>
      <c r="G11" s="5" t="s">
        <v>7</v>
      </c>
      <c r="H11" s="6">
        <v>1668</v>
      </c>
    </row>
    <row r="12" spans="1:8" ht="15" customHeight="1" x14ac:dyDescent="0.25">
      <c r="A12" s="79"/>
      <c r="B12" s="2">
        <v>45027</v>
      </c>
      <c r="C12" s="3">
        <v>1784760685</v>
      </c>
      <c r="D12" s="3">
        <v>3</v>
      </c>
      <c r="E12" s="4" t="s">
        <v>593</v>
      </c>
      <c r="F12" s="19" t="s">
        <v>100</v>
      </c>
      <c r="G12" s="5" t="s">
        <v>14</v>
      </c>
      <c r="H12" s="6">
        <v>4500</v>
      </c>
    </row>
    <row r="13" spans="1:8" ht="15" customHeight="1" x14ac:dyDescent="0.25">
      <c r="A13" s="79"/>
      <c r="B13" s="2">
        <v>45027</v>
      </c>
      <c r="C13" s="3">
        <v>2873902609</v>
      </c>
      <c r="D13" s="3">
        <v>3</v>
      </c>
      <c r="E13" s="4" t="s">
        <v>594</v>
      </c>
      <c r="F13" s="19" t="s">
        <v>100</v>
      </c>
      <c r="G13" s="5" t="s">
        <v>14</v>
      </c>
      <c r="H13" s="6">
        <v>4500</v>
      </c>
    </row>
    <row r="14" spans="1:8" ht="15" customHeight="1" x14ac:dyDescent="0.25">
      <c r="A14" s="79"/>
      <c r="B14" s="2">
        <v>45040</v>
      </c>
      <c r="C14" s="3">
        <v>1392791543</v>
      </c>
      <c r="D14" s="3">
        <v>3</v>
      </c>
      <c r="E14" s="4" t="s">
        <v>255</v>
      </c>
      <c r="F14" s="19" t="s">
        <v>100</v>
      </c>
      <c r="G14" s="5" t="s">
        <v>7</v>
      </c>
      <c r="H14" s="6">
        <v>4999.9979999999996</v>
      </c>
    </row>
    <row r="15" spans="1:8" ht="15" customHeight="1" x14ac:dyDescent="0.25">
      <c r="A15" s="79"/>
      <c r="B15" s="2">
        <v>45083</v>
      </c>
      <c r="C15" s="3">
        <v>3995028889</v>
      </c>
      <c r="D15" s="3">
        <v>1</v>
      </c>
      <c r="E15" s="4" t="s">
        <v>356</v>
      </c>
      <c r="F15" s="19" t="s">
        <v>100</v>
      </c>
      <c r="G15" s="5" t="s">
        <v>7</v>
      </c>
      <c r="H15" s="6">
        <v>2767</v>
      </c>
    </row>
    <row r="16" spans="1:8" ht="15" customHeight="1" x14ac:dyDescent="0.25">
      <c r="A16" s="79"/>
      <c r="B16" s="2">
        <v>45083</v>
      </c>
      <c r="C16" s="3">
        <v>3995028889</v>
      </c>
      <c r="D16" s="3">
        <v>1</v>
      </c>
      <c r="E16" s="4" t="s">
        <v>356</v>
      </c>
      <c r="F16" s="19" t="s">
        <v>770</v>
      </c>
      <c r="G16" s="5" t="s">
        <v>7</v>
      </c>
      <c r="H16" s="6">
        <v>1233</v>
      </c>
    </row>
    <row r="17" spans="1:8" ht="15" customHeight="1" x14ac:dyDescent="0.25">
      <c r="A17" s="79"/>
      <c r="B17" s="2">
        <v>45103</v>
      </c>
      <c r="C17" s="3">
        <v>2251247200</v>
      </c>
      <c r="D17" s="3">
        <v>1</v>
      </c>
      <c r="E17" s="4" t="s">
        <v>709</v>
      </c>
      <c r="F17" s="19" t="s">
        <v>100</v>
      </c>
      <c r="G17" s="5" t="s">
        <v>7</v>
      </c>
      <c r="H17" s="6">
        <v>2905</v>
      </c>
    </row>
    <row r="18" spans="1:8" ht="15" customHeight="1" x14ac:dyDescent="0.25">
      <c r="A18" s="79"/>
      <c r="B18" s="2">
        <v>45106</v>
      </c>
      <c r="C18" s="3">
        <v>611798867</v>
      </c>
      <c r="D18" s="3">
        <v>2</v>
      </c>
      <c r="E18" s="4" t="s">
        <v>771</v>
      </c>
      <c r="F18" s="19" t="s">
        <v>100</v>
      </c>
      <c r="G18" s="5" t="s">
        <v>11</v>
      </c>
      <c r="H18" s="6">
        <v>4132</v>
      </c>
    </row>
    <row r="19" spans="1:8" ht="15" customHeight="1" x14ac:dyDescent="0.25">
      <c r="A19" s="79"/>
      <c r="B19" s="2">
        <v>45106</v>
      </c>
      <c r="C19" s="3">
        <v>611798867</v>
      </c>
      <c r="D19" s="3">
        <v>1</v>
      </c>
      <c r="E19" s="4" t="s">
        <v>771</v>
      </c>
      <c r="F19" s="19" t="s">
        <v>100</v>
      </c>
      <c r="G19" s="5" t="s">
        <v>11</v>
      </c>
      <c r="H19" s="6">
        <v>2068</v>
      </c>
    </row>
    <row r="20" spans="1:8" ht="15" customHeight="1" x14ac:dyDescent="0.25">
      <c r="A20" s="79"/>
      <c r="B20" s="2">
        <v>45107</v>
      </c>
      <c r="C20" s="3">
        <v>2095466211</v>
      </c>
      <c r="D20" s="3">
        <v>3</v>
      </c>
      <c r="E20" s="4" t="s">
        <v>574</v>
      </c>
      <c r="F20" s="19" t="s">
        <v>100</v>
      </c>
      <c r="G20" s="5" t="s">
        <v>28</v>
      </c>
      <c r="H20" s="6">
        <v>6000</v>
      </c>
    </row>
    <row r="21" spans="1:8" ht="15" customHeight="1" x14ac:dyDescent="0.25">
      <c r="A21" s="79"/>
      <c r="B21" s="2">
        <v>45114</v>
      </c>
      <c r="C21" s="3">
        <v>3945351080</v>
      </c>
      <c r="D21" s="3">
        <v>3</v>
      </c>
      <c r="E21" s="4" t="s">
        <v>809</v>
      </c>
      <c r="F21" s="19" t="s">
        <v>100</v>
      </c>
      <c r="G21" s="5" t="s">
        <v>28</v>
      </c>
      <c r="H21" s="6">
        <v>6000</v>
      </c>
    </row>
    <row r="22" spans="1:8" ht="15" customHeight="1" x14ac:dyDescent="0.25">
      <c r="A22" s="79"/>
      <c r="B22" s="2">
        <v>45156</v>
      </c>
      <c r="C22" s="3">
        <v>2299150476</v>
      </c>
      <c r="D22" s="3">
        <v>1</v>
      </c>
      <c r="E22" s="4" t="s">
        <v>709</v>
      </c>
      <c r="F22" s="19" t="s">
        <v>1008</v>
      </c>
      <c r="G22" s="5" t="s">
        <v>7</v>
      </c>
      <c r="H22" s="6">
        <v>968.33</v>
      </c>
    </row>
    <row r="23" spans="1:8" ht="15" customHeight="1" x14ac:dyDescent="0.25">
      <c r="A23" s="79"/>
      <c r="B23" s="2">
        <v>45156</v>
      </c>
      <c r="C23" s="3">
        <v>2299150476</v>
      </c>
      <c r="D23" s="3">
        <v>1</v>
      </c>
      <c r="E23" s="4" t="s">
        <v>709</v>
      </c>
      <c r="F23" s="19" t="s">
        <v>100</v>
      </c>
      <c r="G23" s="5" t="s">
        <v>7</v>
      </c>
      <c r="H23" s="6">
        <v>1936.67</v>
      </c>
    </row>
    <row r="24" spans="1:8" ht="15" customHeight="1" x14ac:dyDescent="0.25">
      <c r="A24" s="79"/>
      <c r="B24" s="2">
        <v>45183</v>
      </c>
      <c r="C24" s="3">
        <v>886522581</v>
      </c>
      <c r="D24" s="3">
        <v>1</v>
      </c>
      <c r="E24" s="4" t="s">
        <v>1104</v>
      </c>
      <c r="F24" s="19" t="s">
        <v>1473</v>
      </c>
      <c r="G24" s="5" t="s">
        <v>7</v>
      </c>
      <c r="H24" s="6">
        <v>1500</v>
      </c>
    </row>
    <row r="25" spans="1:8" ht="15" customHeight="1" x14ac:dyDescent="0.25">
      <c r="A25" s="79"/>
      <c r="B25" s="2">
        <v>45183</v>
      </c>
      <c r="C25" s="3">
        <v>886522581</v>
      </c>
      <c r="D25" s="3">
        <v>1</v>
      </c>
      <c r="E25" s="4" t="s">
        <v>1104</v>
      </c>
      <c r="F25" s="19" t="s">
        <v>100</v>
      </c>
      <c r="G25" s="5" t="s">
        <v>7</v>
      </c>
      <c r="H25" s="6">
        <v>2800</v>
      </c>
    </row>
    <row r="26" spans="1:8" ht="15" customHeight="1" x14ac:dyDescent="0.25">
      <c r="A26" s="79"/>
      <c r="B26" s="2">
        <v>45216</v>
      </c>
      <c r="C26" s="3">
        <v>855393904</v>
      </c>
      <c r="D26" s="3">
        <v>3</v>
      </c>
      <c r="E26" s="4" t="s">
        <v>1192</v>
      </c>
      <c r="F26" s="19" t="s">
        <v>1193</v>
      </c>
      <c r="G26" s="5" t="s">
        <v>6</v>
      </c>
      <c r="H26" s="6">
        <v>6000</v>
      </c>
    </row>
    <row r="27" spans="1:8" ht="15" customHeight="1" x14ac:dyDescent="0.25">
      <c r="A27" s="79"/>
      <c r="B27" s="2">
        <v>45252</v>
      </c>
      <c r="C27" s="3">
        <v>1649692515</v>
      </c>
      <c r="D27" s="3">
        <v>3</v>
      </c>
      <c r="E27" s="4" t="s">
        <v>1247</v>
      </c>
      <c r="F27" s="19" t="s">
        <v>1193</v>
      </c>
      <c r="G27" s="5" t="s">
        <v>6</v>
      </c>
      <c r="H27" s="6">
        <v>6000</v>
      </c>
    </row>
    <row r="28" spans="1:8" ht="15" customHeight="1" x14ac:dyDescent="0.25">
      <c r="A28" s="79"/>
      <c r="B28" s="2">
        <v>45258</v>
      </c>
      <c r="C28" s="3">
        <v>2849392831</v>
      </c>
      <c r="D28" s="3">
        <v>2</v>
      </c>
      <c r="E28" s="4" t="s">
        <v>1299</v>
      </c>
      <c r="F28" s="19" t="s">
        <v>1193</v>
      </c>
      <c r="G28" s="5" t="s">
        <v>14</v>
      </c>
      <c r="H28" s="6">
        <v>3866</v>
      </c>
    </row>
    <row r="29" spans="1:8" ht="15" customHeight="1" x14ac:dyDescent="0.25">
      <c r="A29" s="79"/>
      <c r="B29" s="2">
        <v>45258</v>
      </c>
      <c r="C29" s="3">
        <v>2849392831</v>
      </c>
      <c r="D29" s="3">
        <v>1</v>
      </c>
      <c r="E29" s="4" t="s">
        <v>1299</v>
      </c>
      <c r="F29" s="19" t="s">
        <v>1193</v>
      </c>
      <c r="G29" s="5" t="s">
        <v>14</v>
      </c>
      <c r="H29" s="6">
        <v>1934</v>
      </c>
    </row>
    <row r="30" spans="1:8" ht="15" customHeight="1" x14ac:dyDescent="0.25">
      <c r="A30" s="79"/>
      <c r="B30" s="2">
        <v>45258</v>
      </c>
      <c r="C30" s="3">
        <v>379866564</v>
      </c>
      <c r="D30" s="3">
        <v>2</v>
      </c>
      <c r="E30" s="4" t="s">
        <v>1300</v>
      </c>
      <c r="F30" s="19" t="s">
        <v>1193</v>
      </c>
      <c r="G30" s="5" t="s">
        <v>7</v>
      </c>
      <c r="H30" s="6">
        <v>3872</v>
      </c>
    </row>
    <row r="31" spans="1:8" ht="15" customHeight="1" x14ac:dyDescent="0.25">
      <c r="A31" s="79"/>
      <c r="B31" s="2">
        <v>45258</v>
      </c>
      <c r="C31" s="3">
        <v>379866564</v>
      </c>
      <c r="D31" s="3">
        <v>1</v>
      </c>
      <c r="E31" s="4" t="s">
        <v>1300</v>
      </c>
      <c r="F31" s="19" t="s">
        <v>1193</v>
      </c>
      <c r="G31" s="5" t="s">
        <v>7</v>
      </c>
      <c r="H31" s="6">
        <v>1938</v>
      </c>
    </row>
    <row r="32" spans="1:8" ht="20.100000000000001" customHeight="1" x14ac:dyDescent="0.25">
      <c r="A32" s="80"/>
      <c r="B32" s="13"/>
      <c r="C32" s="14"/>
      <c r="D32" s="14"/>
      <c r="E32" s="14" t="s">
        <v>5</v>
      </c>
      <c r="F32" s="15"/>
      <c r="G32" s="16"/>
      <c r="H32" s="17">
        <f>SUM(H3:H31)</f>
        <v>95729.997799999997</v>
      </c>
    </row>
    <row r="33" spans="1:8" ht="20.100000000000001" customHeight="1" x14ac:dyDescent="0.25">
      <c r="A33" s="7"/>
      <c r="B33" s="8"/>
      <c r="C33" s="8"/>
      <c r="D33" s="8"/>
      <c r="E33" s="8"/>
      <c r="F33" s="12"/>
      <c r="G33" s="8"/>
      <c r="H33" s="9"/>
    </row>
  </sheetData>
  <mergeCells count="8">
    <mergeCell ref="G1:G2"/>
    <mergeCell ref="H1:H2"/>
    <mergeCell ref="A1:A3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5"/>
  <sheetViews>
    <sheetView workbookViewId="0">
      <selection activeCell="B3" sqref="B3:H3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8" t="s">
        <v>101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59"/>
      <c r="B2" s="66"/>
      <c r="C2" s="68"/>
      <c r="D2" s="68"/>
      <c r="E2" s="68"/>
      <c r="F2" s="68"/>
      <c r="G2" s="62"/>
      <c r="H2" s="64"/>
    </row>
    <row r="3" spans="1:8" ht="15" customHeight="1" x14ac:dyDescent="0.25">
      <c r="A3" s="59"/>
      <c r="B3" s="54" t="s">
        <v>1438</v>
      </c>
      <c r="C3" s="54" t="s">
        <v>1438</v>
      </c>
      <c r="D3" s="54" t="s">
        <v>1438</v>
      </c>
      <c r="E3" s="54" t="s">
        <v>1438</v>
      </c>
      <c r="F3" s="54" t="s">
        <v>1438</v>
      </c>
      <c r="G3" s="54" t="s">
        <v>1438</v>
      </c>
      <c r="H3" s="6">
        <v>0</v>
      </c>
    </row>
    <row r="4" spans="1:8" ht="20.100000000000001" customHeight="1" x14ac:dyDescent="0.25">
      <c r="A4" s="60"/>
      <c r="B4" s="13"/>
      <c r="C4" s="14"/>
      <c r="D4" s="14"/>
      <c r="E4" s="14" t="s">
        <v>5</v>
      </c>
      <c r="F4" s="15"/>
      <c r="G4" s="16"/>
      <c r="H4" s="17">
        <f>SUM(H3:H3)</f>
        <v>0</v>
      </c>
    </row>
    <row r="5" spans="1:8" ht="20.100000000000001" customHeight="1" x14ac:dyDescent="0.25">
      <c r="A5" s="7"/>
      <c r="B5" s="8"/>
      <c r="C5" s="8"/>
      <c r="D5" s="8"/>
      <c r="E5" s="8"/>
      <c r="F5" s="12"/>
      <c r="G5" s="8"/>
      <c r="H5" s="9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5"/>
  <sheetViews>
    <sheetView workbookViewId="0">
      <selection activeCell="B3" sqref="B3:H3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8" t="s">
        <v>106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59"/>
      <c r="B2" s="66"/>
      <c r="C2" s="68"/>
      <c r="D2" s="68"/>
      <c r="E2" s="68"/>
      <c r="F2" s="68"/>
      <c r="G2" s="62"/>
      <c r="H2" s="64"/>
    </row>
    <row r="3" spans="1:8" ht="15" customHeight="1" x14ac:dyDescent="0.25">
      <c r="A3" s="59"/>
      <c r="B3" s="54" t="s">
        <v>1438</v>
      </c>
      <c r="C3" s="54" t="s">
        <v>1438</v>
      </c>
      <c r="D3" s="54" t="s">
        <v>1438</v>
      </c>
      <c r="E3" s="54" t="s">
        <v>1438</v>
      </c>
      <c r="F3" s="54" t="s">
        <v>1438</v>
      </c>
      <c r="G3" s="54" t="s">
        <v>1438</v>
      </c>
      <c r="H3" s="6">
        <v>0</v>
      </c>
    </row>
    <row r="4" spans="1:8" ht="20.100000000000001" customHeight="1" x14ac:dyDescent="0.25">
      <c r="A4" s="60"/>
      <c r="B4" s="13"/>
      <c r="C4" s="14"/>
      <c r="D4" s="14"/>
      <c r="E4" s="14" t="s">
        <v>5</v>
      </c>
      <c r="F4" s="15"/>
      <c r="G4" s="16"/>
      <c r="H4" s="17">
        <f>SUM(H3:H3)</f>
        <v>0</v>
      </c>
    </row>
    <row r="5" spans="1:8" ht="20.100000000000001" customHeight="1" x14ac:dyDescent="0.25">
      <c r="A5" s="7"/>
      <c r="B5" s="8"/>
      <c r="C5" s="8"/>
      <c r="D5" s="8"/>
      <c r="E5" s="8"/>
      <c r="F5" s="12"/>
      <c r="G5" s="8"/>
      <c r="H5" s="9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5"/>
  <sheetViews>
    <sheetView workbookViewId="0">
      <selection activeCell="B3" sqref="B3:H3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102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15" customHeight="1" x14ac:dyDescent="0.25">
      <c r="A3" s="79"/>
      <c r="B3" s="54" t="s">
        <v>1438</v>
      </c>
      <c r="C3" s="54" t="s">
        <v>1438</v>
      </c>
      <c r="D3" s="54" t="s">
        <v>1438</v>
      </c>
      <c r="E3" s="54" t="s">
        <v>1438</v>
      </c>
      <c r="F3" s="54" t="s">
        <v>1438</v>
      </c>
      <c r="G3" s="54" t="s">
        <v>1438</v>
      </c>
      <c r="H3" s="6">
        <v>0</v>
      </c>
    </row>
    <row r="4" spans="1:8" ht="20.100000000000001" customHeight="1" x14ac:dyDescent="0.25">
      <c r="A4" s="80"/>
      <c r="B4" s="13"/>
      <c r="C4" s="14"/>
      <c r="D4" s="14"/>
      <c r="E4" s="14" t="s">
        <v>5</v>
      </c>
      <c r="F4" s="15"/>
      <c r="G4" s="16"/>
      <c r="H4" s="17">
        <f>SUM(H3:H3)</f>
        <v>0</v>
      </c>
    </row>
    <row r="5" spans="1:8" ht="20.100000000000001" customHeight="1" x14ac:dyDescent="0.25">
      <c r="A5" s="7"/>
      <c r="B5" s="8"/>
      <c r="C5" s="8"/>
      <c r="D5" s="8"/>
      <c r="E5" s="8"/>
      <c r="F5" s="12"/>
      <c r="G5" s="8"/>
      <c r="H5" s="9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360"/>
  <sheetViews>
    <sheetView topLeftCell="A210" workbookViewId="0">
      <selection activeCell="E210" sqref="E210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8" t="s">
        <v>104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59"/>
      <c r="B2" s="66"/>
      <c r="C2" s="68"/>
      <c r="D2" s="68"/>
      <c r="E2" s="68"/>
      <c r="F2" s="68"/>
      <c r="G2" s="62"/>
      <c r="H2" s="64"/>
    </row>
    <row r="3" spans="1:8" ht="15" customHeight="1" x14ac:dyDescent="0.25">
      <c r="A3" s="59"/>
      <c r="B3" s="2">
        <v>45006</v>
      </c>
      <c r="C3" s="3">
        <v>3401730285</v>
      </c>
      <c r="D3" s="3">
        <v>45</v>
      </c>
      <c r="E3" s="4" t="s">
        <v>424</v>
      </c>
      <c r="F3" s="19" t="s">
        <v>425</v>
      </c>
      <c r="G3" s="5" t="s">
        <v>11</v>
      </c>
      <c r="H3" s="6">
        <v>2475</v>
      </c>
    </row>
    <row r="4" spans="1:8" ht="15" customHeight="1" x14ac:dyDescent="0.25">
      <c r="A4" s="59"/>
      <c r="B4" s="2">
        <v>45006</v>
      </c>
      <c r="C4" s="3">
        <v>1831879759</v>
      </c>
      <c r="D4" s="3">
        <v>18</v>
      </c>
      <c r="E4" s="4" t="s">
        <v>426</v>
      </c>
      <c r="F4" s="19" t="s">
        <v>425</v>
      </c>
      <c r="G4" s="5" t="s">
        <v>6</v>
      </c>
      <c r="H4" s="6">
        <v>990</v>
      </c>
    </row>
    <row r="5" spans="1:8" ht="15" customHeight="1" x14ac:dyDescent="0.25">
      <c r="A5" s="59"/>
      <c r="B5" s="2">
        <v>45006</v>
      </c>
      <c r="C5" s="3">
        <v>2465287170</v>
      </c>
      <c r="D5" s="3">
        <v>50</v>
      </c>
      <c r="E5" s="4" t="s">
        <v>427</v>
      </c>
      <c r="F5" s="19" t="s">
        <v>425</v>
      </c>
      <c r="G5" s="5" t="s">
        <v>7</v>
      </c>
      <c r="H5" s="6">
        <v>2750</v>
      </c>
    </row>
    <row r="6" spans="1:8" ht="15" customHeight="1" x14ac:dyDescent="0.25">
      <c r="A6" s="59"/>
      <c r="B6" s="2">
        <v>45006</v>
      </c>
      <c r="C6" s="3">
        <v>3919203878</v>
      </c>
      <c r="D6" s="3">
        <v>38</v>
      </c>
      <c r="E6" s="4" t="s">
        <v>428</v>
      </c>
      <c r="F6" s="19" t="s">
        <v>425</v>
      </c>
      <c r="G6" s="5" t="s">
        <v>6</v>
      </c>
      <c r="H6" s="6">
        <v>2090</v>
      </c>
    </row>
    <row r="7" spans="1:8" ht="15" customHeight="1" x14ac:dyDescent="0.25">
      <c r="A7" s="59"/>
      <c r="B7" s="2">
        <v>45006</v>
      </c>
      <c r="C7" s="3">
        <v>176507018</v>
      </c>
      <c r="D7" s="3">
        <v>54</v>
      </c>
      <c r="E7" s="4" t="s">
        <v>429</v>
      </c>
      <c r="F7" s="19" t="s">
        <v>425</v>
      </c>
      <c r="G7" s="5" t="s">
        <v>16</v>
      </c>
      <c r="H7" s="6">
        <v>2970</v>
      </c>
    </row>
    <row r="8" spans="1:8" ht="15" customHeight="1" x14ac:dyDescent="0.25">
      <c r="A8" s="59"/>
      <c r="B8" s="2">
        <v>45006</v>
      </c>
      <c r="C8" s="3">
        <v>1220821609</v>
      </c>
      <c r="D8" s="3">
        <v>18</v>
      </c>
      <c r="E8" s="4" t="s">
        <v>430</v>
      </c>
      <c r="F8" s="19" t="s">
        <v>425</v>
      </c>
      <c r="G8" s="5" t="s">
        <v>6</v>
      </c>
      <c r="H8" s="6">
        <v>990</v>
      </c>
    </row>
    <row r="9" spans="1:8" ht="15" customHeight="1" x14ac:dyDescent="0.25">
      <c r="A9" s="59"/>
      <c r="B9" s="2">
        <v>45006</v>
      </c>
      <c r="C9" s="3">
        <v>3383575794</v>
      </c>
      <c r="D9" s="3">
        <v>54</v>
      </c>
      <c r="E9" s="4" t="s">
        <v>431</v>
      </c>
      <c r="F9" s="19" t="s">
        <v>425</v>
      </c>
      <c r="G9" s="5" t="s">
        <v>6</v>
      </c>
      <c r="H9" s="6">
        <v>2970</v>
      </c>
    </row>
    <row r="10" spans="1:8" ht="15" customHeight="1" x14ac:dyDescent="0.25">
      <c r="A10" s="59"/>
      <c r="B10" s="2">
        <v>45006</v>
      </c>
      <c r="C10" s="3">
        <v>1067140493</v>
      </c>
      <c r="D10" s="3">
        <v>56</v>
      </c>
      <c r="E10" s="4" t="s">
        <v>432</v>
      </c>
      <c r="F10" s="19" t="s">
        <v>425</v>
      </c>
      <c r="G10" s="5" t="s">
        <v>6</v>
      </c>
      <c r="H10" s="6">
        <v>3080</v>
      </c>
    </row>
    <row r="11" spans="1:8" ht="15" customHeight="1" x14ac:dyDescent="0.25">
      <c r="A11" s="59"/>
      <c r="B11" s="2">
        <v>45006</v>
      </c>
      <c r="C11" s="3">
        <v>3854124774</v>
      </c>
      <c r="D11" s="3">
        <v>36</v>
      </c>
      <c r="E11" s="4" t="s">
        <v>433</v>
      </c>
      <c r="F11" s="19" t="s">
        <v>425</v>
      </c>
      <c r="G11" s="5" t="s">
        <v>6</v>
      </c>
      <c r="H11" s="6">
        <v>1980</v>
      </c>
    </row>
    <row r="12" spans="1:8" ht="15" customHeight="1" x14ac:dyDescent="0.25">
      <c r="A12" s="59"/>
      <c r="B12" s="2">
        <v>45006</v>
      </c>
      <c r="C12" s="3">
        <v>2725201564</v>
      </c>
      <c r="D12" s="3">
        <v>28</v>
      </c>
      <c r="E12" s="4" t="s">
        <v>299</v>
      </c>
      <c r="F12" s="19" t="s">
        <v>425</v>
      </c>
      <c r="G12" s="5" t="s">
        <v>6</v>
      </c>
      <c r="H12" s="6">
        <v>1540</v>
      </c>
    </row>
    <row r="13" spans="1:8" ht="15" customHeight="1" x14ac:dyDescent="0.25">
      <c r="A13" s="59"/>
      <c r="B13" s="2">
        <v>45006</v>
      </c>
      <c r="C13" s="3">
        <v>1280787906</v>
      </c>
      <c r="D13" s="3">
        <v>50</v>
      </c>
      <c r="E13" s="4" t="s">
        <v>434</v>
      </c>
      <c r="F13" s="19" t="s">
        <v>425</v>
      </c>
      <c r="G13" s="5" t="s">
        <v>6</v>
      </c>
      <c r="H13" s="6">
        <v>2750</v>
      </c>
    </row>
    <row r="14" spans="1:8" ht="15" customHeight="1" x14ac:dyDescent="0.25">
      <c r="A14" s="59"/>
      <c r="B14" s="2">
        <v>45006</v>
      </c>
      <c r="C14" s="3">
        <v>3124447388</v>
      </c>
      <c r="D14" s="3">
        <v>54</v>
      </c>
      <c r="E14" s="4" t="s">
        <v>435</v>
      </c>
      <c r="F14" s="19" t="s">
        <v>425</v>
      </c>
      <c r="G14" s="5" t="s">
        <v>6</v>
      </c>
      <c r="H14" s="6">
        <v>2970</v>
      </c>
    </row>
    <row r="15" spans="1:8" ht="15" customHeight="1" x14ac:dyDescent="0.25">
      <c r="A15" s="59"/>
      <c r="B15" s="2">
        <v>45006</v>
      </c>
      <c r="C15" s="3">
        <v>2558347807</v>
      </c>
      <c r="D15" s="3">
        <v>38</v>
      </c>
      <c r="E15" s="4" t="s">
        <v>436</v>
      </c>
      <c r="F15" s="19" t="s">
        <v>425</v>
      </c>
      <c r="G15" s="5" t="s">
        <v>6</v>
      </c>
      <c r="H15" s="6">
        <v>2090</v>
      </c>
    </row>
    <row r="16" spans="1:8" ht="15" customHeight="1" x14ac:dyDescent="0.25">
      <c r="A16" s="59"/>
      <c r="B16" s="2">
        <v>45007</v>
      </c>
      <c r="C16" s="3">
        <v>1724599831</v>
      </c>
      <c r="D16" s="3">
        <v>24</v>
      </c>
      <c r="E16" s="4" t="s">
        <v>361</v>
      </c>
      <c r="F16" s="19" t="s">
        <v>425</v>
      </c>
      <c r="G16" s="5" t="s">
        <v>14</v>
      </c>
      <c r="H16" s="6">
        <v>1320</v>
      </c>
    </row>
    <row r="17" spans="1:8" ht="15" customHeight="1" x14ac:dyDescent="0.25">
      <c r="A17" s="59"/>
      <c r="B17" s="2">
        <v>45007</v>
      </c>
      <c r="C17" s="3">
        <v>2188135588</v>
      </c>
      <c r="D17" s="3">
        <v>45</v>
      </c>
      <c r="E17" s="4" t="s">
        <v>437</v>
      </c>
      <c r="F17" s="19" t="s">
        <v>439</v>
      </c>
      <c r="G17" s="5" t="s">
        <v>6</v>
      </c>
      <c r="H17" s="6">
        <v>2479.9999499999999</v>
      </c>
    </row>
    <row r="18" spans="1:8" ht="15" customHeight="1" x14ac:dyDescent="0.25">
      <c r="A18" s="59"/>
      <c r="B18" s="2">
        <v>45007</v>
      </c>
      <c r="C18" s="3">
        <v>2188135588</v>
      </c>
      <c r="D18" s="3">
        <v>11</v>
      </c>
      <c r="E18" s="4" t="s">
        <v>437</v>
      </c>
      <c r="F18" s="19" t="s">
        <v>440</v>
      </c>
      <c r="G18" s="5" t="s">
        <v>14</v>
      </c>
      <c r="H18" s="6">
        <v>599.99940000000004</v>
      </c>
    </row>
    <row r="19" spans="1:8" ht="15" customHeight="1" x14ac:dyDescent="0.25">
      <c r="A19" s="59"/>
      <c r="B19" s="2">
        <v>45007</v>
      </c>
      <c r="C19" s="3">
        <v>3812967367</v>
      </c>
      <c r="D19" s="3">
        <v>29</v>
      </c>
      <c r="E19" s="4" t="s">
        <v>438</v>
      </c>
      <c r="F19" s="19" t="s">
        <v>439</v>
      </c>
      <c r="G19" s="5" t="s">
        <v>14</v>
      </c>
      <c r="H19" s="6">
        <v>1595</v>
      </c>
    </row>
    <row r="20" spans="1:8" ht="15" customHeight="1" x14ac:dyDescent="0.25">
      <c r="A20" s="59"/>
      <c r="B20" s="2">
        <v>45007</v>
      </c>
      <c r="C20" s="3">
        <v>3812967367</v>
      </c>
      <c r="D20" s="3">
        <v>12</v>
      </c>
      <c r="E20" s="4" t="s">
        <v>438</v>
      </c>
      <c r="F20" s="19" t="s">
        <v>439</v>
      </c>
      <c r="G20" s="5" t="s">
        <v>6</v>
      </c>
      <c r="H20" s="6">
        <v>690</v>
      </c>
    </row>
    <row r="21" spans="1:8" ht="15" customHeight="1" x14ac:dyDescent="0.25">
      <c r="A21" s="59"/>
      <c r="B21" s="2">
        <v>45007</v>
      </c>
      <c r="C21" s="3">
        <v>874792604</v>
      </c>
      <c r="D21" s="3">
        <v>17</v>
      </c>
      <c r="E21" s="4" t="s">
        <v>438</v>
      </c>
      <c r="F21" s="19" t="s">
        <v>440</v>
      </c>
      <c r="G21" s="5" t="s">
        <v>14</v>
      </c>
      <c r="H21" s="6">
        <v>904.99839999999995</v>
      </c>
    </row>
    <row r="22" spans="1:8" ht="15" customHeight="1" x14ac:dyDescent="0.25">
      <c r="A22" s="59"/>
      <c r="B22" s="2">
        <v>45007</v>
      </c>
      <c r="C22" s="3">
        <v>1315521027</v>
      </c>
      <c r="D22" s="3">
        <v>32</v>
      </c>
      <c r="E22" s="4" t="s">
        <v>441</v>
      </c>
      <c r="F22" s="19" t="s">
        <v>425</v>
      </c>
      <c r="G22" s="5" t="s">
        <v>6</v>
      </c>
      <c r="H22" s="6">
        <v>1760</v>
      </c>
    </row>
    <row r="23" spans="1:8" ht="15" customHeight="1" x14ac:dyDescent="0.25">
      <c r="A23" s="59"/>
      <c r="B23" s="2">
        <v>45007</v>
      </c>
      <c r="C23" s="3">
        <v>2208841832</v>
      </c>
      <c r="D23" s="3">
        <v>24</v>
      </c>
      <c r="E23" s="4" t="s">
        <v>441</v>
      </c>
      <c r="F23" s="19" t="s">
        <v>425</v>
      </c>
      <c r="G23" s="5" t="s">
        <v>6</v>
      </c>
      <c r="H23" s="6">
        <v>1320</v>
      </c>
    </row>
    <row r="24" spans="1:8" ht="15" customHeight="1" x14ac:dyDescent="0.25">
      <c r="A24" s="59"/>
      <c r="B24" s="2">
        <v>45007</v>
      </c>
      <c r="C24" s="3">
        <v>333531100</v>
      </c>
      <c r="D24" s="3">
        <v>22</v>
      </c>
      <c r="E24" s="4" t="s">
        <v>43</v>
      </c>
      <c r="F24" s="19" t="s">
        <v>425</v>
      </c>
      <c r="G24" s="5" t="s">
        <v>6</v>
      </c>
      <c r="H24" s="6">
        <v>1179.9985999999999</v>
      </c>
    </row>
    <row r="25" spans="1:8" ht="15" customHeight="1" x14ac:dyDescent="0.25">
      <c r="A25" s="59"/>
      <c r="B25" s="2">
        <v>45007</v>
      </c>
      <c r="C25" s="3">
        <v>333531100</v>
      </c>
      <c r="D25" s="3">
        <v>34</v>
      </c>
      <c r="E25" s="4" t="s">
        <v>43</v>
      </c>
      <c r="F25" s="19" t="s">
        <v>425</v>
      </c>
      <c r="G25" s="5" t="s">
        <v>14</v>
      </c>
      <c r="H25" s="6">
        <v>1899.9999</v>
      </c>
    </row>
    <row r="26" spans="1:8" ht="15" customHeight="1" x14ac:dyDescent="0.25">
      <c r="A26" s="59"/>
      <c r="B26" s="2">
        <v>45007</v>
      </c>
      <c r="C26" s="3">
        <v>1098336564</v>
      </c>
      <c r="D26" s="3">
        <v>52</v>
      </c>
      <c r="E26" s="4" t="s">
        <v>264</v>
      </c>
      <c r="F26" s="19" t="s">
        <v>425</v>
      </c>
      <c r="G26" s="5" t="s">
        <v>6</v>
      </c>
      <c r="H26" s="6">
        <v>2860</v>
      </c>
    </row>
    <row r="27" spans="1:8" ht="15" customHeight="1" x14ac:dyDescent="0.25">
      <c r="A27" s="59"/>
      <c r="B27" s="2">
        <v>45007</v>
      </c>
      <c r="C27" s="3">
        <v>2543862225</v>
      </c>
      <c r="D27" s="3">
        <v>25</v>
      </c>
      <c r="E27" s="4" t="s">
        <v>442</v>
      </c>
      <c r="F27" s="19" t="s">
        <v>425</v>
      </c>
      <c r="G27" s="5" t="s">
        <v>14</v>
      </c>
      <c r="H27" s="6">
        <v>1375</v>
      </c>
    </row>
    <row r="28" spans="1:8" ht="15" customHeight="1" x14ac:dyDescent="0.25">
      <c r="A28" s="59"/>
      <c r="B28" s="2">
        <v>45007</v>
      </c>
      <c r="C28" s="3">
        <v>2847032723</v>
      </c>
      <c r="D28" s="3">
        <v>56</v>
      </c>
      <c r="E28" s="4" t="s">
        <v>385</v>
      </c>
      <c r="F28" s="19" t="s">
        <v>425</v>
      </c>
      <c r="G28" s="5" t="s">
        <v>6</v>
      </c>
      <c r="H28" s="6">
        <v>3080</v>
      </c>
    </row>
    <row r="29" spans="1:8" ht="15" customHeight="1" x14ac:dyDescent="0.25">
      <c r="A29" s="59"/>
      <c r="B29" s="2">
        <v>45007</v>
      </c>
      <c r="C29" s="3">
        <v>2124760985</v>
      </c>
      <c r="D29" s="3">
        <v>56</v>
      </c>
      <c r="E29" s="4" t="s">
        <v>443</v>
      </c>
      <c r="F29" s="19" t="s">
        <v>425</v>
      </c>
      <c r="G29" s="5" t="s">
        <v>6</v>
      </c>
      <c r="H29" s="6">
        <v>3080</v>
      </c>
    </row>
    <row r="30" spans="1:8" ht="15" customHeight="1" x14ac:dyDescent="0.25">
      <c r="A30" s="59"/>
      <c r="B30" s="2">
        <v>45007</v>
      </c>
      <c r="C30" s="3">
        <v>423446009</v>
      </c>
      <c r="D30" s="3">
        <v>38</v>
      </c>
      <c r="E30" s="4" t="s">
        <v>444</v>
      </c>
      <c r="F30" s="19" t="s">
        <v>425</v>
      </c>
      <c r="G30" s="5" t="s">
        <v>6</v>
      </c>
      <c r="H30" s="6">
        <v>2090</v>
      </c>
    </row>
    <row r="31" spans="1:8" ht="15" customHeight="1" x14ac:dyDescent="0.25">
      <c r="A31" s="59"/>
      <c r="B31" s="2">
        <v>45007</v>
      </c>
      <c r="C31" s="3">
        <v>1257259848</v>
      </c>
      <c r="D31" s="3">
        <v>56</v>
      </c>
      <c r="E31" s="4" t="s">
        <v>445</v>
      </c>
      <c r="F31" s="19" t="s">
        <v>425</v>
      </c>
      <c r="G31" s="5" t="s">
        <v>6</v>
      </c>
      <c r="H31" s="6">
        <v>3080</v>
      </c>
    </row>
    <row r="32" spans="1:8" ht="15" customHeight="1" x14ac:dyDescent="0.25">
      <c r="A32" s="59"/>
      <c r="B32" s="2">
        <v>45007</v>
      </c>
      <c r="C32" s="3">
        <v>2953399744</v>
      </c>
      <c r="D32" s="3">
        <v>44</v>
      </c>
      <c r="E32" s="4" t="s">
        <v>446</v>
      </c>
      <c r="F32" s="19" t="s">
        <v>439</v>
      </c>
      <c r="G32" s="5" t="s">
        <v>6</v>
      </c>
      <c r="H32" s="6">
        <v>2399.9976000000001</v>
      </c>
    </row>
    <row r="33" spans="1:8" ht="15" customHeight="1" x14ac:dyDescent="0.25">
      <c r="A33" s="59"/>
      <c r="B33" s="2">
        <v>45007</v>
      </c>
      <c r="C33" s="3">
        <v>2953399744</v>
      </c>
      <c r="D33" s="3">
        <v>12</v>
      </c>
      <c r="E33" s="4" t="s">
        <v>446</v>
      </c>
      <c r="F33" s="19" t="s">
        <v>440</v>
      </c>
      <c r="G33" s="5" t="s">
        <v>14</v>
      </c>
      <c r="H33" s="6">
        <v>679.99919999999997</v>
      </c>
    </row>
    <row r="34" spans="1:8" ht="15" customHeight="1" x14ac:dyDescent="0.25">
      <c r="A34" s="59"/>
      <c r="B34" s="2">
        <v>45007</v>
      </c>
      <c r="C34" s="3">
        <v>3378727402</v>
      </c>
      <c r="D34" s="3">
        <v>56</v>
      </c>
      <c r="E34" s="4" t="s">
        <v>447</v>
      </c>
      <c r="F34" s="19" t="s">
        <v>425</v>
      </c>
      <c r="G34" s="5" t="s">
        <v>6</v>
      </c>
      <c r="H34" s="6">
        <v>3080</v>
      </c>
    </row>
    <row r="35" spans="1:8" ht="15" customHeight="1" x14ac:dyDescent="0.25">
      <c r="A35" s="59"/>
      <c r="B35" s="2">
        <v>45007</v>
      </c>
      <c r="C35" s="3">
        <v>247678386</v>
      </c>
      <c r="D35" s="3">
        <v>40</v>
      </c>
      <c r="E35" s="4" t="s">
        <v>448</v>
      </c>
      <c r="F35" s="19" t="s">
        <v>425</v>
      </c>
      <c r="G35" s="5" t="s">
        <v>36</v>
      </c>
      <c r="H35" s="6">
        <v>2200</v>
      </c>
    </row>
    <row r="36" spans="1:8" ht="15" customHeight="1" x14ac:dyDescent="0.25">
      <c r="A36" s="59"/>
      <c r="B36" s="2">
        <v>45007</v>
      </c>
      <c r="C36" s="3">
        <v>2611103703</v>
      </c>
      <c r="D36" s="3">
        <v>56</v>
      </c>
      <c r="E36" s="4" t="s">
        <v>449</v>
      </c>
      <c r="F36" s="19" t="s">
        <v>425</v>
      </c>
      <c r="G36" s="5" t="s">
        <v>14</v>
      </c>
      <c r="H36" s="6">
        <v>3080</v>
      </c>
    </row>
    <row r="37" spans="1:8" ht="15" customHeight="1" x14ac:dyDescent="0.25">
      <c r="A37" s="59"/>
      <c r="B37" s="2">
        <v>45007</v>
      </c>
      <c r="C37" s="3">
        <v>2451719111</v>
      </c>
      <c r="D37" s="3">
        <v>56</v>
      </c>
      <c r="E37" s="4" t="s">
        <v>450</v>
      </c>
      <c r="F37" s="19" t="s">
        <v>425</v>
      </c>
      <c r="G37" s="5" t="s">
        <v>6</v>
      </c>
      <c r="H37" s="6">
        <v>3080</v>
      </c>
    </row>
    <row r="38" spans="1:8" ht="15" customHeight="1" x14ac:dyDescent="0.25">
      <c r="A38" s="59"/>
      <c r="B38" s="2">
        <v>45007</v>
      </c>
      <c r="C38" s="3">
        <v>2249867661</v>
      </c>
      <c r="D38" s="3">
        <v>38</v>
      </c>
      <c r="E38" s="4" t="s">
        <v>451</v>
      </c>
      <c r="F38" s="19" t="s">
        <v>425</v>
      </c>
      <c r="G38" s="5" t="s">
        <v>6</v>
      </c>
      <c r="H38" s="6">
        <v>2090</v>
      </c>
    </row>
    <row r="39" spans="1:8" ht="15" customHeight="1" x14ac:dyDescent="0.25">
      <c r="A39" s="59"/>
      <c r="B39" s="2">
        <v>45007</v>
      </c>
      <c r="C39" s="3">
        <v>2249867661</v>
      </c>
      <c r="D39" s="3">
        <v>28</v>
      </c>
      <c r="E39" s="4" t="s">
        <v>452</v>
      </c>
      <c r="F39" s="19" t="s">
        <v>425</v>
      </c>
      <c r="G39" s="5" t="s">
        <v>6</v>
      </c>
      <c r="H39" s="6">
        <v>1540</v>
      </c>
    </row>
    <row r="40" spans="1:8" ht="15" customHeight="1" x14ac:dyDescent="0.25">
      <c r="A40" s="59"/>
      <c r="B40" s="2">
        <v>45007</v>
      </c>
      <c r="C40" s="3">
        <v>3540337535</v>
      </c>
      <c r="D40" s="3">
        <v>56</v>
      </c>
      <c r="E40" s="4" t="s">
        <v>453</v>
      </c>
      <c r="F40" s="19" t="s">
        <v>425</v>
      </c>
      <c r="G40" s="5" t="s">
        <v>6</v>
      </c>
      <c r="H40" s="6">
        <v>3080</v>
      </c>
    </row>
    <row r="41" spans="1:8" ht="15" customHeight="1" x14ac:dyDescent="0.25">
      <c r="A41" s="59"/>
      <c r="B41" s="2">
        <v>45007</v>
      </c>
      <c r="C41" s="3">
        <v>4039003381</v>
      </c>
      <c r="D41" s="3">
        <v>18</v>
      </c>
      <c r="E41" s="4" t="s">
        <v>454</v>
      </c>
      <c r="F41" s="19" t="s">
        <v>425</v>
      </c>
      <c r="G41" s="5" t="s">
        <v>6</v>
      </c>
      <c r="H41" s="6">
        <v>990</v>
      </c>
    </row>
    <row r="42" spans="1:8" ht="15" customHeight="1" x14ac:dyDescent="0.25">
      <c r="A42" s="59"/>
      <c r="B42" s="2">
        <v>45007</v>
      </c>
      <c r="C42" s="3">
        <v>912671027</v>
      </c>
      <c r="D42" s="3">
        <v>52</v>
      </c>
      <c r="E42" s="4" t="s">
        <v>455</v>
      </c>
      <c r="F42" s="19" t="s">
        <v>425</v>
      </c>
      <c r="G42" s="5" t="s">
        <v>6</v>
      </c>
      <c r="H42" s="6">
        <v>2860</v>
      </c>
    </row>
    <row r="43" spans="1:8" ht="15" customHeight="1" x14ac:dyDescent="0.25">
      <c r="A43" s="59"/>
      <c r="B43" s="2">
        <v>45007</v>
      </c>
      <c r="C43" s="3">
        <v>2953331305</v>
      </c>
      <c r="D43" s="3">
        <v>18</v>
      </c>
      <c r="E43" s="4" t="s">
        <v>456</v>
      </c>
      <c r="F43" s="19" t="s">
        <v>425</v>
      </c>
      <c r="G43" s="5" t="s">
        <v>6</v>
      </c>
      <c r="H43" s="6">
        <v>990</v>
      </c>
    </row>
    <row r="44" spans="1:8" ht="15" customHeight="1" x14ac:dyDescent="0.25">
      <c r="A44" s="59"/>
      <c r="B44" s="2">
        <v>45007</v>
      </c>
      <c r="C44" s="3">
        <v>1173637009</v>
      </c>
      <c r="D44" s="3">
        <v>56</v>
      </c>
      <c r="E44" s="4" t="s">
        <v>239</v>
      </c>
      <c r="F44" s="19" t="s">
        <v>425</v>
      </c>
      <c r="G44" s="5" t="s">
        <v>6</v>
      </c>
      <c r="H44" s="6">
        <v>3080</v>
      </c>
    </row>
    <row r="45" spans="1:8" ht="15" customHeight="1" x14ac:dyDescent="0.25">
      <c r="A45" s="59"/>
      <c r="B45" s="2">
        <v>45007</v>
      </c>
      <c r="C45" s="3">
        <v>2691256257</v>
      </c>
      <c r="D45" s="3">
        <v>18</v>
      </c>
      <c r="E45" s="4" t="s">
        <v>457</v>
      </c>
      <c r="F45" s="19" t="s">
        <v>425</v>
      </c>
      <c r="G45" s="5" t="s">
        <v>6</v>
      </c>
      <c r="H45" s="6">
        <v>990</v>
      </c>
    </row>
    <row r="46" spans="1:8" ht="15" customHeight="1" x14ac:dyDescent="0.25">
      <c r="A46" s="59"/>
      <c r="B46" s="2">
        <v>45007</v>
      </c>
      <c r="C46" s="3">
        <v>3083944084</v>
      </c>
      <c r="D46" s="3">
        <v>56</v>
      </c>
      <c r="E46" s="4" t="s">
        <v>285</v>
      </c>
      <c r="F46" s="19" t="s">
        <v>425</v>
      </c>
      <c r="G46" s="5" t="s">
        <v>6</v>
      </c>
      <c r="H46" s="6">
        <v>3080</v>
      </c>
    </row>
    <row r="47" spans="1:8" ht="15" customHeight="1" x14ac:dyDescent="0.25">
      <c r="A47" s="59"/>
      <c r="B47" s="2">
        <v>45007</v>
      </c>
      <c r="C47" s="3">
        <v>3993979020</v>
      </c>
      <c r="D47" s="3">
        <v>19</v>
      </c>
      <c r="E47" s="4" t="s">
        <v>458</v>
      </c>
      <c r="F47" s="19" t="s">
        <v>425</v>
      </c>
      <c r="G47" s="5" t="s">
        <v>16</v>
      </c>
      <c r="H47" s="6">
        <v>1045</v>
      </c>
    </row>
    <row r="48" spans="1:8" ht="15" customHeight="1" x14ac:dyDescent="0.25">
      <c r="A48" s="59"/>
      <c r="B48" s="2">
        <v>45007</v>
      </c>
      <c r="C48" s="3">
        <v>1264406170</v>
      </c>
      <c r="D48" s="3">
        <v>19</v>
      </c>
      <c r="E48" s="4" t="s">
        <v>458</v>
      </c>
      <c r="F48" s="19" t="s">
        <v>425</v>
      </c>
      <c r="G48" s="5" t="s">
        <v>16</v>
      </c>
      <c r="H48" s="6">
        <v>1045</v>
      </c>
    </row>
    <row r="49" spans="1:8" ht="15" customHeight="1" x14ac:dyDescent="0.25">
      <c r="A49" s="59"/>
      <c r="B49" s="2">
        <v>45007</v>
      </c>
      <c r="C49" s="3">
        <v>671958247</v>
      </c>
      <c r="D49" s="3">
        <v>18</v>
      </c>
      <c r="E49" s="4" t="s">
        <v>458</v>
      </c>
      <c r="F49" s="19" t="s">
        <v>425</v>
      </c>
      <c r="G49" s="5" t="s">
        <v>16</v>
      </c>
      <c r="H49" s="6">
        <v>990</v>
      </c>
    </row>
    <row r="50" spans="1:8" ht="15" customHeight="1" x14ac:dyDescent="0.25">
      <c r="A50" s="59"/>
      <c r="B50" s="2">
        <v>45007</v>
      </c>
      <c r="C50" s="3">
        <v>1926057909</v>
      </c>
      <c r="D50" s="3">
        <v>56</v>
      </c>
      <c r="E50" s="4" t="s">
        <v>459</v>
      </c>
      <c r="F50" s="19" t="s">
        <v>425</v>
      </c>
      <c r="G50" s="5" t="s">
        <v>6</v>
      </c>
      <c r="H50" s="6">
        <v>3080</v>
      </c>
    </row>
    <row r="51" spans="1:8" ht="15" customHeight="1" x14ac:dyDescent="0.25">
      <c r="A51" s="59"/>
      <c r="B51" s="2">
        <v>45007</v>
      </c>
      <c r="C51" s="3">
        <v>3163180667</v>
      </c>
      <c r="D51" s="3">
        <v>20</v>
      </c>
      <c r="E51" s="4" t="s">
        <v>460</v>
      </c>
      <c r="F51" s="19" t="s">
        <v>425</v>
      </c>
      <c r="G51" s="5" t="s">
        <v>6</v>
      </c>
      <c r="H51" s="6">
        <v>1100</v>
      </c>
    </row>
    <row r="52" spans="1:8" ht="15" customHeight="1" x14ac:dyDescent="0.25">
      <c r="A52" s="59"/>
      <c r="B52" s="2">
        <v>45007</v>
      </c>
      <c r="C52" s="3">
        <v>3745530349</v>
      </c>
      <c r="D52" s="3">
        <v>28</v>
      </c>
      <c r="E52" s="4" t="s">
        <v>461</v>
      </c>
      <c r="F52" s="19" t="s">
        <v>425</v>
      </c>
      <c r="G52" s="5" t="s">
        <v>14</v>
      </c>
      <c r="H52" s="6">
        <v>1540</v>
      </c>
    </row>
    <row r="53" spans="1:8" ht="15" customHeight="1" x14ac:dyDescent="0.25">
      <c r="A53" s="59"/>
      <c r="B53" s="2">
        <v>45007</v>
      </c>
      <c r="C53" s="3">
        <v>2838974304</v>
      </c>
      <c r="D53" s="3">
        <v>28</v>
      </c>
      <c r="E53" s="4" t="s">
        <v>461</v>
      </c>
      <c r="F53" s="19" t="s">
        <v>425</v>
      </c>
      <c r="G53" s="5" t="s">
        <v>14</v>
      </c>
      <c r="H53" s="6">
        <v>1540</v>
      </c>
    </row>
    <row r="54" spans="1:8" ht="15" customHeight="1" x14ac:dyDescent="0.25">
      <c r="A54" s="59"/>
      <c r="B54" s="2">
        <v>45007</v>
      </c>
      <c r="C54" s="3">
        <v>1308445166</v>
      </c>
      <c r="D54" s="3">
        <v>20</v>
      </c>
      <c r="E54" s="4" t="s">
        <v>462</v>
      </c>
      <c r="F54" s="19" t="s">
        <v>425</v>
      </c>
      <c r="G54" s="5" t="s">
        <v>6</v>
      </c>
      <c r="H54" s="6">
        <v>1100</v>
      </c>
    </row>
    <row r="55" spans="1:8" ht="15" customHeight="1" x14ac:dyDescent="0.25">
      <c r="A55" s="59"/>
      <c r="B55" s="2">
        <v>45007</v>
      </c>
      <c r="C55" s="3">
        <v>3796386769</v>
      </c>
      <c r="D55" s="3">
        <v>45</v>
      </c>
      <c r="E55" s="4" t="s">
        <v>463</v>
      </c>
      <c r="F55" s="19" t="s">
        <v>425</v>
      </c>
      <c r="G55" s="5" t="s">
        <v>6</v>
      </c>
      <c r="H55" s="6">
        <v>2475</v>
      </c>
    </row>
    <row r="56" spans="1:8" ht="15" customHeight="1" x14ac:dyDescent="0.25">
      <c r="A56" s="59"/>
      <c r="B56" s="2">
        <v>45007</v>
      </c>
      <c r="C56" s="3">
        <v>1220429823</v>
      </c>
      <c r="D56" s="3">
        <v>18</v>
      </c>
      <c r="E56" s="4" t="s">
        <v>464</v>
      </c>
      <c r="F56" s="19" t="s">
        <v>425</v>
      </c>
      <c r="G56" s="5" t="s">
        <v>6</v>
      </c>
      <c r="H56" s="6">
        <v>990</v>
      </c>
    </row>
    <row r="57" spans="1:8" ht="15" customHeight="1" x14ac:dyDescent="0.25">
      <c r="A57" s="59"/>
      <c r="B57" s="2">
        <v>45007</v>
      </c>
      <c r="C57" s="3">
        <v>4229058015</v>
      </c>
      <c r="D57" s="3">
        <v>20</v>
      </c>
      <c r="E57" s="4" t="s">
        <v>465</v>
      </c>
      <c r="F57" s="19" t="s">
        <v>425</v>
      </c>
      <c r="G57" s="5" t="s">
        <v>6</v>
      </c>
      <c r="H57" s="6">
        <v>1100</v>
      </c>
    </row>
    <row r="58" spans="1:8" ht="15" customHeight="1" x14ac:dyDescent="0.25">
      <c r="A58" s="59"/>
      <c r="B58" s="2">
        <v>45007</v>
      </c>
      <c r="C58" s="3">
        <v>4229058015</v>
      </c>
      <c r="D58" s="3">
        <v>20</v>
      </c>
      <c r="E58" s="4" t="s">
        <v>466</v>
      </c>
      <c r="F58" s="19" t="s">
        <v>425</v>
      </c>
      <c r="G58" s="5" t="s">
        <v>6</v>
      </c>
      <c r="H58" s="6">
        <v>1100</v>
      </c>
    </row>
    <row r="59" spans="1:8" ht="15" customHeight="1" x14ac:dyDescent="0.25">
      <c r="A59" s="59"/>
      <c r="B59" s="2">
        <v>45007</v>
      </c>
      <c r="C59" s="3">
        <v>3728820500</v>
      </c>
      <c r="D59" s="3">
        <v>40</v>
      </c>
      <c r="E59" s="4" t="s">
        <v>467</v>
      </c>
      <c r="F59" s="19" t="s">
        <v>425</v>
      </c>
      <c r="G59" s="5" t="s">
        <v>14</v>
      </c>
      <c r="H59" s="6">
        <v>2200</v>
      </c>
    </row>
    <row r="60" spans="1:8" ht="15" customHeight="1" x14ac:dyDescent="0.25">
      <c r="A60" s="59"/>
      <c r="B60" s="2">
        <v>45007</v>
      </c>
      <c r="C60" s="3">
        <v>415450300</v>
      </c>
      <c r="D60" s="3">
        <v>52</v>
      </c>
      <c r="E60" s="4" t="s">
        <v>468</v>
      </c>
      <c r="F60" s="19" t="s">
        <v>425</v>
      </c>
      <c r="G60" s="5" t="s">
        <v>16</v>
      </c>
      <c r="H60" s="6">
        <v>2860</v>
      </c>
    </row>
    <row r="61" spans="1:8" ht="15" customHeight="1" x14ac:dyDescent="0.25">
      <c r="A61" s="59"/>
      <c r="B61" s="2">
        <v>45007</v>
      </c>
      <c r="C61" s="3">
        <v>415450300</v>
      </c>
      <c r="D61" s="3">
        <v>18</v>
      </c>
      <c r="E61" s="4" t="s">
        <v>469</v>
      </c>
      <c r="F61" s="19" t="s">
        <v>425</v>
      </c>
      <c r="G61" s="5" t="s">
        <v>16</v>
      </c>
      <c r="H61" s="6">
        <v>990</v>
      </c>
    </row>
    <row r="62" spans="1:8" ht="15" customHeight="1" x14ac:dyDescent="0.25">
      <c r="A62" s="59"/>
      <c r="B62" s="2">
        <v>45007</v>
      </c>
      <c r="C62" s="3">
        <v>58213620</v>
      </c>
      <c r="D62" s="3">
        <v>38</v>
      </c>
      <c r="E62" s="4" t="s">
        <v>470</v>
      </c>
      <c r="F62" s="19" t="s">
        <v>425</v>
      </c>
      <c r="G62" s="5" t="s">
        <v>6</v>
      </c>
      <c r="H62" s="6">
        <v>2090</v>
      </c>
    </row>
    <row r="63" spans="1:8" ht="15" customHeight="1" x14ac:dyDescent="0.25">
      <c r="A63" s="59"/>
      <c r="B63" s="2">
        <v>45007</v>
      </c>
      <c r="C63" s="3">
        <v>1013466873</v>
      </c>
      <c r="D63" s="3">
        <v>40</v>
      </c>
      <c r="E63" s="4" t="s">
        <v>471</v>
      </c>
      <c r="F63" s="19" t="s">
        <v>425</v>
      </c>
      <c r="G63" s="5" t="s">
        <v>6</v>
      </c>
      <c r="H63" s="6">
        <v>2200</v>
      </c>
    </row>
    <row r="64" spans="1:8" ht="15" customHeight="1" x14ac:dyDescent="0.25">
      <c r="A64" s="59"/>
      <c r="B64" s="2">
        <v>45007</v>
      </c>
      <c r="C64" s="3">
        <v>1013466873</v>
      </c>
      <c r="D64" s="3">
        <v>45</v>
      </c>
      <c r="E64" s="4" t="s">
        <v>472</v>
      </c>
      <c r="F64" s="19" t="s">
        <v>425</v>
      </c>
      <c r="G64" s="5" t="s">
        <v>6</v>
      </c>
      <c r="H64" s="6">
        <v>2475</v>
      </c>
    </row>
    <row r="65" spans="1:8" ht="15" customHeight="1" x14ac:dyDescent="0.25">
      <c r="A65" s="59"/>
      <c r="B65" s="2">
        <v>45007</v>
      </c>
      <c r="C65" s="3">
        <v>383601915</v>
      </c>
      <c r="D65" s="3">
        <v>40</v>
      </c>
      <c r="E65" s="4" t="s">
        <v>473</v>
      </c>
      <c r="F65" s="19" t="s">
        <v>425</v>
      </c>
      <c r="G65" s="5" t="s">
        <v>6</v>
      </c>
      <c r="H65" s="6">
        <v>2200</v>
      </c>
    </row>
    <row r="66" spans="1:8" ht="15" customHeight="1" x14ac:dyDescent="0.25">
      <c r="A66" s="59"/>
      <c r="B66" s="2">
        <v>45007</v>
      </c>
      <c r="C66" s="3">
        <v>3096857231</v>
      </c>
      <c r="D66" s="3">
        <v>106</v>
      </c>
      <c r="E66" s="4" t="s">
        <v>474</v>
      </c>
      <c r="F66" s="19" t="s">
        <v>425</v>
      </c>
      <c r="G66" s="5" t="s">
        <v>6</v>
      </c>
      <c r="H66" s="6">
        <v>5830</v>
      </c>
    </row>
    <row r="67" spans="1:8" ht="15" customHeight="1" x14ac:dyDescent="0.25">
      <c r="A67" s="59"/>
      <c r="B67" s="2">
        <v>45007</v>
      </c>
      <c r="C67" s="3">
        <v>1167737629</v>
      </c>
      <c r="D67" s="3">
        <v>56</v>
      </c>
      <c r="E67" s="4" t="s">
        <v>475</v>
      </c>
      <c r="F67" s="19" t="s">
        <v>425</v>
      </c>
      <c r="G67" s="5" t="s">
        <v>6</v>
      </c>
      <c r="H67" s="6">
        <v>3080</v>
      </c>
    </row>
    <row r="68" spans="1:8" ht="15" customHeight="1" x14ac:dyDescent="0.25">
      <c r="A68" s="59"/>
      <c r="B68" s="2">
        <v>45007</v>
      </c>
      <c r="C68" s="3">
        <v>4072293618</v>
      </c>
      <c r="D68" s="3">
        <v>22</v>
      </c>
      <c r="E68" s="4" t="s">
        <v>476</v>
      </c>
      <c r="F68" s="19" t="s">
        <v>425</v>
      </c>
      <c r="G68" s="5" t="s">
        <v>6</v>
      </c>
      <c r="H68" s="6">
        <v>1210</v>
      </c>
    </row>
    <row r="69" spans="1:8" ht="15" customHeight="1" x14ac:dyDescent="0.25">
      <c r="A69" s="59"/>
      <c r="B69" s="2">
        <v>45007</v>
      </c>
      <c r="C69" s="3">
        <v>106317149</v>
      </c>
      <c r="D69" s="3">
        <v>18</v>
      </c>
      <c r="E69" s="4" t="s">
        <v>477</v>
      </c>
      <c r="F69" s="19" t="s">
        <v>425</v>
      </c>
      <c r="G69" s="5" t="s">
        <v>6</v>
      </c>
      <c r="H69" s="6">
        <v>990</v>
      </c>
    </row>
    <row r="70" spans="1:8" ht="15" customHeight="1" x14ac:dyDescent="0.25">
      <c r="A70" s="59"/>
      <c r="B70" s="2">
        <v>45007</v>
      </c>
      <c r="C70" s="3">
        <v>3417981397</v>
      </c>
      <c r="D70" s="3">
        <v>46</v>
      </c>
      <c r="E70" s="4" t="s">
        <v>478</v>
      </c>
      <c r="F70" s="19" t="s">
        <v>439</v>
      </c>
      <c r="G70" s="5" t="s">
        <v>7</v>
      </c>
      <c r="H70" s="6">
        <v>2499.9987999999998</v>
      </c>
    </row>
    <row r="71" spans="1:8" ht="15" customHeight="1" x14ac:dyDescent="0.25">
      <c r="A71" s="59"/>
      <c r="B71" s="2">
        <v>45007</v>
      </c>
      <c r="C71" s="3">
        <v>3417981397</v>
      </c>
      <c r="D71" s="3">
        <v>8</v>
      </c>
      <c r="E71" s="4" t="s">
        <v>478</v>
      </c>
      <c r="F71" s="19" t="s">
        <v>440</v>
      </c>
      <c r="G71" s="5" t="s">
        <v>6</v>
      </c>
      <c r="H71" s="6">
        <v>618.5</v>
      </c>
    </row>
    <row r="72" spans="1:8" ht="15" customHeight="1" x14ac:dyDescent="0.25">
      <c r="A72" s="59"/>
      <c r="B72" s="2">
        <v>45007</v>
      </c>
      <c r="C72" s="3">
        <v>3417981397</v>
      </c>
      <c r="D72" s="3">
        <v>38</v>
      </c>
      <c r="E72" s="4" t="s">
        <v>479</v>
      </c>
      <c r="F72" s="19" t="s">
        <v>425</v>
      </c>
      <c r="G72" s="5" t="s">
        <v>7</v>
      </c>
      <c r="H72" s="6">
        <v>2090</v>
      </c>
    </row>
    <row r="73" spans="1:8" ht="15" customHeight="1" x14ac:dyDescent="0.25">
      <c r="A73" s="59"/>
      <c r="B73" s="2">
        <v>45007</v>
      </c>
      <c r="C73" s="3">
        <v>1152075261</v>
      </c>
      <c r="D73" s="3">
        <v>38</v>
      </c>
      <c r="E73" s="4" t="s">
        <v>480</v>
      </c>
      <c r="F73" s="19" t="s">
        <v>425</v>
      </c>
      <c r="G73" s="5" t="s">
        <v>6</v>
      </c>
      <c r="H73" s="6">
        <v>2090</v>
      </c>
    </row>
    <row r="74" spans="1:8" ht="15" customHeight="1" x14ac:dyDescent="0.25">
      <c r="A74" s="59"/>
      <c r="B74" s="2">
        <v>45007</v>
      </c>
      <c r="C74" s="3">
        <v>2368685044</v>
      </c>
      <c r="D74" s="3">
        <v>18</v>
      </c>
      <c r="E74" s="4" t="s">
        <v>481</v>
      </c>
      <c r="F74" s="19" t="s">
        <v>425</v>
      </c>
      <c r="G74" s="5" t="s">
        <v>6</v>
      </c>
      <c r="H74" s="6">
        <v>990</v>
      </c>
    </row>
    <row r="75" spans="1:8" ht="15" customHeight="1" x14ac:dyDescent="0.25">
      <c r="A75" s="59"/>
      <c r="B75" s="2">
        <v>45007</v>
      </c>
      <c r="C75" s="3">
        <v>1202210128</v>
      </c>
      <c r="D75" s="3">
        <v>42</v>
      </c>
      <c r="E75" s="4" t="s">
        <v>482</v>
      </c>
      <c r="F75" s="19" t="s">
        <v>425</v>
      </c>
      <c r="G75" s="5" t="s">
        <v>6</v>
      </c>
      <c r="H75" s="6">
        <v>2310</v>
      </c>
    </row>
    <row r="76" spans="1:8" ht="15" customHeight="1" x14ac:dyDescent="0.25">
      <c r="A76" s="59"/>
      <c r="B76" s="2">
        <v>45007</v>
      </c>
      <c r="C76" s="3">
        <v>3671379802</v>
      </c>
      <c r="D76" s="3">
        <v>38</v>
      </c>
      <c r="E76" s="4" t="s">
        <v>483</v>
      </c>
      <c r="F76" s="19" t="s">
        <v>425</v>
      </c>
      <c r="G76" s="5" t="s">
        <v>6</v>
      </c>
      <c r="H76" s="6">
        <v>2090</v>
      </c>
    </row>
    <row r="77" spans="1:8" ht="15" customHeight="1" x14ac:dyDescent="0.25">
      <c r="A77" s="59"/>
      <c r="B77" s="2">
        <v>45008</v>
      </c>
      <c r="C77" s="3">
        <v>1445284377</v>
      </c>
      <c r="D77" s="3">
        <v>38</v>
      </c>
      <c r="E77" s="4" t="s">
        <v>484</v>
      </c>
      <c r="F77" s="19" t="s">
        <v>425</v>
      </c>
      <c r="G77" s="5" t="s">
        <v>6</v>
      </c>
      <c r="H77" s="6">
        <v>2090</v>
      </c>
    </row>
    <row r="78" spans="1:8" ht="15" customHeight="1" x14ac:dyDescent="0.25">
      <c r="A78" s="59"/>
      <c r="B78" s="2">
        <v>45008</v>
      </c>
      <c r="C78" s="3">
        <v>1298810405</v>
      </c>
      <c r="D78" s="3">
        <v>20</v>
      </c>
      <c r="E78" s="4" t="s">
        <v>485</v>
      </c>
      <c r="F78" s="19" t="s">
        <v>425</v>
      </c>
      <c r="G78" s="5" t="s">
        <v>6</v>
      </c>
      <c r="H78" s="6">
        <v>1100</v>
      </c>
    </row>
    <row r="79" spans="1:8" ht="15" customHeight="1" x14ac:dyDescent="0.25">
      <c r="A79" s="59"/>
      <c r="B79" s="2">
        <v>45008</v>
      </c>
      <c r="C79" s="3">
        <v>3023061393</v>
      </c>
      <c r="D79" s="3">
        <v>38</v>
      </c>
      <c r="E79" s="4" t="s">
        <v>486</v>
      </c>
      <c r="F79" s="19" t="s">
        <v>425</v>
      </c>
      <c r="G79" s="5" t="s">
        <v>6</v>
      </c>
      <c r="H79" s="6">
        <v>2090</v>
      </c>
    </row>
    <row r="80" spans="1:8" ht="15" customHeight="1" x14ac:dyDescent="0.25">
      <c r="A80" s="59"/>
      <c r="B80" s="2">
        <v>45008</v>
      </c>
      <c r="C80" s="3">
        <v>3023061393</v>
      </c>
      <c r="D80" s="3">
        <v>18</v>
      </c>
      <c r="E80" s="4" t="s">
        <v>487</v>
      </c>
      <c r="F80" s="19" t="s">
        <v>425</v>
      </c>
      <c r="G80" s="5" t="s">
        <v>6</v>
      </c>
      <c r="H80" s="6">
        <v>990</v>
      </c>
    </row>
    <row r="81" spans="1:8" ht="15" customHeight="1" x14ac:dyDescent="0.25">
      <c r="A81" s="59"/>
      <c r="B81" s="2">
        <v>45008</v>
      </c>
      <c r="C81" s="3">
        <v>1870876111</v>
      </c>
      <c r="D81" s="3">
        <v>56</v>
      </c>
      <c r="E81" s="4" t="s">
        <v>488</v>
      </c>
      <c r="F81" s="19" t="s">
        <v>425</v>
      </c>
      <c r="G81" s="5" t="s">
        <v>6</v>
      </c>
      <c r="H81" s="6">
        <v>3080</v>
      </c>
    </row>
    <row r="82" spans="1:8" ht="15" customHeight="1" x14ac:dyDescent="0.25">
      <c r="A82" s="59"/>
      <c r="B82" s="2">
        <v>45008</v>
      </c>
      <c r="C82" s="3">
        <v>1411793040</v>
      </c>
      <c r="D82" s="3">
        <v>45</v>
      </c>
      <c r="E82" s="4" t="s">
        <v>489</v>
      </c>
      <c r="F82" s="19" t="s">
        <v>425</v>
      </c>
      <c r="G82" s="5" t="s">
        <v>6</v>
      </c>
      <c r="H82" s="6">
        <v>2475</v>
      </c>
    </row>
    <row r="83" spans="1:8" ht="15" customHeight="1" x14ac:dyDescent="0.25">
      <c r="A83" s="59"/>
      <c r="B83" s="2">
        <v>45008</v>
      </c>
      <c r="C83" s="3">
        <v>1263814921</v>
      </c>
      <c r="D83" s="3">
        <v>60</v>
      </c>
      <c r="E83" s="4" t="s">
        <v>490</v>
      </c>
      <c r="F83" s="19" t="s">
        <v>425</v>
      </c>
      <c r="G83" s="5" t="s">
        <v>6</v>
      </c>
      <c r="H83" s="6">
        <v>3300</v>
      </c>
    </row>
    <row r="84" spans="1:8" ht="15" customHeight="1" x14ac:dyDescent="0.25">
      <c r="A84" s="59"/>
      <c r="B84" s="2">
        <v>45008</v>
      </c>
      <c r="C84" s="3">
        <v>1922450086</v>
      </c>
      <c r="D84" s="3">
        <v>18</v>
      </c>
      <c r="E84" s="4" t="s">
        <v>491</v>
      </c>
      <c r="F84" s="19" t="s">
        <v>425</v>
      </c>
      <c r="G84" s="5" t="s">
        <v>6</v>
      </c>
      <c r="H84" s="6">
        <v>990</v>
      </c>
    </row>
    <row r="85" spans="1:8" ht="15" customHeight="1" x14ac:dyDescent="0.25">
      <c r="A85" s="59"/>
      <c r="B85" s="2">
        <v>45008</v>
      </c>
      <c r="C85" s="3">
        <v>451235774</v>
      </c>
      <c r="D85" s="3">
        <v>38</v>
      </c>
      <c r="E85" s="4" t="s">
        <v>492</v>
      </c>
      <c r="F85" s="19" t="s">
        <v>425</v>
      </c>
      <c r="G85" s="5" t="s">
        <v>6</v>
      </c>
      <c r="H85" s="6">
        <v>2090</v>
      </c>
    </row>
    <row r="86" spans="1:8" ht="15" customHeight="1" x14ac:dyDescent="0.25">
      <c r="A86" s="59"/>
      <c r="B86" s="2">
        <v>45008</v>
      </c>
      <c r="C86" s="3">
        <v>1463107791</v>
      </c>
      <c r="D86" s="3">
        <v>44</v>
      </c>
      <c r="E86" s="4" t="s">
        <v>493</v>
      </c>
      <c r="F86" s="19" t="s">
        <v>425</v>
      </c>
      <c r="G86" s="5" t="s">
        <v>6</v>
      </c>
      <c r="H86" s="6">
        <v>2420</v>
      </c>
    </row>
    <row r="87" spans="1:8" ht="15" customHeight="1" x14ac:dyDescent="0.25">
      <c r="A87" s="59"/>
      <c r="B87" s="2">
        <v>45008</v>
      </c>
      <c r="C87" s="3">
        <v>2723955054</v>
      </c>
      <c r="D87" s="3">
        <v>56</v>
      </c>
      <c r="E87" s="4" t="s">
        <v>494</v>
      </c>
      <c r="F87" s="19" t="s">
        <v>425</v>
      </c>
      <c r="G87" s="5" t="s">
        <v>6</v>
      </c>
      <c r="H87" s="6">
        <v>3080</v>
      </c>
    </row>
    <row r="88" spans="1:8" ht="15" customHeight="1" x14ac:dyDescent="0.25">
      <c r="A88" s="59"/>
      <c r="B88" s="2">
        <v>45008</v>
      </c>
      <c r="C88" s="3">
        <v>3011069025</v>
      </c>
      <c r="D88" s="3">
        <v>45</v>
      </c>
      <c r="E88" s="4" t="s">
        <v>495</v>
      </c>
      <c r="F88" s="19" t="s">
        <v>425</v>
      </c>
      <c r="G88" s="5" t="s">
        <v>6</v>
      </c>
      <c r="H88" s="6">
        <v>2475</v>
      </c>
    </row>
    <row r="89" spans="1:8" ht="15" customHeight="1" x14ac:dyDescent="0.25">
      <c r="A89" s="59"/>
      <c r="B89" s="2">
        <v>45008</v>
      </c>
      <c r="C89" s="3">
        <v>1912884266</v>
      </c>
      <c r="D89" s="3">
        <v>18</v>
      </c>
      <c r="E89" s="4" t="s">
        <v>496</v>
      </c>
      <c r="F89" s="19" t="s">
        <v>425</v>
      </c>
      <c r="G89" s="5" t="s">
        <v>6</v>
      </c>
      <c r="H89" s="6">
        <v>990</v>
      </c>
    </row>
    <row r="90" spans="1:8" ht="15" customHeight="1" x14ac:dyDescent="0.25">
      <c r="A90" s="59"/>
      <c r="B90" s="2">
        <v>45008</v>
      </c>
      <c r="C90" s="3">
        <v>3957739380</v>
      </c>
      <c r="D90" s="3">
        <v>56</v>
      </c>
      <c r="E90" s="4" t="s">
        <v>497</v>
      </c>
      <c r="F90" s="19" t="s">
        <v>425</v>
      </c>
      <c r="G90" s="5" t="s">
        <v>6</v>
      </c>
      <c r="H90" s="6">
        <v>3080</v>
      </c>
    </row>
    <row r="91" spans="1:8" ht="15" customHeight="1" x14ac:dyDescent="0.25">
      <c r="A91" s="59"/>
      <c r="B91" s="2">
        <v>45008</v>
      </c>
      <c r="C91" s="3">
        <v>1397444293</v>
      </c>
      <c r="D91" s="3">
        <v>56</v>
      </c>
      <c r="E91" s="4" t="s">
        <v>498</v>
      </c>
      <c r="F91" s="19" t="s">
        <v>425</v>
      </c>
      <c r="G91" s="5" t="s">
        <v>6</v>
      </c>
      <c r="H91" s="6">
        <v>3080</v>
      </c>
    </row>
    <row r="92" spans="1:8" ht="15" customHeight="1" x14ac:dyDescent="0.25">
      <c r="A92" s="59"/>
      <c r="B92" s="2">
        <v>45008</v>
      </c>
      <c r="C92" s="3">
        <v>2326414244</v>
      </c>
      <c r="D92" s="3">
        <v>40</v>
      </c>
      <c r="E92" s="4" t="s">
        <v>499</v>
      </c>
      <c r="F92" s="19" t="s">
        <v>425</v>
      </c>
      <c r="G92" s="5" t="s">
        <v>6</v>
      </c>
      <c r="H92" s="6">
        <v>2200</v>
      </c>
    </row>
    <row r="93" spans="1:8" ht="15" customHeight="1" x14ac:dyDescent="0.25">
      <c r="A93" s="59"/>
      <c r="B93" s="2">
        <v>45008</v>
      </c>
      <c r="C93" s="3">
        <v>2240236888</v>
      </c>
      <c r="D93" s="3">
        <v>48</v>
      </c>
      <c r="E93" s="4" t="s">
        <v>204</v>
      </c>
      <c r="F93" s="19" t="s">
        <v>425</v>
      </c>
      <c r="G93" s="5" t="s">
        <v>6</v>
      </c>
      <c r="H93" s="6">
        <v>2640</v>
      </c>
    </row>
    <row r="94" spans="1:8" ht="15" customHeight="1" x14ac:dyDescent="0.25">
      <c r="A94" s="59"/>
      <c r="B94" s="2">
        <v>45008</v>
      </c>
      <c r="C94" s="3">
        <v>2920629068</v>
      </c>
      <c r="D94" s="3">
        <v>56</v>
      </c>
      <c r="E94" s="4" t="s">
        <v>500</v>
      </c>
      <c r="F94" s="19" t="s">
        <v>425</v>
      </c>
      <c r="G94" s="5" t="s">
        <v>6</v>
      </c>
      <c r="H94" s="6">
        <v>3080</v>
      </c>
    </row>
    <row r="95" spans="1:8" ht="15" customHeight="1" x14ac:dyDescent="0.25">
      <c r="A95" s="59"/>
      <c r="B95" s="2">
        <v>45008</v>
      </c>
      <c r="C95" s="3">
        <v>3989062532</v>
      </c>
      <c r="D95" s="3">
        <v>18</v>
      </c>
      <c r="E95" s="4" t="s">
        <v>501</v>
      </c>
      <c r="F95" s="19" t="s">
        <v>425</v>
      </c>
      <c r="G95" s="5" t="s">
        <v>11</v>
      </c>
      <c r="H95" s="6">
        <v>990</v>
      </c>
    </row>
    <row r="96" spans="1:8" ht="15" customHeight="1" x14ac:dyDescent="0.25">
      <c r="A96" s="59"/>
      <c r="B96" s="2">
        <v>45008</v>
      </c>
      <c r="C96" s="3">
        <v>2935311782</v>
      </c>
      <c r="D96" s="3">
        <v>56</v>
      </c>
      <c r="E96" s="4" t="s">
        <v>502</v>
      </c>
      <c r="F96" s="19" t="s">
        <v>425</v>
      </c>
      <c r="G96" s="5" t="s">
        <v>6</v>
      </c>
      <c r="H96" s="6">
        <v>3080</v>
      </c>
    </row>
    <row r="97" spans="1:8" ht="15" customHeight="1" x14ac:dyDescent="0.25">
      <c r="A97" s="59"/>
      <c r="B97" s="2">
        <v>45008</v>
      </c>
      <c r="C97" s="3">
        <v>259737775</v>
      </c>
      <c r="D97" s="3">
        <v>58</v>
      </c>
      <c r="E97" s="4" t="s">
        <v>503</v>
      </c>
      <c r="F97" s="19" t="s">
        <v>425</v>
      </c>
      <c r="G97" s="5" t="s">
        <v>6</v>
      </c>
      <c r="H97" s="6">
        <v>3190</v>
      </c>
    </row>
    <row r="98" spans="1:8" ht="15" customHeight="1" x14ac:dyDescent="0.25">
      <c r="A98" s="59"/>
      <c r="B98" s="2">
        <v>45008</v>
      </c>
      <c r="C98" s="3">
        <v>259737775</v>
      </c>
      <c r="D98" s="3">
        <v>58</v>
      </c>
      <c r="E98" s="4" t="s">
        <v>351</v>
      </c>
      <c r="F98" s="19" t="s">
        <v>425</v>
      </c>
      <c r="G98" s="5" t="s">
        <v>6</v>
      </c>
      <c r="H98" s="6">
        <v>3190</v>
      </c>
    </row>
    <row r="99" spans="1:8" ht="15" customHeight="1" x14ac:dyDescent="0.25">
      <c r="A99" s="59"/>
      <c r="B99" s="2">
        <v>45008</v>
      </c>
      <c r="C99" s="3">
        <v>3480438760</v>
      </c>
      <c r="D99" s="3">
        <v>56</v>
      </c>
      <c r="E99" s="4" t="s">
        <v>504</v>
      </c>
      <c r="F99" s="19" t="s">
        <v>425</v>
      </c>
      <c r="G99" s="5" t="s">
        <v>6</v>
      </c>
      <c r="H99" s="6">
        <v>3080</v>
      </c>
    </row>
    <row r="100" spans="1:8" ht="15" customHeight="1" x14ac:dyDescent="0.25">
      <c r="A100" s="59"/>
      <c r="B100" s="2">
        <v>45008</v>
      </c>
      <c r="C100" s="3">
        <v>2736734749</v>
      </c>
      <c r="D100" s="3">
        <v>20</v>
      </c>
      <c r="E100" s="4" t="s">
        <v>505</v>
      </c>
      <c r="F100" s="19" t="s">
        <v>425</v>
      </c>
      <c r="G100" s="5" t="s">
        <v>6</v>
      </c>
      <c r="H100" s="6">
        <v>1100</v>
      </c>
    </row>
    <row r="101" spans="1:8" ht="15" customHeight="1" x14ac:dyDescent="0.25">
      <c r="A101" s="59"/>
      <c r="B101" s="2">
        <v>45008</v>
      </c>
      <c r="C101" s="3">
        <v>2942845903</v>
      </c>
      <c r="D101" s="3">
        <v>38</v>
      </c>
      <c r="E101" s="4" t="s">
        <v>506</v>
      </c>
      <c r="F101" s="19" t="s">
        <v>425</v>
      </c>
      <c r="G101" s="5" t="s">
        <v>6</v>
      </c>
      <c r="H101" s="6">
        <v>2090</v>
      </c>
    </row>
    <row r="102" spans="1:8" ht="15" customHeight="1" x14ac:dyDescent="0.25">
      <c r="A102" s="59"/>
      <c r="B102" s="2">
        <v>45008</v>
      </c>
      <c r="C102" s="3">
        <v>209798377</v>
      </c>
      <c r="D102" s="3">
        <v>38</v>
      </c>
      <c r="E102" s="4" t="s">
        <v>507</v>
      </c>
      <c r="F102" s="19" t="s">
        <v>425</v>
      </c>
      <c r="G102" s="5" t="s">
        <v>6</v>
      </c>
      <c r="H102" s="6">
        <v>2090</v>
      </c>
    </row>
    <row r="103" spans="1:8" ht="15" customHeight="1" x14ac:dyDescent="0.25">
      <c r="A103" s="59"/>
      <c r="B103" s="2">
        <v>45008</v>
      </c>
      <c r="C103" s="3">
        <v>298601897</v>
      </c>
      <c r="D103" s="3">
        <v>18</v>
      </c>
      <c r="E103" s="4" t="s">
        <v>508</v>
      </c>
      <c r="F103" s="19" t="s">
        <v>425</v>
      </c>
      <c r="G103" s="5" t="s">
        <v>6</v>
      </c>
      <c r="H103" s="6">
        <v>990</v>
      </c>
    </row>
    <row r="104" spans="1:8" ht="15" customHeight="1" x14ac:dyDescent="0.25">
      <c r="A104" s="59"/>
      <c r="B104" s="2">
        <v>45008</v>
      </c>
      <c r="C104" s="3">
        <v>3856419418</v>
      </c>
      <c r="D104" s="3">
        <v>56</v>
      </c>
      <c r="E104" s="4" t="s">
        <v>509</v>
      </c>
      <c r="F104" s="19" t="s">
        <v>425</v>
      </c>
      <c r="G104" s="5" t="s">
        <v>6</v>
      </c>
      <c r="H104" s="6">
        <v>3080</v>
      </c>
    </row>
    <row r="105" spans="1:8" ht="15" customHeight="1" x14ac:dyDescent="0.25">
      <c r="A105" s="59"/>
      <c r="B105" s="2">
        <v>45008</v>
      </c>
      <c r="C105" s="3">
        <v>1365918966</v>
      </c>
      <c r="D105" s="3">
        <v>18</v>
      </c>
      <c r="E105" s="4" t="s">
        <v>510</v>
      </c>
      <c r="F105" s="19" t="s">
        <v>425</v>
      </c>
      <c r="G105" s="5" t="s">
        <v>16</v>
      </c>
      <c r="H105" s="6">
        <v>990</v>
      </c>
    </row>
    <row r="106" spans="1:8" ht="15" customHeight="1" x14ac:dyDescent="0.25">
      <c r="A106" s="59"/>
      <c r="B106" s="2">
        <v>45008</v>
      </c>
      <c r="C106" s="3">
        <v>2618969878</v>
      </c>
      <c r="D106" s="3">
        <v>38</v>
      </c>
      <c r="E106" s="4" t="s">
        <v>511</v>
      </c>
      <c r="F106" s="19" t="s">
        <v>425</v>
      </c>
      <c r="G106" s="5" t="s">
        <v>6</v>
      </c>
      <c r="H106" s="6">
        <v>2090</v>
      </c>
    </row>
    <row r="107" spans="1:8" ht="15" customHeight="1" x14ac:dyDescent="0.25">
      <c r="A107" s="59"/>
      <c r="B107" s="2">
        <v>45008</v>
      </c>
      <c r="C107" s="3">
        <v>519458392</v>
      </c>
      <c r="D107" s="3">
        <v>38</v>
      </c>
      <c r="E107" s="4" t="s">
        <v>512</v>
      </c>
      <c r="F107" s="19" t="s">
        <v>425</v>
      </c>
      <c r="G107" s="5" t="s">
        <v>11</v>
      </c>
      <c r="H107" s="6">
        <v>2090</v>
      </c>
    </row>
    <row r="108" spans="1:8" ht="15" customHeight="1" x14ac:dyDescent="0.25">
      <c r="A108" s="59"/>
      <c r="B108" s="2">
        <v>45008</v>
      </c>
      <c r="C108" s="3">
        <v>3780854264</v>
      </c>
      <c r="D108" s="3">
        <v>35</v>
      </c>
      <c r="E108" s="4" t="s">
        <v>231</v>
      </c>
      <c r="F108" s="19" t="s">
        <v>425</v>
      </c>
      <c r="G108" s="5" t="s">
        <v>11</v>
      </c>
      <c r="H108" s="6">
        <v>1925</v>
      </c>
    </row>
    <row r="109" spans="1:8" ht="15" customHeight="1" x14ac:dyDescent="0.25">
      <c r="A109" s="59"/>
      <c r="B109" s="2">
        <v>45008</v>
      </c>
      <c r="C109" s="3">
        <v>1238844709</v>
      </c>
      <c r="D109" s="3">
        <v>56</v>
      </c>
      <c r="E109" s="4" t="s">
        <v>513</v>
      </c>
      <c r="F109" s="19" t="s">
        <v>425</v>
      </c>
      <c r="G109" s="5" t="s">
        <v>6</v>
      </c>
      <c r="H109" s="6">
        <v>3080</v>
      </c>
    </row>
    <row r="110" spans="1:8" ht="15" customHeight="1" x14ac:dyDescent="0.25">
      <c r="A110" s="59"/>
      <c r="B110" s="2">
        <v>45008</v>
      </c>
      <c r="C110" s="3">
        <v>1238844709</v>
      </c>
      <c r="D110" s="3">
        <v>56</v>
      </c>
      <c r="E110" s="4" t="s">
        <v>514</v>
      </c>
      <c r="F110" s="19" t="s">
        <v>425</v>
      </c>
      <c r="G110" s="5" t="s">
        <v>6</v>
      </c>
      <c r="H110" s="6">
        <v>3080</v>
      </c>
    </row>
    <row r="111" spans="1:8" ht="15" customHeight="1" x14ac:dyDescent="0.25">
      <c r="A111" s="59"/>
      <c r="B111" s="2">
        <v>45008</v>
      </c>
      <c r="C111" s="3">
        <v>3780329764</v>
      </c>
      <c r="D111" s="3">
        <v>38</v>
      </c>
      <c r="E111" s="4" t="s">
        <v>421</v>
      </c>
      <c r="F111" s="19" t="s">
        <v>425</v>
      </c>
      <c r="G111" s="5" t="s">
        <v>16</v>
      </c>
      <c r="H111" s="6">
        <v>2090</v>
      </c>
    </row>
    <row r="112" spans="1:8" ht="15" customHeight="1" x14ac:dyDescent="0.25">
      <c r="A112" s="59"/>
      <c r="B112" s="2">
        <v>45008</v>
      </c>
      <c r="C112" s="3">
        <v>1461603196</v>
      </c>
      <c r="D112" s="3">
        <v>45</v>
      </c>
      <c r="E112" s="4" t="s">
        <v>515</v>
      </c>
      <c r="F112" s="19" t="s">
        <v>425</v>
      </c>
      <c r="G112" s="5" t="s">
        <v>6</v>
      </c>
      <c r="H112" s="6">
        <v>2475</v>
      </c>
    </row>
    <row r="113" spans="1:8" ht="15" customHeight="1" x14ac:dyDescent="0.25">
      <c r="A113" s="59"/>
      <c r="B113" s="2">
        <v>45008</v>
      </c>
      <c r="C113" s="3">
        <v>1461603196</v>
      </c>
      <c r="D113" s="3">
        <v>22</v>
      </c>
      <c r="E113" s="4" t="s">
        <v>516</v>
      </c>
      <c r="F113" s="19" t="s">
        <v>425</v>
      </c>
      <c r="G113" s="5" t="s">
        <v>6</v>
      </c>
      <c r="H113" s="6">
        <v>1210</v>
      </c>
    </row>
    <row r="114" spans="1:8" ht="15" customHeight="1" x14ac:dyDescent="0.25">
      <c r="A114" s="59"/>
      <c r="B114" s="2">
        <v>45008</v>
      </c>
      <c r="C114" s="3">
        <v>1461603196</v>
      </c>
      <c r="D114" s="3">
        <v>56</v>
      </c>
      <c r="E114" s="4" t="s">
        <v>517</v>
      </c>
      <c r="F114" s="19" t="s">
        <v>425</v>
      </c>
      <c r="G114" s="5" t="s">
        <v>6</v>
      </c>
      <c r="H114" s="6">
        <v>3080</v>
      </c>
    </row>
    <row r="115" spans="1:8" ht="15" customHeight="1" x14ac:dyDescent="0.25">
      <c r="A115" s="59"/>
      <c r="B115" s="2">
        <v>45008</v>
      </c>
      <c r="C115" s="3">
        <v>2564378580</v>
      </c>
      <c r="D115" s="3">
        <v>56</v>
      </c>
      <c r="E115" s="4" t="s">
        <v>518</v>
      </c>
      <c r="F115" s="19" t="s">
        <v>425</v>
      </c>
      <c r="G115" s="5" t="s">
        <v>6</v>
      </c>
      <c r="H115" s="6">
        <v>3080</v>
      </c>
    </row>
    <row r="116" spans="1:8" ht="15" customHeight="1" x14ac:dyDescent="0.25">
      <c r="A116" s="59"/>
      <c r="B116" s="2">
        <v>45008</v>
      </c>
      <c r="C116" s="3">
        <v>3209643559</v>
      </c>
      <c r="D116" s="3">
        <v>18</v>
      </c>
      <c r="E116" s="4" t="s">
        <v>519</v>
      </c>
      <c r="F116" s="19" t="s">
        <v>425</v>
      </c>
      <c r="G116" s="5" t="s">
        <v>6</v>
      </c>
      <c r="H116" s="6">
        <v>990</v>
      </c>
    </row>
    <row r="117" spans="1:8" ht="15" customHeight="1" x14ac:dyDescent="0.25">
      <c r="A117" s="59"/>
      <c r="B117" s="2">
        <v>45008</v>
      </c>
      <c r="C117" s="3">
        <v>3209643559</v>
      </c>
      <c r="D117" s="3">
        <v>56</v>
      </c>
      <c r="E117" s="4" t="s">
        <v>520</v>
      </c>
      <c r="F117" s="19" t="s">
        <v>425</v>
      </c>
      <c r="G117" s="5" t="s">
        <v>6</v>
      </c>
      <c r="H117" s="6">
        <v>3080</v>
      </c>
    </row>
    <row r="118" spans="1:8" ht="15" customHeight="1" x14ac:dyDescent="0.25">
      <c r="A118" s="59"/>
      <c r="B118" s="2">
        <v>45008</v>
      </c>
      <c r="C118" s="3">
        <v>1417891745</v>
      </c>
      <c r="D118" s="3">
        <v>18</v>
      </c>
      <c r="E118" s="4" t="s">
        <v>521</v>
      </c>
      <c r="F118" s="19" t="s">
        <v>425</v>
      </c>
      <c r="G118" s="5" t="s">
        <v>6</v>
      </c>
      <c r="H118" s="6">
        <v>990</v>
      </c>
    </row>
    <row r="119" spans="1:8" ht="15" customHeight="1" x14ac:dyDescent="0.25">
      <c r="A119" s="59"/>
      <c r="B119" s="2">
        <v>45132</v>
      </c>
      <c r="C119" s="3">
        <v>2177908913</v>
      </c>
      <c r="D119" s="3">
        <v>56</v>
      </c>
      <c r="E119" s="4" t="s">
        <v>791</v>
      </c>
      <c r="F119" s="19" t="s">
        <v>425</v>
      </c>
      <c r="G119" s="5" t="s">
        <v>6</v>
      </c>
      <c r="H119" s="6">
        <v>3080</v>
      </c>
    </row>
    <row r="120" spans="1:8" ht="15" customHeight="1" x14ac:dyDescent="0.25">
      <c r="A120" s="59"/>
      <c r="B120" s="2">
        <v>45132</v>
      </c>
      <c r="C120" s="3">
        <v>1889290057</v>
      </c>
      <c r="D120" s="3">
        <v>22</v>
      </c>
      <c r="E120" s="4" t="s">
        <v>59</v>
      </c>
      <c r="F120" s="19" t="s">
        <v>425</v>
      </c>
      <c r="G120" s="5" t="s">
        <v>14</v>
      </c>
      <c r="H120" s="6">
        <v>1210</v>
      </c>
    </row>
    <row r="121" spans="1:8" ht="15" customHeight="1" x14ac:dyDescent="0.25">
      <c r="A121" s="59"/>
      <c r="B121" s="2">
        <v>45132</v>
      </c>
      <c r="C121" s="3">
        <v>3996139680</v>
      </c>
      <c r="D121" s="3">
        <v>50</v>
      </c>
      <c r="E121" s="4" t="s">
        <v>849</v>
      </c>
      <c r="F121" s="19" t="s">
        <v>425</v>
      </c>
      <c r="G121" s="5" t="s">
        <v>6</v>
      </c>
      <c r="H121" s="6">
        <v>2750</v>
      </c>
    </row>
    <row r="122" spans="1:8" ht="15" customHeight="1" x14ac:dyDescent="0.25">
      <c r="A122" s="59"/>
      <c r="B122" s="2">
        <v>45132</v>
      </c>
      <c r="C122" s="3">
        <v>3153478177</v>
      </c>
      <c r="D122" s="3">
        <v>25</v>
      </c>
      <c r="E122" s="4" t="s">
        <v>850</v>
      </c>
      <c r="F122" s="19" t="s">
        <v>425</v>
      </c>
      <c r="G122" s="5" t="s">
        <v>6</v>
      </c>
      <c r="H122" s="6">
        <v>1375</v>
      </c>
    </row>
    <row r="123" spans="1:8" ht="15" customHeight="1" x14ac:dyDescent="0.25">
      <c r="A123" s="59"/>
      <c r="B123" s="2">
        <v>45132</v>
      </c>
      <c r="C123" s="3">
        <v>2195606885</v>
      </c>
      <c r="D123" s="3">
        <v>60</v>
      </c>
      <c r="E123" s="4" t="s">
        <v>498</v>
      </c>
      <c r="F123" s="19" t="s">
        <v>425</v>
      </c>
      <c r="G123" s="5" t="s">
        <v>6</v>
      </c>
      <c r="H123" s="6">
        <v>3300</v>
      </c>
    </row>
    <row r="124" spans="1:8" ht="15" customHeight="1" x14ac:dyDescent="0.25">
      <c r="A124" s="59"/>
      <c r="B124" s="2">
        <v>45132</v>
      </c>
      <c r="C124" s="3">
        <v>436684875</v>
      </c>
      <c r="D124" s="3">
        <v>26</v>
      </c>
      <c r="E124" s="4" t="s">
        <v>851</v>
      </c>
      <c r="F124" s="19" t="s">
        <v>425</v>
      </c>
      <c r="G124" s="5" t="s">
        <v>6</v>
      </c>
      <c r="H124" s="6">
        <v>1430</v>
      </c>
    </row>
    <row r="125" spans="1:8" ht="15" customHeight="1" x14ac:dyDescent="0.25">
      <c r="A125" s="59"/>
      <c r="B125" s="2">
        <v>45132</v>
      </c>
      <c r="C125" s="3">
        <v>436684875</v>
      </c>
      <c r="D125" s="3">
        <v>36</v>
      </c>
      <c r="E125" s="4" t="s">
        <v>852</v>
      </c>
      <c r="F125" s="19" t="s">
        <v>425</v>
      </c>
      <c r="G125" s="5" t="s">
        <v>6</v>
      </c>
      <c r="H125" s="6">
        <v>1980</v>
      </c>
    </row>
    <row r="126" spans="1:8" ht="15" customHeight="1" x14ac:dyDescent="0.25">
      <c r="A126" s="59"/>
      <c r="B126" s="2">
        <v>45132</v>
      </c>
      <c r="C126" s="3">
        <v>4070983415</v>
      </c>
      <c r="D126" s="3">
        <v>38</v>
      </c>
      <c r="E126" s="4" t="s">
        <v>853</v>
      </c>
      <c r="F126" s="19" t="s">
        <v>425</v>
      </c>
      <c r="G126" s="5" t="s">
        <v>14</v>
      </c>
      <c r="H126" s="6">
        <v>2090</v>
      </c>
    </row>
    <row r="127" spans="1:8" ht="15" customHeight="1" x14ac:dyDescent="0.25">
      <c r="A127" s="59"/>
      <c r="B127" s="2">
        <v>45132</v>
      </c>
      <c r="C127" s="3">
        <v>2859027778</v>
      </c>
      <c r="D127" s="3">
        <v>56</v>
      </c>
      <c r="E127" s="4" t="s">
        <v>277</v>
      </c>
      <c r="F127" s="19" t="s">
        <v>425</v>
      </c>
      <c r="G127" s="5" t="s">
        <v>6</v>
      </c>
      <c r="H127" s="6">
        <v>3080</v>
      </c>
    </row>
    <row r="128" spans="1:8" ht="15" customHeight="1" x14ac:dyDescent="0.25">
      <c r="A128" s="59"/>
      <c r="B128" s="2">
        <v>45132</v>
      </c>
      <c r="C128" s="3">
        <v>2566148087</v>
      </c>
      <c r="D128" s="3">
        <v>36</v>
      </c>
      <c r="E128" s="4" t="s">
        <v>854</v>
      </c>
      <c r="F128" s="19" t="s">
        <v>425</v>
      </c>
      <c r="G128" s="5" t="s">
        <v>14</v>
      </c>
      <c r="H128" s="6">
        <v>1980</v>
      </c>
    </row>
    <row r="129" spans="1:8" ht="15" customHeight="1" x14ac:dyDescent="0.25">
      <c r="A129" s="59"/>
      <c r="B129" s="2">
        <v>45132</v>
      </c>
      <c r="C129" s="3">
        <v>4028843599</v>
      </c>
      <c r="D129" s="3">
        <v>18</v>
      </c>
      <c r="E129" s="4" t="s">
        <v>855</v>
      </c>
      <c r="F129" s="19" t="s">
        <v>425</v>
      </c>
      <c r="G129" s="5" t="s">
        <v>6</v>
      </c>
      <c r="H129" s="6">
        <v>990</v>
      </c>
    </row>
    <row r="130" spans="1:8" ht="15" customHeight="1" x14ac:dyDescent="0.25">
      <c r="A130" s="59"/>
      <c r="B130" s="2">
        <v>45132</v>
      </c>
      <c r="C130" s="3">
        <v>2884061201</v>
      </c>
      <c r="D130" s="3">
        <v>56</v>
      </c>
      <c r="E130" s="4" t="s">
        <v>856</v>
      </c>
      <c r="F130" s="19" t="s">
        <v>425</v>
      </c>
      <c r="G130" s="5" t="s">
        <v>6</v>
      </c>
      <c r="H130" s="6">
        <v>3080</v>
      </c>
    </row>
    <row r="131" spans="1:8" ht="15" customHeight="1" x14ac:dyDescent="0.25">
      <c r="A131" s="59"/>
      <c r="B131" s="2">
        <v>45132</v>
      </c>
      <c r="C131" s="3">
        <v>4237577382</v>
      </c>
      <c r="D131" s="3">
        <v>38</v>
      </c>
      <c r="E131" s="4" t="s">
        <v>857</v>
      </c>
      <c r="F131" s="19" t="s">
        <v>425</v>
      </c>
      <c r="G131" s="5" t="s">
        <v>6</v>
      </c>
      <c r="H131" s="6">
        <v>2090</v>
      </c>
    </row>
    <row r="132" spans="1:8" ht="15" customHeight="1" x14ac:dyDescent="0.25">
      <c r="A132" s="59"/>
      <c r="B132" s="2">
        <v>45132</v>
      </c>
      <c r="C132" s="3">
        <v>3551611490</v>
      </c>
      <c r="D132" s="3">
        <v>38</v>
      </c>
      <c r="E132" s="4" t="s">
        <v>858</v>
      </c>
      <c r="F132" s="19" t="s">
        <v>425</v>
      </c>
      <c r="G132" s="5" t="s">
        <v>6</v>
      </c>
      <c r="H132" s="6">
        <v>2090</v>
      </c>
    </row>
    <row r="133" spans="1:8" ht="15" customHeight="1" x14ac:dyDescent="0.25">
      <c r="A133" s="59"/>
      <c r="B133" s="2">
        <v>45132</v>
      </c>
      <c r="C133" s="3">
        <v>1501776724</v>
      </c>
      <c r="D133" s="3">
        <v>56</v>
      </c>
      <c r="E133" s="4" t="s">
        <v>297</v>
      </c>
      <c r="F133" s="19" t="s">
        <v>425</v>
      </c>
      <c r="G133" s="5" t="s">
        <v>6</v>
      </c>
      <c r="H133" s="6">
        <v>3080</v>
      </c>
    </row>
    <row r="134" spans="1:8" ht="15" customHeight="1" x14ac:dyDescent="0.25">
      <c r="A134" s="59"/>
      <c r="B134" s="2">
        <v>45132</v>
      </c>
      <c r="C134" s="3">
        <v>1460554513</v>
      </c>
      <c r="D134" s="3">
        <v>36</v>
      </c>
      <c r="E134" s="4" t="s">
        <v>859</v>
      </c>
      <c r="F134" s="19" t="s">
        <v>425</v>
      </c>
      <c r="G134" s="5" t="s">
        <v>16</v>
      </c>
      <c r="H134" s="6">
        <v>1980</v>
      </c>
    </row>
    <row r="135" spans="1:8" ht="15" customHeight="1" x14ac:dyDescent="0.25">
      <c r="A135" s="59"/>
      <c r="B135" s="2">
        <v>45132</v>
      </c>
      <c r="C135" s="3">
        <v>176898745</v>
      </c>
      <c r="D135" s="3">
        <v>29</v>
      </c>
      <c r="E135" s="4" t="s">
        <v>860</v>
      </c>
      <c r="F135" s="19" t="s">
        <v>863</v>
      </c>
      <c r="G135" s="5" t="s">
        <v>36</v>
      </c>
      <c r="H135" s="6">
        <v>1604.000092</v>
      </c>
    </row>
    <row r="136" spans="1:8" ht="15" customHeight="1" x14ac:dyDescent="0.25">
      <c r="A136" s="59"/>
      <c r="B136" s="2">
        <v>45132</v>
      </c>
      <c r="C136" s="3">
        <v>176898745</v>
      </c>
      <c r="D136" s="3">
        <v>1</v>
      </c>
      <c r="E136" s="4" t="s">
        <v>860</v>
      </c>
      <c r="F136" s="19" t="s">
        <v>864</v>
      </c>
      <c r="G136" s="5" t="s">
        <v>14</v>
      </c>
      <c r="H136" s="6">
        <v>46</v>
      </c>
    </row>
    <row r="137" spans="1:8" ht="15" customHeight="1" x14ac:dyDescent="0.25">
      <c r="A137" s="59"/>
      <c r="B137" s="2">
        <v>45132</v>
      </c>
      <c r="C137" s="3">
        <v>1557743294</v>
      </c>
      <c r="D137" s="3">
        <v>56</v>
      </c>
      <c r="E137" s="4" t="s">
        <v>861</v>
      </c>
      <c r="F137" s="19" t="s">
        <v>425</v>
      </c>
      <c r="G137" s="5" t="s">
        <v>6</v>
      </c>
      <c r="H137" s="6">
        <v>3080</v>
      </c>
    </row>
    <row r="138" spans="1:8" ht="15" customHeight="1" x14ac:dyDescent="0.25">
      <c r="A138" s="59"/>
      <c r="B138" s="2">
        <v>45132</v>
      </c>
      <c r="C138" s="3">
        <v>1761493628</v>
      </c>
      <c r="D138" s="3">
        <v>48</v>
      </c>
      <c r="E138" s="4" t="s">
        <v>862</v>
      </c>
      <c r="F138" s="19" t="s">
        <v>425</v>
      </c>
      <c r="G138" s="5" t="s">
        <v>14</v>
      </c>
      <c r="H138" s="6">
        <v>2640</v>
      </c>
    </row>
    <row r="139" spans="1:8" ht="15" customHeight="1" x14ac:dyDescent="0.25">
      <c r="A139" s="59"/>
      <c r="B139" s="2">
        <v>45132</v>
      </c>
      <c r="C139" s="3">
        <v>948324972</v>
      </c>
      <c r="D139" s="3">
        <v>35</v>
      </c>
      <c r="E139" s="4" t="s">
        <v>463</v>
      </c>
      <c r="F139" s="19" t="s">
        <v>425</v>
      </c>
      <c r="G139" s="5" t="s">
        <v>6</v>
      </c>
      <c r="H139" s="6">
        <v>1925</v>
      </c>
    </row>
    <row r="140" spans="1:8" ht="15" customHeight="1" x14ac:dyDescent="0.25">
      <c r="A140" s="59"/>
      <c r="B140" s="2">
        <v>45132</v>
      </c>
      <c r="C140" s="3">
        <v>1913015579</v>
      </c>
      <c r="D140" s="3">
        <v>60</v>
      </c>
      <c r="E140" s="4" t="s">
        <v>865</v>
      </c>
      <c r="F140" s="19" t="s">
        <v>425</v>
      </c>
      <c r="G140" s="5" t="s">
        <v>7</v>
      </c>
      <c r="H140" s="6">
        <v>3300</v>
      </c>
    </row>
    <row r="141" spans="1:8" ht="15" customHeight="1" x14ac:dyDescent="0.25">
      <c r="A141" s="59"/>
      <c r="B141" s="2">
        <v>45132</v>
      </c>
      <c r="C141" s="3">
        <v>2041988419</v>
      </c>
      <c r="D141" s="3">
        <v>56</v>
      </c>
      <c r="E141" s="4" t="s">
        <v>170</v>
      </c>
      <c r="F141" s="19" t="s">
        <v>425</v>
      </c>
      <c r="G141" s="5" t="s">
        <v>6</v>
      </c>
      <c r="H141" s="6">
        <v>3080</v>
      </c>
    </row>
    <row r="142" spans="1:8" ht="15" customHeight="1" x14ac:dyDescent="0.25">
      <c r="A142" s="59"/>
      <c r="B142" s="2">
        <v>45132</v>
      </c>
      <c r="C142" s="3">
        <v>3452915257</v>
      </c>
      <c r="D142" s="3">
        <v>38</v>
      </c>
      <c r="E142" s="4" t="s">
        <v>866</v>
      </c>
      <c r="F142" s="19" t="s">
        <v>425</v>
      </c>
      <c r="G142" s="5" t="s">
        <v>6</v>
      </c>
      <c r="H142" s="6">
        <v>2090</v>
      </c>
    </row>
    <row r="143" spans="1:8" ht="15" customHeight="1" x14ac:dyDescent="0.25">
      <c r="A143" s="59"/>
      <c r="B143" s="2">
        <v>45132</v>
      </c>
      <c r="C143" s="3">
        <v>3452915257</v>
      </c>
      <c r="D143" s="3">
        <v>42</v>
      </c>
      <c r="E143" s="4" t="s">
        <v>867</v>
      </c>
      <c r="F143" s="19" t="s">
        <v>425</v>
      </c>
      <c r="G143" s="5" t="s">
        <v>6</v>
      </c>
      <c r="H143" s="6">
        <v>2310</v>
      </c>
    </row>
    <row r="144" spans="1:8" ht="15" customHeight="1" x14ac:dyDescent="0.25">
      <c r="A144" s="59"/>
      <c r="B144" s="2">
        <v>45132</v>
      </c>
      <c r="C144" s="3">
        <v>1790854413</v>
      </c>
      <c r="D144" s="3">
        <v>38</v>
      </c>
      <c r="E144" s="4" t="s">
        <v>868</v>
      </c>
      <c r="F144" s="19" t="s">
        <v>425</v>
      </c>
      <c r="G144" s="5" t="s">
        <v>6</v>
      </c>
      <c r="H144" s="6">
        <v>2090</v>
      </c>
    </row>
    <row r="145" spans="1:8" ht="15" customHeight="1" x14ac:dyDescent="0.25">
      <c r="A145" s="59"/>
      <c r="B145" s="2">
        <v>45132</v>
      </c>
      <c r="C145" s="3">
        <v>19277236291</v>
      </c>
      <c r="D145" s="3">
        <v>18</v>
      </c>
      <c r="E145" s="4" t="s">
        <v>836</v>
      </c>
      <c r="F145" s="19" t="s">
        <v>425</v>
      </c>
      <c r="G145" s="5" t="s">
        <v>6</v>
      </c>
      <c r="H145" s="6">
        <v>990</v>
      </c>
    </row>
    <row r="146" spans="1:8" ht="15" customHeight="1" x14ac:dyDescent="0.25">
      <c r="A146" s="59"/>
      <c r="B146" s="2">
        <v>45132</v>
      </c>
      <c r="C146" s="3">
        <v>19277236291</v>
      </c>
      <c r="D146" s="3">
        <v>6</v>
      </c>
      <c r="E146" s="4" t="s">
        <v>869</v>
      </c>
      <c r="F146" s="19" t="s">
        <v>425</v>
      </c>
      <c r="G146" s="5" t="s">
        <v>6</v>
      </c>
      <c r="H146" s="6">
        <v>330</v>
      </c>
    </row>
    <row r="147" spans="1:8" ht="15" customHeight="1" x14ac:dyDescent="0.25">
      <c r="A147" s="59"/>
      <c r="B147" s="2">
        <v>45132</v>
      </c>
      <c r="C147" s="3">
        <v>3515892091</v>
      </c>
      <c r="D147" s="3">
        <v>56</v>
      </c>
      <c r="E147" s="4" t="s">
        <v>507</v>
      </c>
      <c r="F147" s="19" t="s">
        <v>425</v>
      </c>
      <c r="G147" s="5" t="s">
        <v>6</v>
      </c>
      <c r="H147" s="6">
        <v>3080</v>
      </c>
    </row>
    <row r="148" spans="1:8" ht="15" customHeight="1" x14ac:dyDescent="0.25">
      <c r="A148" s="59"/>
      <c r="B148" s="2">
        <v>45132</v>
      </c>
      <c r="C148" s="3">
        <v>4180886759</v>
      </c>
      <c r="D148" s="3">
        <v>56</v>
      </c>
      <c r="E148" s="4" t="s">
        <v>870</v>
      </c>
      <c r="F148" s="19" t="s">
        <v>425</v>
      </c>
      <c r="G148" s="5" t="s">
        <v>7</v>
      </c>
      <c r="H148" s="6">
        <v>3080</v>
      </c>
    </row>
    <row r="149" spans="1:8" ht="15" customHeight="1" x14ac:dyDescent="0.25">
      <c r="A149" s="59"/>
      <c r="B149" s="2">
        <v>45132</v>
      </c>
      <c r="C149" s="3">
        <v>307447011</v>
      </c>
      <c r="D149" s="3">
        <v>56</v>
      </c>
      <c r="E149" s="4" t="s">
        <v>871</v>
      </c>
      <c r="F149" s="19" t="s">
        <v>425</v>
      </c>
      <c r="G149" s="5" t="s">
        <v>6</v>
      </c>
      <c r="H149" s="6">
        <v>3080</v>
      </c>
    </row>
    <row r="150" spans="1:8" ht="15" customHeight="1" x14ac:dyDescent="0.25">
      <c r="A150" s="59"/>
      <c r="B150" s="2">
        <v>45132</v>
      </c>
      <c r="C150" s="3">
        <v>4113385054</v>
      </c>
      <c r="D150" s="3">
        <v>56</v>
      </c>
      <c r="E150" s="4" t="s">
        <v>284</v>
      </c>
      <c r="F150" s="19" t="s">
        <v>425</v>
      </c>
      <c r="G150" s="5" t="s">
        <v>16</v>
      </c>
      <c r="H150" s="6">
        <v>3080</v>
      </c>
    </row>
    <row r="151" spans="1:8" ht="15" customHeight="1" x14ac:dyDescent="0.25">
      <c r="A151" s="59"/>
      <c r="B151" s="2">
        <v>45132</v>
      </c>
      <c r="C151" s="3">
        <v>3663217554</v>
      </c>
      <c r="D151" s="3">
        <v>21</v>
      </c>
      <c r="E151" s="4" t="s">
        <v>345</v>
      </c>
      <c r="F151" s="19" t="s">
        <v>863</v>
      </c>
      <c r="G151" s="5" t="s">
        <v>6</v>
      </c>
      <c r="H151" s="6">
        <v>1139.999994</v>
      </c>
    </row>
    <row r="152" spans="1:8" ht="15" customHeight="1" x14ac:dyDescent="0.25">
      <c r="A152" s="59"/>
      <c r="B152" s="2">
        <v>45132</v>
      </c>
      <c r="C152" s="3">
        <v>3663217554</v>
      </c>
      <c r="D152" s="3">
        <v>27</v>
      </c>
      <c r="E152" s="4" t="s">
        <v>345</v>
      </c>
      <c r="F152" s="19" t="s">
        <v>864</v>
      </c>
      <c r="G152" s="5" t="s">
        <v>14</v>
      </c>
      <c r="H152" s="6">
        <v>1499.9985000000001</v>
      </c>
    </row>
    <row r="153" spans="1:8" ht="15" customHeight="1" x14ac:dyDescent="0.25">
      <c r="A153" s="59"/>
      <c r="B153" s="2">
        <v>45132</v>
      </c>
      <c r="C153" s="3">
        <v>2061846207</v>
      </c>
      <c r="D153" s="3">
        <v>38</v>
      </c>
      <c r="E153" s="4" t="s">
        <v>872</v>
      </c>
      <c r="F153" s="19" t="s">
        <v>425</v>
      </c>
      <c r="G153" s="5" t="s">
        <v>6</v>
      </c>
      <c r="H153" s="6">
        <v>2090</v>
      </c>
    </row>
    <row r="154" spans="1:8" ht="15" customHeight="1" x14ac:dyDescent="0.25">
      <c r="A154" s="59"/>
      <c r="B154" s="2">
        <v>45132</v>
      </c>
      <c r="C154" s="3">
        <v>530730695</v>
      </c>
      <c r="D154" s="3">
        <v>36</v>
      </c>
      <c r="E154" s="4" t="s">
        <v>873</v>
      </c>
      <c r="F154" s="19" t="s">
        <v>425</v>
      </c>
      <c r="G154" s="5" t="s">
        <v>6</v>
      </c>
      <c r="H154" s="6">
        <v>1980</v>
      </c>
    </row>
    <row r="155" spans="1:8" ht="15" customHeight="1" x14ac:dyDescent="0.25">
      <c r="A155" s="59"/>
      <c r="B155" s="2">
        <v>45132</v>
      </c>
      <c r="C155" s="3">
        <v>898319408</v>
      </c>
      <c r="D155" s="3">
        <v>72</v>
      </c>
      <c r="E155" s="4" t="s">
        <v>874</v>
      </c>
      <c r="F155" s="19" t="s">
        <v>425</v>
      </c>
      <c r="G155" s="5" t="s">
        <v>6</v>
      </c>
      <c r="H155" s="6">
        <v>3960</v>
      </c>
    </row>
    <row r="156" spans="1:8" ht="15" customHeight="1" x14ac:dyDescent="0.25">
      <c r="A156" s="59"/>
      <c r="B156" s="2">
        <v>45132</v>
      </c>
      <c r="C156" s="3">
        <v>3508160944</v>
      </c>
      <c r="D156" s="3">
        <v>18</v>
      </c>
      <c r="E156" s="4" t="s">
        <v>875</v>
      </c>
      <c r="F156" s="19" t="s">
        <v>425</v>
      </c>
      <c r="G156" s="5" t="s">
        <v>6</v>
      </c>
      <c r="H156" s="6">
        <v>990</v>
      </c>
    </row>
    <row r="157" spans="1:8" ht="15" customHeight="1" x14ac:dyDescent="0.25">
      <c r="A157" s="59"/>
      <c r="B157" s="2">
        <v>45132</v>
      </c>
      <c r="C157" s="3">
        <v>874335596</v>
      </c>
      <c r="D157" s="3">
        <v>58</v>
      </c>
      <c r="E157" s="4" t="s">
        <v>876</v>
      </c>
      <c r="F157" s="19" t="s">
        <v>425</v>
      </c>
      <c r="G157" s="5" t="s">
        <v>7</v>
      </c>
      <c r="H157" s="6">
        <v>3349.5</v>
      </c>
    </row>
    <row r="158" spans="1:8" ht="15" customHeight="1" x14ac:dyDescent="0.25">
      <c r="A158" s="59"/>
      <c r="B158" s="2">
        <v>45132</v>
      </c>
      <c r="C158" s="3">
        <v>3839051890</v>
      </c>
      <c r="D158" s="3">
        <v>16</v>
      </c>
      <c r="E158" s="4" t="s">
        <v>231</v>
      </c>
      <c r="F158" s="19" t="s">
        <v>425</v>
      </c>
      <c r="G158" s="5" t="s">
        <v>6</v>
      </c>
      <c r="H158" s="6">
        <v>880</v>
      </c>
    </row>
    <row r="159" spans="1:8" ht="15" customHeight="1" x14ac:dyDescent="0.25">
      <c r="A159" s="59"/>
      <c r="B159" s="2">
        <v>45132</v>
      </c>
      <c r="C159" s="3">
        <v>1982153592</v>
      </c>
      <c r="D159" s="3">
        <v>38</v>
      </c>
      <c r="E159" s="4" t="s">
        <v>877</v>
      </c>
      <c r="F159" s="19" t="s">
        <v>425</v>
      </c>
      <c r="G159" s="5" t="s">
        <v>6</v>
      </c>
      <c r="H159" s="6">
        <v>2090</v>
      </c>
    </row>
    <row r="160" spans="1:8" ht="15" customHeight="1" x14ac:dyDescent="0.25">
      <c r="A160" s="59"/>
      <c r="B160" s="2">
        <v>45133</v>
      </c>
      <c r="C160" s="3">
        <v>3353297179</v>
      </c>
      <c r="D160" s="3">
        <v>56</v>
      </c>
      <c r="E160" s="4" t="s">
        <v>878</v>
      </c>
      <c r="F160" s="19" t="s">
        <v>425</v>
      </c>
      <c r="G160" s="5" t="s">
        <v>6</v>
      </c>
      <c r="H160" s="6">
        <v>3080</v>
      </c>
    </row>
    <row r="161" spans="1:8" ht="15" customHeight="1" x14ac:dyDescent="0.25">
      <c r="A161" s="59"/>
      <c r="B161" s="2">
        <v>45133</v>
      </c>
      <c r="C161" s="3">
        <v>2382908286</v>
      </c>
      <c r="D161" s="3">
        <v>56</v>
      </c>
      <c r="E161" s="4" t="s">
        <v>879</v>
      </c>
      <c r="F161" s="19" t="s">
        <v>425</v>
      </c>
      <c r="G161" s="5" t="s">
        <v>11</v>
      </c>
      <c r="H161" s="6">
        <v>3080</v>
      </c>
    </row>
    <row r="162" spans="1:8" ht="15" customHeight="1" x14ac:dyDescent="0.25">
      <c r="A162" s="59"/>
      <c r="B162" s="2">
        <v>45133</v>
      </c>
      <c r="C162" s="3">
        <v>4091299038</v>
      </c>
      <c r="D162" s="3">
        <v>36</v>
      </c>
      <c r="E162" s="4" t="s">
        <v>509</v>
      </c>
      <c r="F162" s="19" t="s">
        <v>425</v>
      </c>
      <c r="G162" s="5" t="s">
        <v>6</v>
      </c>
      <c r="H162" s="6">
        <v>1980</v>
      </c>
    </row>
    <row r="163" spans="1:8" ht="15" customHeight="1" x14ac:dyDescent="0.25">
      <c r="A163" s="59"/>
      <c r="B163" s="2">
        <v>45133</v>
      </c>
      <c r="C163" s="3">
        <v>2540717330</v>
      </c>
      <c r="D163" s="3">
        <v>56</v>
      </c>
      <c r="E163" s="4" t="s">
        <v>880</v>
      </c>
      <c r="F163" s="19" t="s">
        <v>425</v>
      </c>
      <c r="G163" s="5" t="s">
        <v>6</v>
      </c>
      <c r="H163" s="6">
        <v>3080</v>
      </c>
    </row>
    <row r="164" spans="1:8" ht="15" customHeight="1" x14ac:dyDescent="0.25">
      <c r="A164" s="59"/>
      <c r="B164" s="2">
        <v>45133</v>
      </c>
      <c r="C164" s="3">
        <v>2200454019</v>
      </c>
      <c r="D164" s="3">
        <v>40</v>
      </c>
      <c r="E164" s="4" t="s">
        <v>881</v>
      </c>
      <c r="F164" s="19" t="s">
        <v>425</v>
      </c>
      <c r="G164" s="5" t="s">
        <v>6</v>
      </c>
      <c r="H164" s="6">
        <v>2200</v>
      </c>
    </row>
    <row r="165" spans="1:8" ht="15" customHeight="1" x14ac:dyDescent="0.25">
      <c r="A165" s="59"/>
      <c r="B165" s="2">
        <v>45133</v>
      </c>
      <c r="C165" s="3">
        <v>2152811330</v>
      </c>
      <c r="D165" s="3">
        <v>38</v>
      </c>
      <c r="E165" s="4" t="s">
        <v>745</v>
      </c>
      <c r="F165" s="19" t="s">
        <v>425</v>
      </c>
      <c r="G165" s="5" t="s">
        <v>14</v>
      </c>
      <c r="H165" s="6">
        <v>2090</v>
      </c>
    </row>
    <row r="166" spans="1:8" ht="15" customHeight="1" x14ac:dyDescent="0.25">
      <c r="A166" s="59"/>
      <c r="B166" s="2">
        <v>45133</v>
      </c>
      <c r="C166" s="3">
        <v>3461627953</v>
      </c>
      <c r="D166" s="3">
        <v>38</v>
      </c>
      <c r="E166" s="4" t="s">
        <v>387</v>
      </c>
      <c r="F166" s="19" t="s">
        <v>425</v>
      </c>
      <c r="G166" s="5" t="s">
        <v>16</v>
      </c>
      <c r="H166" s="6">
        <v>2090</v>
      </c>
    </row>
    <row r="167" spans="1:8" ht="15" customHeight="1" x14ac:dyDescent="0.25">
      <c r="A167" s="59"/>
      <c r="B167" s="2">
        <v>45133</v>
      </c>
      <c r="C167" s="3">
        <v>433275824</v>
      </c>
      <c r="D167" s="3">
        <v>18</v>
      </c>
      <c r="E167" s="4" t="s">
        <v>882</v>
      </c>
      <c r="F167" s="19" t="s">
        <v>425</v>
      </c>
      <c r="G167" s="5" t="s">
        <v>6</v>
      </c>
      <c r="H167" s="6">
        <v>990</v>
      </c>
    </row>
    <row r="168" spans="1:8" ht="15" customHeight="1" x14ac:dyDescent="0.25">
      <c r="A168" s="59"/>
      <c r="B168" s="2">
        <v>45133</v>
      </c>
      <c r="C168" s="3">
        <v>2562801780</v>
      </c>
      <c r="D168" s="3">
        <v>38</v>
      </c>
      <c r="E168" s="4" t="s">
        <v>883</v>
      </c>
      <c r="F168" s="19" t="s">
        <v>425</v>
      </c>
      <c r="G168" s="5" t="s">
        <v>6</v>
      </c>
      <c r="H168" s="6">
        <v>2090</v>
      </c>
    </row>
    <row r="169" spans="1:8" ht="15" customHeight="1" x14ac:dyDescent="0.25">
      <c r="A169" s="59"/>
      <c r="B169" s="2">
        <v>45133</v>
      </c>
      <c r="C169" s="3">
        <v>2961261451</v>
      </c>
      <c r="D169" s="3">
        <v>56</v>
      </c>
      <c r="E169" s="4" t="s">
        <v>884</v>
      </c>
      <c r="F169" s="19" t="s">
        <v>425</v>
      </c>
      <c r="G169" s="5" t="s">
        <v>6</v>
      </c>
      <c r="H169" s="6">
        <v>3080</v>
      </c>
    </row>
    <row r="170" spans="1:8" ht="15" customHeight="1" x14ac:dyDescent="0.25">
      <c r="A170" s="59"/>
      <c r="B170" s="2">
        <v>45133</v>
      </c>
      <c r="C170" s="3">
        <v>3831972343</v>
      </c>
      <c r="D170" s="3">
        <v>56</v>
      </c>
      <c r="E170" s="4" t="s">
        <v>885</v>
      </c>
      <c r="F170" s="19" t="s">
        <v>425</v>
      </c>
      <c r="G170" s="5" t="s">
        <v>6</v>
      </c>
      <c r="H170" s="6">
        <v>3080</v>
      </c>
    </row>
    <row r="171" spans="1:8" ht="15" customHeight="1" x14ac:dyDescent="0.25">
      <c r="A171" s="59"/>
      <c r="B171" s="2">
        <v>45133</v>
      </c>
      <c r="C171" s="3">
        <v>2037992407</v>
      </c>
      <c r="D171" s="3">
        <v>38</v>
      </c>
      <c r="E171" s="4" t="s">
        <v>886</v>
      </c>
      <c r="F171" s="19" t="s">
        <v>425</v>
      </c>
      <c r="G171" s="5" t="s">
        <v>6</v>
      </c>
      <c r="H171" s="6">
        <v>2090</v>
      </c>
    </row>
    <row r="172" spans="1:8" ht="15" customHeight="1" x14ac:dyDescent="0.25">
      <c r="A172" s="59"/>
      <c r="B172" s="2">
        <v>45133</v>
      </c>
      <c r="C172" s="3">
        <v>1373192599</v>
      </c>
      <c r="D172" s="3">
        <v>18</v>
      </c>
      <c r="E172" s="4" t="s">
        <v>887</v>
      </c>
      <c r="F172" s="19" t="s">
        <v>425</v>
      </c>
      <c r="G172" s="5" t="s">
        <v>6</v>
      </c>
      <c r="H172" s="6">
        <v>990</v>
      </c>
    </row>
    <row r="173" spans="1:8" ht="15" customHeight="1" x14ac:dyDescent="0.25">
      <c r="A173" s="59"/>
      <c r="B173" s="2">
        <v>45133</v>
      </c>
      <c r="C173" s="3">
        <v>3291104279</v>
      </c>
      <c r="D173" s="3">
        <v>38</v>
      </c>
      <c r="E173" s="4" t="s">
        <v>888</v>
      </c>
      <c r="F173" s="19" t="s">
        <v>425</v>
      </c>
      <c r="G173" s="5" t="s">
        <v>6</v>
      </c>
      <c r="H173" s="6">
        <v>2090</v>
      </c>
    </row>
    <row r="174" spans="1:8" ht="15" customHeight="1" x14ac:dyDescent="0.25">
      <c r="A174" s="59"/>
      <c r="B174" s="2">
        <v>45133</v>
      </c>
      <c r="C174" s="3">
        <v>3068022041</v>
      </c>
      <c r="D174" s="3">
        <v>38</v>
      </c>
      <c r="E174" s="4" t="s">
        <v>889</v>
      </c>
      <c r="F174" s="19" t="s">
        <v>425</v>
      </c>
      <c r="G174" s="5" t="s">
        <v>6</v>
      </c>
      <c r="H174" s="6">
        <v>2090</v>
      </c>
    </row>
    <row r="175" spans="1:8" ht="15" customHeight="1" x14ac:dyDescent="0.25">
      <c r="A175" s="59"/>
      <c r="B175" s="2">
        <v>45133</v>
      </c>
      <c r="C175" s="3">
        <v>1291731828</v>
      </c>
      <c r="D175" s="3">
        <v>24</v>
      </c>
      <c r="E175" s="4" t="s">
        <v>446</v>
      </c>
      <c r="F175" s="19" t="s">
        <v>425</v>
      </c>
      <c r="G175" s="5" t="s">
        <v>6</v>
      </c>
      <c r="H175" s="6">
        <v>1320</v>
      </c>
    </row>
    <row r="176" spans="1:8" ht="15" customHeight="1" x14ac:dyDescent="0.25">
      <c r="A176" s="59"/>
      <c r="B176" s="2">
        <v>45133</v>
      </c>
      <c r="C176" s="3">
        <v>2212122286</v>
      </c>
      <c r="D176" s="3">
        <v>56</v>
      </c>
      <c r="E176" s="4" t="s">
        <v>459</v>
      </c>
      <c r="F176" s="19" t="s">
        <v>425</v>
      </c>
      <c r="G176" s="5" t="s">
        <v>6</v>
      </c>
      <c r="H176" s="6">
        <v>3080</v>
      </c>
    </row>
    <row r="177" spans="1:8" ht="15" customHeight="1" x14ac:dyDescent="0.25">
      <c r="A177" s="59"/>
      <c r="B177" s="2">
        <v>45133</v>
      </c>
      <c r="C177" s="3">
        <v>2580562235</v>
      </c>
      <c r="D177" s="3">
        <v>58</v>
      </c>
      <c r="E177" s="4" t="s">
        <v>890</v>
      </c>
      <c r="F177" s="19" t="s">
        <v>425</v>
      </c>
      <c r="G177" s="5" t="s">
        <v>7</v>
      </c>
      <c r="H177" s="6">
        <v>3190</v>
      </c>
    </row>
    <row r="178" spans="1:8" ht="15" customHeight="1" x14ac:dyDescent="0.25">
      <c r="A178" s="59"/>
      <c r="B178" s="2">
        <v>45133</v>
      </c>
      <c r="C178" s="3">
        <v>3474933009</v>
      </c>
      <c r="D178" s="3">
        <v>38</v>
      </c>
      <c r="E178" s="4" t="s">
        <v>891</v>
      </c>
      <c r="F178" s="19" t="s">
        <v>425</v>
      </c>
      <c r="G178" s="5" t="s">
        <v>6</v>
      </c>
      <c r="H178" s="6">
        <v>2090</v>
      </c>
    </row>
    <row r="179" spans="1:8" ht="15" customHeight="1" x14ac:dyDescent="0.25">
      <c r="A179" s="59"/>
      <c r="B179" s="2">
        <v>45133</v>
      </c>
      <c r="C179" s="3">
        <v>1068450</v>
      </c>
      <c r="D179" s="3">
        <v>48</v>
      </c>
      <c r="E179" s="4" t="s">
        <v>892</v>
      </c>
      <c r="F179" s="19" t="s">
        <v>425</v>
      </c>
      <c r="G179" s="5" t="s">
        <v>6</v>
      </c>
      <c r="H179" s="6">
        <v>2640</v>
      </c>
    </row>
    <row r="180" spans="1:8" ht="15" customHeight="1" x14ac:dyDescent="0.25">
      <c r="A180" s="59"/>
      <c r="B180" s="2">
        <v>45133</v>
      </c>
      <c r="C180" s="3">
        <v>471223236</v>
      </c>
      <c r="D180" s="3">
        <v>38</v>
      </c>
      <c r="E180" s="4" t="s">
        <v>893</v>
      </c>
      <c r="F180" s="19" t="s">
        <v>425</v>
      </c>
      <c r="G180" s="5" t="s">
        <v>6</v>
      </c>
      <c r="H180" s="6">
        <v>2090</v>
      </c>
    </row>
    <row r="181" spans="1:8" ht="15" customHeight="1" x14ac:dyDescent="0.25">
      <c r="A181" s="59"/>
      <c r="B181" s="2">
        <v>45133</v>
      </c>
      <c r="C181" s="3">
        <v>3608954733</v>
      </c>
      <c r="D181" s="3">
        <v>38</v>
      </c>
      <c r="E181" s="4" t="s">
        <v>445</v>
      </c>
      <c r="F181" s="19" t="s">
        <v>425</v>
      </c>
      <c r="G181" s="5" t="s">
        <v>6</v>
      </c>
      <c r="H181" s="6">
        <v>2090</v>
      </c>
    </row>
    <row r="182" spans="1:8" ht="15" customHeight="1" x14ac:dyDescent="0.25">
      <c r="A182" s="59"/>
      <c r="B182" s="2">
        <v>45133</v>
      </c>
      <c r="C182" s="3">
        <v>3608954733</v>
      </c>
      <c r="D182" s="3">
        <v>38</v>
      </c>
      <c r="E182" s="4" t="s">
        <v>894</v>
      </c>
      <c r="F182" s="19" t="s">
        <v>425</v>
      </c>
      <c r="G182" s="5" t="s">
        <v>6</v>
      </c>
      <c r="H182" s="6">
        <v>2090</v>
      </c>
    </row>
    <row r="183" spans="1:8" ht="15" customHeight="1" x14ac:dyDescent="0.25">
      <c r="A183" s="59"/>
      <c r="B183" s="2">
        <v>45133</v>
      </c>
      <c r="C183" s="3">
        <v>2790474930</v>
      </c>
      <c r="D183" s="3">
        <v>40</v>
      </c>
      <c r="E183" s="4" t="s">
        <v>442</v>
      </c>
      <c r="F183" s="19" t="s">
        <v>425</v>
      </c>
      <c r="G183" s="5" t="s">
        <v>14</v>
      </c>
      <c r="H183" s="6">
        <v>2200</v>
      </c>
    </row>
    <row r="184" spans="1:8" ht="15" customHeight="1" x14ac:dyDescent="0.25">
      <c r="A184" s="59"/>
      <c r="B184" s="2">
        <v>45133</v>
      </c>
      <c r="C184" s="3">
        <v>919947562</v>
      </c>
      <c r="D184" s="3">
        <v>56</v>
      </c>
      <c r="E184" s="4" t="s">
        <v>502</v>
      </c>
      <c r="F184" s="19" t="s">
        <v>425</v>
      </c>
      <c r="G184" s="5" t="s">
        <v>6</v>
      </c>
      <c r="H184" s="6">
        <v>3080</v>
      </c>
    </row>
    <row r="185" spans="1:8" ht="15" customHeight="1" x14ac:dyDescent="0.25">
      <c r="A185" s="59"/>
      <c r="B185" s="2">
        <v>45133</v>
      </c>
      <c r="C185" s="3">
        <v>2613593525</v>
      </c>
      <c r="D185" s="3">
        <v>56</v>
      </c>
      <c r="E185" s="4" t="s">
        <v>895</v>
      </c>
      <c r="F185" s="19" t="s">
        <v>425</v>
      </c>
      <c r="G185" s="5" t="s">
        <v>6</v>
      </c>
      <c r="H185" s="6">
        <v>3080</v>
      </c>
    </row>
    <row r="186" spans="1:8" ht="15" customHeight="1" x14ac:dyDescent="0.25">
      <c r="A186" s="59"/>
      <c r="B186" s="2">
        <v>45133</v>
      </c>
      <c r="C186" s="3">
        <v>486952290</v>
      </c>
      <c r="D186" s="3">
        <v>50</v>
      </c>
      <c r="E186" s="4" t="s">
        <v>420</v>
      </c>
      <c r="F186" s="19" t="s">
        <v>425</v>
      </c>
      <c r="G186" s="5" t="s">
        <v>6</v>
      </c>
      <c r="H186" s="6">
        <v>2750</v>
      </c>
    </row>
    <row r="187" spans="1:8" ht="15" customHeight="1" x14ac:dyDescent="0.25">
      <c r="A187" s="59"/>
      <c r="B187" s="2">
        <v>45133</v>
      </c>
      <c r="C187" s="3">
        <v>2620997786</v>
      </c>
      <c r="D187" s="3">
        <v>38</v>
      </c>
      <c r="E187" s="4" t="s">
        <v>896</v>
      </c>
      <c r="F187" s="19" t="s">
        <v>425</v>
      </c>
      <c r="G187" s="5" t="s">
        <v>16</v>
      </c>
      <c r="H187" s="6">
        <v>2090</v>
      </c>
    </row>
    <row r="188" spans="1:8" ht="15" customHeight="1" x14ac:dyDescent="0.25">
      <c r="A188" s="59"/>
      <c r="B188" s="2">
        <v>45133</v>
      </c>
      <c r="C188" s="3">
        <v>978079599</v>
      </c>
      <c r="D188" s="3">
        <v>43</v>
      </c>
      <c r="E188" s="4" t="s">
        <v>897</v>
      </c>
      <c r="F188" s="19" t="s">
        <v>425</v>
      </c>
      <c r="G188" s="5" t="s">
        <v>6</v>
      </c>
      <c r="H188" s="6">
        <v>2365</v>
      </c>
    </row>
    <row r="189" spans="1:8" ht="15" customHeight="1" x14ac:dyDescent="0.25">
      <c r="A189" s="59"/>
      <c r="B189" s="2">
        <v>45133</v>
      </c>
      <c r="C189" s="3">
        <v>2781759605</v>
      </c>
      <c r="D189" s="3">
        <v>33</v>
      </c>
      <c r="E189" s="4" t="s">
        <v>898</v>
      </c>
      <c r="F189" s="19" t="s">
        <v>425</v>
      </c>
      <c r="G189" s="5" t="s">
        <v>6</v>
      </c>
      <c r="H189" s="6">
        <v>1815</v>
      </c>
    </row>
    <row r="190" spans="1:8" ht="15" customHeight="1" x14ac:dyDescent="0.25">
      <c r="A190" s="59"/>
      <c r="B190" s="2">
        <v>45133</v>
      </c>
      <c r="C190" s="3">
        <v>48054817</v>
      </c>
      <c r="D190" s="3">
        <v>36</v>
      </c>
      <c r="E190" s="4" t="s">
        <v>899</v>
      </c>
      <c r="F190" s="19" t="s">
        <v>425</v>
      </c>
      <c r="G190" s="5" t="s">
        <v>6</v>
      </c>
      <c r="H190" s="6">
        <v>1980</v>
      </c>
    </row>
    <row r="191" spans="1:8" ht="15" customHeight="1" x14ac:dyDescent="0.25">
      <c r="A191" s="59"/>
      <c r="B191" s="2">
        <v>45133</v>
      </c>
      <c r="C191" s="3">
        <v>3701687020</v>
      </c>
      <c r="D191" s="3">
        <v>42</v>
      </c>
      <c r="E191" s="4" t="s">
        <v>900</v>
      </c>
      <c r="F191" s="19" t="s">
        <v>425</v>
      </c>
      <c r="G191" s="5" t="s">
        <v>6</v>
      </c>
      <c r="H191" s="6">
        <v>2310</v>
      </c>
    </row>
    <row r="192" spans="1:8" ht="15" customHeight="1" x14ac:dyDescent="0.25">
      <c r="A192" s="59"/>
      <c r="B192" s="2">
        <v>45133</v>
      </c>
      <c r="C192" s="3">
        <v>1589529846</v>
      </c>
      <c r="D192" s="3">
        <v>18</v>
      </c>
      <c r="E192" s="4" t="s">
        <v>901</v>
      </c>
      <c r="F192" s="19" t="s">
        <v>425</v>
      </c>
      <c r="G192" s="5" t="s">
        <v>6</v>
      </c>
      <c r="H192" s="6">
        <v>990</v>
      </c>
    </row>
    <row r="193" spans="1:8" ht="15" customHeight="1" x14ac:dyDescent="0.25">
      <c r="A193" s="59"/>
      <c r="B193" s="2">
        <v>45133</v>
      </c>
      <c r="C193" s="3">
        <v>629492447</v>
      </c>
      <c r="D193" s="3">
        <v>3</v>
      </c>
      <c r="E193" s="4" t="s">
        <v>902</v>
      </c>
      <c r="F193" s="19" t="s">
        <v>863</v>
      </c>
      <c r="G193" s="5" t="s">
        <v>6</v>
      </c>
      <c r="H193" s="6">
        <v>183</v>
      </c>
    </row>
    <row r="194" spans="1:8" ht="15" customHeight="1" x14ac:dyDescent="0.25">
      <c r="A194" s="59"/>
      <c r="B194" s="2">
        <v>45133</v>
      </c>
      <c r="C194" s="3">
        <v>629492447</v>
      </c>
      <c r="D194" s="3">
        <v>35</v>
      </c>
      <c r="E194" s="4" t="s">
        <v>902</v>
      </c>
      <c r="F194" s="19" t="s">
        <v>864</v>
      </c>
      <c r="G194" s="5" t="s">
        <v>36</v>
      </c>
      <c r="H194" s="6">
        <v>1906.9998499999999</v>
      </c>
    </row>
    <row r="195" spans="1:8" ht="15" customHeight="1" x14ac:dyDescent="0.25">
      <c r="A195" s="59"/>
      <c r="B195" s="2">
        <v>45133</v>
      </c>
      <c r="C195" s="3">
        <v>2423342764</v>
      </c>
      <c r="D195" s="3">
        <v>24</v>
      </c>
      <c r="E195" s="4" t="s">
        <v>510</v>
      </c>
      <c r="F195" s="19" t="s">
        <v>425</v>
      </c>
      <c r="G195" s="5" t="s">
        <v>16</v>
      </c>
      <c r="H195" s="6">
        <v>1320</v>
      </c>
    </row>
    <row r="196" spans="1:8" ht="15" customHeight="1" x14ac:dyDescent="0.25">
      <c r="A196" s="59"/>
      <c r="B196" s="2">
        <v>45133</v>
      </c>
      <c r="C196" s="3">
        <v>2608089834</v>
      </c>
      <c r="D196" s="3">
        <v>16</v>
      </c>
      <c r="E196" s="4" t="s">
        <v>903</v>
      </c>
      <c r="F196" s="19" t="s">
        <v>425</v>
      </c>
      <c r="G196" s="5" t="s">
        <v>6</v>
      </c>
      <c r="H196" s="6">
        <v>880</v>
      </c>
    </row>
    <row r="197" spans="1:8" ht="15" customHeight="1" x14ac:dyDescent="0.25">
      <c r="A197" s="59"/>
      <c r="B197" s="2">
        <v>45133</v>
      </c>
      <c r="C197" s="3">
        <v>2940944595</v>
      </c>
      <c r="D197" s="3">
        <v>16</v>
      </c>
      <c r="E197" s="4" t="s">
        <v>470</v>
      </c>
      <c r="F197" s="19" t="s">
        <v>425</v>
      </c>
      <c r="G197" s="5" t="s">
        <v>6</v>
      </c>
      <c r="H197" s="6">
        <v>880</v>
      </c>
    </row>
    <row r="198" spans="1:8" ht="15" customHeight="1" x14ac:dyDescent="0.25">
      <c r="A198" s="59"/>
      <c r="B198" s="2">
        <v>45133</v>
      </c>
      <c r="C198" s="3">
        <v>4153757147</v>
      </c>
      <c r="D198" s="3">
        <v>56</v>
      </c>
      <c r="E198" s="4" t="s">
        <v>904</v>
      </c>
      <c r="F198" s="19" t="s">
        <v>425</v>
      </c>
      <c r="G198" s="5" t="s">
        <v>6</v>
      </c>
      <c r="H198" s="6">
        <v>3080</v>
      </c>
    </row>
    <row r="199" spans="1:8" ht="15" customHeight="1" x14ac:dyDescent="0.25">
      <c r="A199" s="59"/>
      <c r="B199" s="2">
        <v>45133</v>
      </c>
      <c r="C199" s="3">
        <v>2395557587</v>
      </c>
      <c r="D199" s="3">
        <v>18</v>
      </c>
      <c r="E199" s="4" t="s">
        <v>905</v>
      </c>
      <c r="F199" s="19" t="s">
        <v>425</v>
      </c>
      <c r="G199" s="5" t="s">
        <v>6</v>
      </c>
      <c r="H199" s="6">
        <v>990</v>
      </c>
    </row>
    <row r="200" spans="1:8" ht="15" customHeight="1" x14ac:dyDescent="0.25">
      <c r="A200" s="59"/>
      <c r="B200" s="2">
        <v>45133</v>
      </c>
      <c r="C200" s="3">
        <v>643058286</v>
      </c>
      <c r="D200" s="3">
        <v>56</v>
      </c>
      <c r="E200" s="4" t="s">
        <v>906</v>
      </c>
      <c r="F200" s="19" t="s">
        <v>425</v>
      </c>
      <c r="G200" s="5" t="s">
        <v>6</v>
      </c>
      <c r="H200" s="6">
        <v>3080</v>
      </c>
    </row>
    <row r="201" spans="1:8" ht="15" customHeight="1" x14ac:dyDescent="0.25">
      <c r="A201" s="59"/>
      <c r="B201" s="2">
        <v>45133</v>
      </c>
      <c r="C201" s="3">
        <v>3010086292</v>
      </c>
      <c r="D201" s="3">
        <v>106</v>
      </c>
      <c r="E201" s="4" t="s">
        <v>907</v>
      </c>
      <c r="F201" s="19" t="s">
        <v>425</v>
      </c>
      <c r="G201" s="5" t="s">
        <v>6</v>
      </c>
      <c r="H201" s="6">
        <v>5830</v>
      </c>
    </row>
    <row r="202" spans="1:8" ht="15" customHeight="1" x14ac:dyDescent="0.25">
      <c r="A202" s="59"/>
      <c r="B202" s="2">
        <v>45133</v>
      </c>
      <c r="C202" s="3">
        <v>531317245</v>
      </c>
      <c r="D202" s="3">
        <v>34</v>
      </c>
      <c r="E202" s="4" t="s">
        <v>908</v>
      </c>
      <c r="F202" s="19" t="s">
        <v>425</v>
      </c>
      <c r="G202" s="5" t="s">
        <v>6</v>
      </c>
      <c r="H202" s="6">
        <v>1870</v>
      </c>
    </row>
    <row r="203" spans="1:8" ht="15" customHeight="1" x14ac:dyDescent="0.25">
      <c r="A203" s="59"/>
      <c r="B203" s="2">
        <v>45133</v>
      </c>
      <c r="C203" s="3">
        <v>3606332593</v>
      </c>
      <c r="D203" s="3">
        <v>42</v>
      </c>
      <c r="E203" s="4" t="s">
        <v>515</v>
      </c>
      <c r="F203" s="19" t="s">
        <v>425</v>
      </c>
      <c r="G203" s="5" t="s">
        <v>6</v>
      </c>
      <c r="H203" s="6">
        <v>2310</v>
      </c>
    </row>
    <row r="204" spans="1:8" ht="15" customHeight="1" x14ac:dyDescent="0.25">
      <c r="A204" s="59"/>
      <c r="B204" s="2">
        <v>45133</v>
      </c>
      <c r="C204" s="3">
        <v>3606332593</v>
      </c>
      <c r="D204" s="3">
        <v>38</v>
      </c>
      <c r="E204" s="4" t="s">
        <v>516</v>
      </c>
      <c r="F204" s="19" t="s">
        <v>425</v>
      </c>
      <c r="G204" s="5" t="s">
        <v>6</v>
      </c>
      <c r="H204" s="6">
        <v>2090</v>
      </c>
    </row>
    <row r="205" spans="1:8" ht="15" customHeight="1" x14ac:dyDescent="0.25">
      <c r="A205" s="59"/>
      <c r="B205" s="2">
        <v>45133</v>
      </c>
      <c r="C205" s="3">
        <v>3606332593</v>
      </c>
      <c r="D205" s="3">
        <v>38</v>
      </c>
      <c r="E205" s="4" t="s">
        <v>909</v>
      </c>
      <c r="F205" s="19" t="s">
        <v>425</v>
      </c>
      <c r="G205" s="5" t="s">
        <v>6</v>
      </c>
      <c r="H205" s="6">
        <v>2090</v>
      </c>
    </row>
    <row r="206" spans="1:8" ht="15" customHeight="1" x14ac:dyDescent="0.25">
      <c r="A206" s="59"/>
      <c r="B206" s="2">
        <v>45133</v>
      </c>
      <c r="C206" s="3">
        <v>426397678</v>
      </c>
      <c r="D206" s="3">
        <v>56</v>
      </c>
      <c r="E206" s="4" t="s">
        <v>910</v>
      </c>
      <c r="F206" s="19" t="s">
        <v>425</v>
      </c>
      <c r="G206" s="5" t="s">
        <v>6</v>
      </c>
      <c r="H206" s="6">
        <v>3080</v>
      </c>
    </row>
    <row r="207" spans="1:8" ht="15" customHeight="1" x14ac:dyDescent="0.25">
      <c r="A207" s="59"/>
      <c r="B207" s="2">
        <v>45133</v>
      </c>
      <c r="C207" s="3">
        <v>1845052112</v>
      </c>
      <c r="D207" s="3">
        <v>56</v>
      </c>
      <c r="E207" s="4" t="s">
        <v>911</v>
      </c>
      <c r="F207" s="19" t="s">
        <v>425</v>
      </c>
      <c r="G207" s="5" t="s">
        <v>7</v>
      </c>
      <c r="H207" s="6">
        <v>3080</v>
      </c>
    </row>
    <row r="208" spans="1:8" ht="15" customHeight="1" x14ac:dyDescent="0.25">
      <c r="A208" s="59"/>
      <c r="B208" s="2">
        <v>45133</v>
      </c>
      <c r="C208" s="3">
        <v>2010794560</v>
      </c>
      <c r="D208" s="3">
        <v>1</v>
      </c>
      <c r="E208" s="4" t="s">
        <v>911</v>
      </c>
      <c r="F208" s="19" t="s">
        <v>913</v>
      </c>
      <c r="G208" s="5" t="s">
        <v>7</v>
      </c>
      <c r="H208" s="6">
        <v>154</v>
      </c>
    </row>
    <row r="209" spans="1:8" ht="15" customHeight="1" x14ac:dyDescent="0.25">
      <c r="A209" s="59"/>
      <c r="B209" s="2">
        <v>45133</v>
      </c>
      <c r="C209" s="3">
        <v>2998094692</v>
      </c>
      <c r="D209" s="3">
        <v>15</v>
      </c>
      <c r="E209" s="4" t="s">
        <v>912</v>
      </c>
      <c r="F209" s="19" t="s">
        <v>425</v>
      </c>
      <c r="G209" s="5" t="s">
        <v>6</v>
      </c>
      <c r="H209" s="6">
        <v>825</v>
      </c>
    </row>
    <row r="210" spans="1:8" ht="15" customHeight="1" x14ac:dyDescent="0.25">
      <c r="A210" s="59"/>
      <c r="B210" s="2">
        <v>45134</v>
      </c>
      <c r="C210" s="3">
        <v>2077771954</v>
      </c>
      <c r="D210" s="3">
        <v>38</v>
      </c>
      <c r="E210" s="4" t="s">
        <v>127</v>
      </c>
      <c r="F210" s="19" t="s">
        <v>425</v>
      </c>
      <c r="G210" s="5" t="s">
        <v>28</v>
      </c>
      <c r="H210" s="6">
        <v>2090</v>
      </c>
    </row>
    <row r="211" spans="1:8" ht="15" customHeight="1" x14ac:dyDescent="0.25">
      <c r="A211" s="59"/>
      <c r="B211" s="2">
        <v>45134</v>
      </c>
      <c r="C211" s="3">
        <v>4165880575</v>
      </c>
      <c r="D211" s="3">
        <v>22</v>
      </c>
      <c r="E211" s="4" t="s">
        <v>666</v>
      </c>
      <c r="F211" s="19" t="s">
        <v>425</v>
      </c>
      <c r="G211" s="5" t="s">
        <v>7</v>
      </c>
      <c r="H211" s="6">
        <v>1210</v>
      </c>
    </row>
    <row r="212" spans="1:8" ht="15" customHeight="1" x14ac:dyDescent="0.25">
      <c r="A212" s="59"/>
      <c r="B212" s="2">
        <v>45134</v>
      </c>
      <c r="C212" s="3">
        <v>1412124230</v>
      </c>
      <c r="D212" s="3">
        <v>20</v>
      </c>
      <c r="E212" s="4" t="s">
        <v>914</v>
      </c>
      <c r="F212" s="19" t="s">
        <v>863</v>
      </c>
      <c r="G212" s="5" t="s">
        <v>6</v>
      </c>
      <c r="H212" s="6">
        <v>1080</v>
      </c>
    </row>
    <row r="213" spans="1:8" ht="15" customHeight="1" x14ac:dyDescent="0.25">
      <c r="A213" s="59"/>
      <c r="B213" s="2">
        <v>45134</v>
      </c>
      <c r="C213" s="3">
        <v>1412124230</v>
      </c>
      <c r="D213" s="3">
        <v>36</v>
      </c>
      <c r="E213" s="4" t="s">
        <v>914</v>
      </c>
      <c r="F213" s="19" t="s">
        <v>864</v>
      </c>
      <c r="G213" s="5" t="s">
        <v>14</v>
      </c>
      <c r="H213" s="6">
        <v>1999.998</v>
      </c>
    </row>
    <row r="214" spans="1:8" ht="15" customHeight="1" x14ac:dyDescent="0.25">
      <c r="A214" s="59"/>
      <c r="B214" s="2">
        <v>45134</v>
      </c>
      <c r="C214" s="3">
        <v>957041589</v>
      </c>
      <c r="D214" s="3">
        <v>56</v>
      </c>
      <c r="E214" s="4" t="s">
        <v>820</v>
      </c>
      <c r="F214" s="19" t="s">
        <v>425</v>
      </c>
      <c r="G214" s="5" t="s">
        <v>6</v>
      </c>
      <c r="H214" s="6">
        <v>3080</v>
      </c>
    </row>
    <row r="215" spans="1:8" ht="15" customHeight="1" x14ac:dyDescent="0.25">
      <c r="A215" s="59"/>
      <c r="B215" s="2">
        <v>45134</v>
      </c>
      <c r="C215" s="3">
        <v>957041589</v>
      </c>
      <c r="D215" s="3">
        <v>40</v>
      </c>
      <c r="E215" s="4" t="s">
        <v>915</v>
      </c>
      <c r="F215" s="19" t="s">
        <v>425</v>
      </c>
      <c r="G215" s="5" t="s">
        <v>6</v>
      </c>
      <c r="H215" s="6">
        <v>2200</v>
      </c>
    </row>
    <row r="216" spans="1:8" ht="15" customHeight="1" x14ac:dyDescent="0.25">
      <c r="A216" s="59"/>
      <c r="B216" s="2">
        <v>45134</v>
      </c>
      <c r="C216" s="3">
        <v>1033062464</v>
      </c>
      <c r="D216" s="3">
        <v>56</v>
      </c>
      <c r="E216" s="4" t="s">
        <v>916</v>
      </c>
      <c r="F216" s="19" t="s">
        <v>425</v>
      </c>
      <c r="G216" s="5" t="s">
        <v>6</v>
      </c>
      <c r="H216" s="6">
        <v>3080</v>
      </c>
    </row>
    <row r="217" spans="1:8" ht="15" customHeight="1" x14ac:dyDescent="0.25">
      <c r="A217" s="59"/>
      <c r="B217" s="2">
        <v>45134</v>
      </c>
      <c r="C217" s="3">
        <v>456215681</v>
      </c>
      <c r="D217" s="3">
        <v>38</v>
      </c>
      <c r="E217" s="4" t="s">
        <v>917</v>
      </c>
      <c r="F217" s="19" t="s">
        <v>425</v>
      </c>
      <c r="G217" s="5" t="s">
        <v>6</v>
      </c>
      <c r="H217" s="6">
        <v>2090</v>
      </c>
    </row>
    <row r="218" spans="1:8" ht="15" customHeight="1" x14ac:dyDescent="0.25">
      <c r="A218" s="59"/>
      <c r="B218" s="2">
        <v>45134</v>
      </c>
      <c r="C218" s="3">
        <v>1208634071</v>
      </c>
      <c r="D218" s="3">
        <v>23</v>
      </c>
      <c r="E218" s="4" t="s">
        <v>555</v>
      </c>
      <c r="F218" s="19" t="s">
        <v>863</v>
      </c>
      <c r="G218" s="5" t="s">
        <v>14</v>
      </c>
      <c r="H218" s="6">
        <v>1299.9991</v>
      </c>
    </row>
    <row r="219" spans="1:8" ht="15" customHeight="1" x14ac:dyDescent="0.25">
      <c r="A219" s="59"/>
      <c r="B219" s="2">
        <v>45134</v>
      </c>
      <c r="C219" s="3">
        <v>1208634071</v>
      </c>
      <c r="D219" s="3">
        <v>15</v>
      </c>
      <c r="E219" s="4" t="s">
        <v>555</v>
      </c>
      <c r="F219" s="19" t="s">
        <v>864</v>
      </c>
      <c r="G219" s="5" t="s">
        <v>11</v>
      </c>
      <c r="H219" s="6">
        <v>789.99900000000002</v>
      </c>
    </row>
    <row r="220" spans="1:8" ht="15" customHeight="1" x14ac:dyDescent="0.25">
      <c r="A220" s="59"/>
      <c r="B220" s="2">
        <v>45134</v>
      </c>
      <c r="C220" s="3">
        <v>1617907080</v>
      </c>
      <c r="D220" s="3">
        <v>58</v>
      </c>
      <c r="E220" s="4" t="s">
        <v>443</v>
      </c>
      <c r="F220" s="19" t="s">
        <v>425</v>
      </c>
      <c r="G220" s="5" t="s">
        <v>6</v>
      </c>
      <c r="H220" s="6">
        <v>3190</v>
      </c>
    </row>
    <row r="221" spans="1:8" ht="15" customHeight="1" x14ac:dyDescent="0.25">
      <c r="A221" s="59"/>
      <c r="B221" s="2">
        <v>45134</v>
      </c>
      <c r="C221" s="3">
        <v>439045784</v>
      </c>
      <c r="D221" s="3">
        <v>36</v>
      </c>
      <c r="E221" s="4" t="s">
        <v>918</v>
      </c>
      <c r="F221" s="19" t="s">
        <v>425</v>
      </c>
      <c r="G221" s="5" t="s">
        <v>6</v>
      </c>
      <c r="H221" s="6">
        <v>1980</v>
      </c>
    </row>
    <row r="222" spans="1:8" ht="15" customHeight="1" x14ac:dyDescent="0.25">
      <c r="A222" s="59"/>
      <c r="B222" s="2">
        <v>45134</v>
      </c>
      <c r="C222" s="3">
        <v>2261336713</v>
      </c>
      <c r="D222" s="3">
        <v>56</v>
      </c>
      <c r="E222" s="4" t="s">
        <v>504</v>
      </c>
      <c r="F222" s="19" t="s">
        <v>425</v>
      </c>
      <c r="G222" s="5" t="s">
        <v>6</v>
      </c>
      <c r="H222" s="6">
        <v>3080</v>
      </c>
    </row>
    <row r="223" spans="1:8" ht="15" customHeight="1" x14ac:dyDescent="0.25">
      <c r="A223" s="59"/>
      <c r="B223" s="2">
        <v>45134</v>
      </c>
      <c r="C223" s="3">
        <v>3690809032</v>
      </c>
      <c r="D223" s="3">
        <v>44</v>
      </c>
      <c r="E223" s="4" t="s">
        <v>451</v>
      </c>
      <c r="F223" s="19" t="s">
        <v>425</v>
      </c>
      <c r="G223" s="5" t="s">
        <v>6</v>
      </c>
      <c r="H223" s="6">
        <v>2420</v>
      </c>
    </row>
    <row r="224" spans="1:8" ht="15" customHeight="1" x14ac:dyDescent="0.25">
      <c r="A224" s="59"/>
      <c r="B224" s="2">
        <v>45134</v>
      </c>
      <c r="C224" s="3">
        <v>2466991681</v>
      </c>
      <c r="D224" s="3">
        <v>56</v>
      </c>
      <c r="E224" s="4" t="s">
        <v>919</v>
      </c>
      <c r="F224" s="19" t="s">
        <v>425</v>
      </c>
      <c r="G224" s="5" t="s">
        <v>6</v>
      </c>
      <c r="H224" s="6">
        <v>3080</v>
      </c>
    </row>
    <row r="225" spans="1:8" ht="15" customHeight="1" x14ac:dyDescent="0.25">
      <c r="A225" s="59"/>
      <c r="B225" s="2">
        <v>45134</v>
      </c>
      <c r="C225" s="3">
        <v>656622969</v>
      </c>
      <c r="D225" s="3">
        <v>36</v>
      </c>
      <c r="E225" s="4" t="s">
        <v>920</v>
      </c>
      <c r="F225" s="19" t="s">
        <v>425</v>
      </c>
      <c r="G225" s="5" t="s">
        <v>6</v>
      </c>
      <c r="H225" s="6">
        <v>1980</v>
      </c>
    </row>
    <row r="226" spans="1:8" ht="15" customHeight="1" x14ac:dyDescent="0.25">
      <c r="A226" s="59"/>
      <c r="B226" s="2">
        <v>45134</v>
      </c>
      <c r="C226" s="3">
        <v>2976598169</v>
      </c>
      <c r="D226" s="3">
        <v>38</v>
      </c>
      <c r="E226" s="4" t="s">
        <v>921</v>
      </c>
      <c r="F226" s="19" t="s">
        <v>425</v>
      </c>
      <c r="G226" s="5" t="s">
        <v>6</v>
      </c>
      <c r="H226" s="6">
        <v>2090</v>
      </c>
    </row>
    <row r="227" spans="1:8" ht="15" customHeight="1" x14ac:dyDescent="0.25">
      <c r="A227" s="59"/>
      <c r="B227" s="2">
        <v>45134</v>
      </c>
      <c r="C227" s="3">
        <v>4254485713</v>
      </c>
      <c r="D227" s="3">
        <v>54</v>
      </c>
      <c r="E227" s="4" t="s">
        <v>922</v>
      </c>
      <c r="F227" s="19" t="s">
        <v>425</v>
      </c>
      <c r="G227" s="5" t="s">
        <v>16</v>
      </c>
      <c r="H227" s="6">
        <v>2970</v>
      </c>
    </row>
    <row r="228" spans="1:8" ht="15" customHeight="1" x14ac:dyDescent="0.25">
      <c r="A228" s="59"/>
      <c r="B228" s="2">
        <v>45134</v>
      </c>
      <c r="C228" s="3">
        <v>2485603937</v>
      </c>
      <c r="D228" s="3">
        <v>40</v>
      </c>
      <c r="E228" s="4" t="s">
        <v>475</v>
      </c>
      <c r="F228" s="19" t="s">
        <v>425</v>
      </c>
      <c r="G228" s="5" t="s">
        <v>6</v>
      </c>
      <c r="H228" s="6">
        <v>2200</v>
      </c>
    </row>
    <row r="229" spans="1:8" ht="15" customHeight="1" x14ac:dyDescent="0.25">
      <c r="A229" s="59"/>
      <c r="B229" s="2">
        <v>45134</v>
      </c>
      <c r="C229" s="3">
        <v>2786020212</v>
      </c>
      <c r="D229" s="3">
        <v>56</v>
      </c>
      <c r="E229" s="4" t="s">
        <v>923</v>
      </c>
      <c r="F229" s="19" t="s">
        <v>425</v>
      </c>
      <c r="G229" s="5" t="s">
        <v>6</v>
      </c>
      <c r="H229" s="6">
        <v>3080</v>
      </c>
    </row>
    <row r="230" spans="1:8" ht="15" customHeight="1" x14ac:dyDescent="0.25">
      <c r="A230" s="59"/>
      <c r="B230" s="2">
        <v>45134</v>
      </c>
      <c r="C230" s="3">
        <v>276316226</v>
      </c>
      <c r="D230" s="3">
        <v>38</v>
      </c>
      <c r="E230" s="4" t="s">
        <v>826</v>
      </c>
      <c r="F230" s="19" t="s">
        <v>425</v>
      </c>
      <c r="G230" s="5" t="s">
        <v>6</v>
      </c>
      <c r="H230" s="6">
        <v>2090</v>
      </c>
    </row>
    <row r="231" spans="1:8" ht="15" customHeight="1" x14ac:dyDescent="0.25">
      <c r="A231" s="59"/>
      <c r="B231" s="2">
        <v>45134</v>
      </c>
      <c r="C231" s="3">
        <v>26624679</v>
      </c>
      <c r="D231" s="3">
        <v>38</v>
      </c>
      <c r="E231" s="4" t="s">
        <v>924</v>
      </c>
      <c r="F231" s="19" t="s">
        <v>425</v>
      </c>
      <c r="G231" s="5" t="s">
        <v>6</v>
      </c>
      <c r="H231" s="6">
        <v>2090</v>
      </c>
    </row>
    <row r="232" spans="1:8" ht="15" customHeight="1" x14ac:dyDescent="0.25">
      <c r="A232" s="59"/>
      <c r="B232" s="2">
        <v>45134</v>
      </c>
      <c r="C232" s="3">
        <v>1062489803</v>
      </c>
      <c r="D232" s="3">
        <v>36</v>
      </c>
      <c r="E232" s="4" t="s">
        <v>925</v>
      </c>
      <c r="F232" s="19" t="s">
        <v>425</v>
      </c>
      <c r="G232" s="5" t="s">
        <v>6</v>
      </c>
      <c r="H232" s="6">
        <v>1980</v>
      </c>
    </row>
    <row r="233" spans="1:8" ht="15" customHeight="1" x14ac:dyDescent="0.25">
      <c r="A233" s="59"/>
      <c r="B233" s="2">
        <v>45134</v>
      </c>
      <c r="C233" s="3">
        <v>1381910926</v>
      </c>
      <c r="D233" s="3">
        <v>36</v>
      </c>
      <c r="E233" s="4" t="s">
        <v>926</v>
      </c>
      <c r="F233" s="19" t="s">
        <v>425</v>
      </c>
      <c r="G233" s="5" t="s">
        <v>6</v>
      </c>
      <c r="H233" s="6">
        <v>1980</v>
      </c>
    </row>
    <row r="234" spans="1:8" ht="15" customHeight="1" x14ac:dyDescent="0.25">
      <c r="A234" s="59"/>
      <c r="B234" s="2">
        <v>45134</v>
      </c>
      <c r="C234" s="3">
        <v>113986626</v>
      </c>
      <c r="D234" s="3">
        <v>45</v>
      </c>
      <c r="E234" s="4" t="s">
        <v>135</v>
      </c>
      <c r="F234" s="19" t="s">
        <v>425</v>
      </c>
      <c r="G234" s="5" t="s">
        <v>6</v>
      </c>
      <c r="H234" s="6">
        <v>2475</v>
      </c>
    </row>
    <row r="235" spans="1:8" ht="15" customHeight="1" x14ac:dyDescent="0.25">
      <c r="A235" s="59"/>
      <c r="B235" s="2">
        <v>45134</v>
      </c>
      <c r="C235" s="3">
        <v>2993176924</v>
      </c>
      <c r="D235" s="3">
        <v>38</v>
      </c>
      <c r="E235" s="4" t="s">
        <v>927</v>
      </c>
      <c r="F235" s="19" t="s">
        <v>425</v>
      </c>
      <c r="G235" s="5" t="s">
        <v>6</v>
      </c>
      <c r="H235" s="6">
        <v>2090</v>
      </c>
    </row>
    <row r="236" spans="1:8" ht="15" customHeight="1" x14ac:dyDescent="0.25">
      <c r="A236" s="59"/>
      <c r="B236" s="2">
        <v>45134</v>
      </c>
      <c r="C236" s="3">
        <v>808011289</v>
      </c>
      <c r="D236" s="3">
        <v>18</v>
      </c>
      <c r="E236" s="4" t="s">
        <v>123</v>
      </c>
      <c r="F236" s="19" t="s">
        <v>425</v>
      </c>
      <c r="G236" s="5" t="s">
        <v>6</v>
      </c>
      <c r="H236" s="6">
        <v>990</v>
      </c>
    </row>
    <row r="237" spans="1:8" ht="15" customHeight="1" x14ac:dyDescent="0.25">
      <c r="A237" s="59"/>
      <c r="B237" s="2">
        <v>45134</v>
      </c>
      <c r="C237" s="3">
        <v>3815327935</v>
      </c>
      <c r="D237" s="3">
        <v>60</v>
      </c>
      <c r="E237" s="4" t="s">
        <v>928</v>
      </c>
      <c r="F237" s="19" t="s">
        <v>425</v>
      </c>
      <c r="G237" s="5" t="s">
        <v>6</v>
      </c>
      <c r="H237" s="6">
        <v>3300</v>
      </c>
    </row>
    <row r="238" spans="1:8" ht="15" customHeight="1" x14ac:dyDescent="0.25">
      <c r="A238" s="59"/>
      <c r="B238" s="2">
        <v>45134</v>
      </c>
      <c r="C238" s="3">
        <v>2203272166</v>
      </c>
      <c r="D238" s="3">
        <v>60</v>
      </c>
      <c r="E238" s="4" t="s">
        <v>929</v>
      </c>
      <c r="F238" s="19" t="s">
        <v>425</v>
      </c>
      <c r="G238" s="5" t="s">
        <v>6</v>
      </c>
      <c r="H238" s="6">
        <v>3300</v>
      </c>
    </row>
    <row r="239" spans="1:8" ht="15" customHeight="1" x14ac:dyDescent="0.25">
      <c r="A239" s="59"/>
      <c r="B239" s="2">
        <v>45134</v>
      </c>
      <c r="C239" s="3">
        <v>2116567276</v>
      </c>
      <c r="D239" s="3">
        <v>54</v>
      </c>
      <c r="E239" s="4" t="s">
        <v>930</v>
      </c>
      <c r="F239" s="19" t="s">
        <v>863</v>
      </c>
      <c r="G239" s="5" t="s">
        <v>16</v>
      </c>
      <c r="H239" s="6">
        <v>2999.9999699999998</v>
      </c>
    </row>
    <row r="240" spans="1:8" ht="15" customHeight="1" x14ac:dyDescent="0.25">
      <c r="A240" s="59"/>
      <c r="B240" s="2">
        <v>45134</v>
      </c>
      <c r="C240" s="3">
        <v>2116567276</v>
      </c>
      <c r="D240" s="3">
        <v>2</v>
      </c>
      <c r="E240" s="4" t="s">
        <v>930</v>
      </c>
      <c r="F240" s="19" t="s">
        <v>864</v>
      </c>
      <c r="G240" s="5" t="s">
        <v>14</v>
      </c>
      <c r="H240" s="6">
        <v>80</v>
      </c>
    </row>
    <row r="241" spans="1:8" ht="15" customHeight="1" x14ac:dyDescent="0.25">
      <c r="A241" s="59"/>
      <c r="B241" s="2">
        <v>45134</v>
      </c>
      <c r="C241" s="3">
        <v>3044232500</v>
      </c>
      <c r="D241" s="3">
        <v>56</v>
      </c>
      <c r="E241" s="4" t="s">
        <v>931</v>
      </c>
      <c r="F241" s="19" t="s">
        <v>425</v>
      </c>
      <c r="G241" s="5" t="s">
        <v>6</v>
      </c>
      <c r="H241" s="6">
        <v>3080</v>
      </c>
    </row>
    <row r="242" spans="1:8" ht="15" customHeight="1" x14ac:dyDescent="0.25">
      <c r="A242" s="59"/>
      <c r="B242" s="2">
        <v>45134</v>
      </c>
      <c r="C242" s="3">
        <v>3486403485</v>
      </c>
      <c r="D242" s="3">
        <v>38</v>
      </c>
      <c r="E242" s="4" t="s">
        <v>932</v>
      </c>
      <c r="F242" s="19" t="s">
        <v>425</v>
      </c>
      <c r="G242" s="5" t="s">
        <v>6</v>
      </c>
      <c r="H242" s="6">
        <v>2090</v>
      </c>
    </row>
    <row r="243" spans="1:8" ht="15" customHeight="1" x14ac:dyDescent="0.25">
      <c r="A243" s="59"/>
      <c r="B243" s="2">
        <v>45134</v>
      </c>
      <c r="C243" s="3">
        <v>1225277637</v>
      </c>
      <c r="D243" s="3">
        <v>48</v>
      </c>
      <c r="E243" s="4" t="s">
        <v>933</v>
      </c>
      <c r="F243" s="19" t="s">
        <v>425</v>
      </c>
      <c r="G243" s="5" t="s">
        <v>6</v>
      </c>
      <c r="H243" s="6">
        <v>2640</v>
      </c>
    </row>
    <row r="244" spans="1:8" ht="15" customHeight="1" x14ac:dyDescent="0.25">
      <c r="A244" s="59"/>
      <c r="B244" s="2">
        <v>45134</v>
      </c>
      <c r="C244" s="3">
        <v>138822397</v>
      </c>
      <c r="D244" s="3">
        <v>56</v>
      </c>
      <c r="E244" s="4" t="s">
        <v>934</v>
      </c>
      <c r="F244" s="19" t="s">
        <v>425</v>
      </c>
      <c r="G244" s="5" t="s">
        <v>6</v>
      </c>
      <c r="H244" s="6">
        <v>3080</v>
      </c>
    </row>
    <row r="245" spans="1:8" ht="15" customHeight="1" x14ac:dyDescent="0.25">
      <c r="A245" s="59"/>
      <c r="B245" s="2">
        <v>45134</v>
      </c>
      <c r="C245" s="3">
        <v>138822397</v>
      </c>
      <c r="D245" s="3">
        <v>56</v>
      </c>
      <c r="E245" s="4" t="s">
        <v>935</v>
      </c>
      <c r="F245" s="19" t="s">
        <v>425</v>
      </c>
      <c r="G245" s="5" t="s">
        <v>6</v>
      </c>
      <c r="H245" s="6">
        <v>3080</v>
      </c>
    </row>
    <row r="246" spans="1:8" ht="15" customHeight="1" x14ac:dyDescent="0.25">
      <c r="A246" s="59"/>
      <c r="B246" s="2">
        <v>45134</v>
      </c>
      <c r="C246" s="3" t="s">
        <v>13</v>
      </c>
      <c r="D246" s="3">
        <v>38</v>
      </c>
      <c r="E246" s="4" t="s">
        <v>438</v>
      </c>
      <c r="F246" s="19" t="s">
        <v>425</v>
      </c>
      <c r="G246" s="5" t="s">
        <v>14</v>
      </c>
      <c r="H246" s="6">
        <v>2090</v>
      </c>
    </row>
    <row r="247" spans="1:8" ht="15" customHeight="1" x14ac:dyDescent="0.25">
      <c r="A247" s="59"/>
      <c r="B247" s="2">
        <v>45134</v>
      </c>
      <c r="C247" s="3" t="s">
        <v>13</v>
      </c>
      <c r="D247" s="3">
        <v>30</v>
      </c>
      <c r="E247" s="4" t="s">
        <v>936</v>
      </c>
      <c r="F247" s="19" t="s">
        <v>863</v>
      </c>
      <c r="G247" s="5" t="s">
        <v>14</v>
      </c>
      <c r="H247" s="6">
        <v>1599.9998999999998</v>
      </c>
    </row>
    <row r="248" spans="1:8" ht="15" customHeight="1" x14ac:dyDescent="0.25">
      <c r="A248" s="59"/>
      <c r="B248" s="2">
        <v>45134</v>
      </c>
      <c r="C248" s="3" t="s">
        <v>13</v>
      </c>
      <c r="D248" s="3">
        <v>26</v>
      </c>
      <c r="E248" s="4" t="s">
        <v>936</v>
      </c>
      <c r="F248" s="19" t="s">
        <v>864</v>
      </c>
      <c r="G248" s="5" t="s">
        <v>36</v>
      </c>
      <c r="H248" s="6">
        <v>1479.998</v>
      </c>
    </row>
    <row r="249" spans="1:8" ht="15" customHeight="1" x14ac:dyDescent="0.25">
      <c r="A249" s="59"/>
      <c r="B249" s="2">
        <v>45244</v>
      </c>
      <c r="C249" s="3">
        <v>953174132</v>
      </c>
      <c r="D249" s="3">
        <v>52</v>
      </c>
      <c r="E249" s="4" t="s">
        <v>1203</v>
      </c>
      <c r="F249" s="19" t="s">
        <v>425</v>
      </c>
      <c r="G249" s="5" t="s">
        <v>6</v>
      </c>
      <c r="H249" s="6">
        <v>2860</v>
      </c>
    </row>
    <row r="250" spans="1:8" ht="15" customHeight="1" x14ac:dyDescent="0.25">
      <c r="A250" s="59"/>
      <c r="B250" s="2">
        <v>45258</v>
      </c>
      <c r="C250" s="3">
        <v>2887008895</v>
      </c>
      <c r="D250" s="3">
        <v>38</v>
      </c>
      <c r="E250" s="4" t="s">
        <v>1301</v>
      </c>
      <c r="F250" s="19" t="s">
        <v>425</v>
      </c>
      <c r="G250" s="5" t="s">
        <v>6</v>
      </c>
      <c r="H250" s="6">
        <v>2090</v>
      </c>
    </row>
    <row r="251" spans="1:8" ht="15" customHeight="1" x14ac:dyDescent="0.25">
      <c r="A251" s="59"/>
      <c r="B251" s="2">
        <v>45258</v>
      </c>
      <c r="C251" s="3">
        <v>725306405</v>
      </c>
      <c r="D251" s="3">
        <v>44</v>
      </c>
      <c r="E251" s="4" t="s">
        <v>1302</v>
      </c>
      <c r="F251" s="19" t="s">
        <v>425</v>
      </c>
      <c r="G251" s="5" t="s">
        <v>14</v>
      </c>
      <c r="H251" s="6">
        <v>2420</v>
      </c>
    </row>
    <row r="252" spans="1:8" ht="15" customHeight="1" x14ac:dyDescent="0.25">
      <c r="A252" s="59"/>
      <c r="B252" s="2">
        <v>45258</v>
      </c>
      <c r="C252" s="3">
        <v>1569213552</v>
      </c>
      <c r="D252" s="3">
        <v>52</v>
      </c>
      <c r="E252" s="4" t="s">
        <v>1303</v>
      </c>
      <c r="F252" s="19" t="s">
        <v>425</v>
      </c>
      <c r="G252" s="5" t="s">
        <v>6</v>
      </c>
      <c r="H252" s="6">
        <v>2860</v>
      </c>
    </row>
    <row r="253" spans="1:8" ht="15" customHeight="1" x14ac:dyDescent="0.25">
      <c r="A253" s="59"/>
      <c r="B253" s="2">
        <v>45258</v>
      </c>
      <c r="C253" s="3">
        <v>3487647978</v>
      </c>
      <c r="D253" s="3">
        <v>58</v>
      </c>
      <c r="E253" s="4" t="s">
        <v>1304</v>
      </c>
      <c r="F253" s="19" t="s">
        <v>425</v>
      </c>
      <c r="G253" s="5" t="s">
        <v>16</v>
      </c>
      <c r="H253" s="6">
        <v>3190</v>
      </c>
    </row>
    <row r="254" spans="1:8" ht="15" customHeight="1" x14ac:dyDescent="0.25">
      <c r="A254" s="59"/>
      <c r="B254" s="2">
        <v>45258</v>
      </c>
      <c r="C254" s="3">
        <v>3716172493</v>
      </c>
      <c r="D254" s="3">
        <v>20</v>
      </c>
      <c r="E254" s="4" t="s">
        <v>1305</v>
      </c>
      <c r="F254" s="19" t="s">
        <v>425</v>
      </c>
      <c r="G254" s="5" t="s">
        <v>6</v>
      </c>
      <c r="H254" s="6">
        <v>1100</v>
      </c>
    </row>
    <row r="255" spans="1:8" ht="15" customHeight="1" x14ac:dyDescent="0.25">
      <c r="A255" s="59"/>
      <c r="B255" s="2">
        <v>45258</v>
      </c>
      <c r="C255" s="3">
        <v>3925623432</v>
      </c>
      <c r="D255" s="3">
        <v>58</v>
      </c>
      <c r="E255" s="4" t="s">
        <v>1306</v>
      </c>
      <c r="F255" s="19" t="s">
        <v>425</v>
      </c>
      <c r="G255" s="5" t="s">
        <v>6</v>
      </c>
      <c r="H255" s="6">
        <v>3190</v>
      </c>
    </row>
    <row r="256" spans="1:8" ht="15" customHeight="1" x14ac:dyDescent="0.25">
      <c r="A256" s="59"/>
      <c r="B256" s="2">
        <v>45258</v>
      </c>
      <c r="C256" s="3">
        <v>3340455666</v>
      </c>
      <c r="D256" s="3">
        <v>50</v>
      </c>
      <c r="E256" s="4" t="s">
        <v>1307</v>
      </c>
      <c r="F256" s="19" t="s">
        <v>425</v>
      </c>
      <c r="G256" s="5" t="s">
        <v>6</v>
      </c>
      <c r="H256" s="6">
        <v>2750</v>
      </c>
    </row>
    <row r="257" spans="1:8" ht="15" customHeight="1" x14ac:dyDescent="0.25">
      <c r="A257" s="59"/>
      <c r="B257" s="2">
        <v>45258</v>
      </c>
      <c r="C257" s="3">
        <v>3528411831</v>
      </c>
      <c r="D257" s="3">
        <v>40</v>
      </c>
      <c r="E257" s="4" t="s">
        <v>1308</v>
      </c>
      <c r="F257" s="19" t="s">
        <v>425</v>
      </c>
      <c r="G257" s="5" t="s">
        <v>6</v>
      </c>
      <c r="H257" s="6">
        <v>2200</v>
      </c>
    </row>
    <row r="258" spans="1:8" ht="15" customHeight="1" x14ac:dyDescent="0.25">
      <c r="A258" s="59"/>
      <c r="B258" s="2">
        <v>45258</v>
      </c>
      <c r="C258" s="3">
        <v>2781496799</v>
      </c>
      <c r="D258" s="3">
        <v>50</v>
      </c>
      <c r="E258" s="4" t="s">
        <v>1309</v>
      </c>
      <c r="F258" s="19" t="s">
        <v>425</v>
      </c>
      <c r="G258" s="5" t="s">
        <v>6</v>
      </c>
      <c r="H258" s="6">
        <v>2750</v>
      </c>
    </row>
    <row r="259" spans="1:8" ht="15" customHeight="1" x14ac:dyDescent="0.25">
      <c r="A259" s="59"/>
      <c r="B259" s="2">
        <v>45258</v>
      </c>
      <c r="C259" s="3">
        <v>3556199209</v>
      </c>
      <c r="D259" s="3">
        <v>37</v>
      </c>
      <c r="E259" s="4" t="s">
        <v>1310</v>
      </c>
      <c r="F259" s="19" t="s">
        <v>425</v>
      </c>
      <c r="G259" s="5" t="s">
        <v>36</v>
      </c>
      <c r="H259" s="6">
        <v>1983.2</v>
      </c>
    </row>
    <row r="260" spans="1:8" ht="15" customHeight="1" x14ac:dyDescent="0.25">
      <c r="A260" s="59"/>
      <c r="B260" s="2">
        <v>45258</v>
      </c>
      <c r="C260" s="3">
        <v>3556199209</v>
      </c>
      <c r="D260" s="3">
        <v>1</v>
      </c>
      <c r="E260" s="4" t="s">
        <v>1310</v>
      </c>
      <c r="F260" s="19" t="s">
        <v>425</v>
      </c>
      <c r="G260" s="5" t="s">
        <v>6</v>
      </c>
      <c r="H260" s="6">
        <v>107</v>
      </c>
    </row>
    <row r="261" spans="1:8" ht="15" customHeight="1" x14ac:dyDescent="0.25">
      <c r="A261" s="59"/>
      <c r="B261" s="2">
        <v>45258</v>
      </c>
      <c r="C261" s="3">
        <v>550586989</v>
      </c>
      <c r="D261" s="3">
        <v>18</v>
      </c>
      <c r="E261" s="4" t="s">
        <v>1311</v>
      </c>
      <c r="F261" s="19" t="s">
        <v>425</v>
      </c>
      <c r="G261" s="5" t="s">
        <v>6</v>
      </c>
      <c r="H261" s="6">
        <v>990</v>
      </c>
    </row>
    <row r="262" spans="1:8" ht="15" customHeight="1" x14ac:dyDescent="0.25">
      <c r="A262" s="59"/>
      <c r="B262" s="2">
        <v>45258</v>
      </c>
      <c r="C262" s="3">
        <v>3707650903</v>
      </c>
      <c r="D262" s="3">
        <v>56</v>
      </c>
      <c r="E262" s="4" t="s">
        <v>1312</v>
      </c>
      <c r="F262" s="19" t="s">
        <v>425</v>
      </c>
      <c r="G262" s="5" t="s">
        <v>6</v>
      </c>
      <c r="H262" s="6">
        <v>3080</v>
      </c>
    </row>
    <row r="263" spans="1:8" ht="15" customHeight="1" x14ac:dyDescent="0.25">
      <c r="A263" s="59"/>
      <c r="B263" s="2">
        <v>45258</v>
      </c>
      <c r="C263" s="3">
        <v>3707650903</v>
      </c>
      <c r="D263" s="3">
        <v>56</v>
      </c>
      <c r="E263" s="4" t="s">
        <v>1313</v>
      </c>
      <c r="F263" s="19" t="s">
        <v>425</v>
      </c>
      <c r="G263" s="5" t="s">
        <v>6</v>
      </c>
      <c r="H263" s="6">
        <v>3080</v>
      </c>
    </row>
    <row r="264" spans="1:8" ht="15" customHeight="1" x14ac:dyDescent="0.25">
      <c r="A264" s="59"/>
      <c r="B264" s="2">
        <v>45258</v>
      </c>
      <c r="C264" s="3">
        <v>2307868334</v>
      </c>
      <c r="D264" s="3">
        <v>58</v>
      </c>
      <c r="E264" s="4" t="s">
        <v>1082</v>
      </c>
      <c r="F264" s="19" t="s">
        <v>425</v>
      </c>
      <c r="G264" s="5" t="s">
        <v>6</v>
      </c>
      <c r="H264" s="6">
        <v>3190</v>
      </c>
    </row>
    <row r="265" spans="1:8" ht="15" customHeight="1" x14ac:dyDescent="0.25">
      <c r="A265" s="59"/>
      <c r="B265" s="2">
        <v>45258</v>
      </c>
      <c r="C265" s="3">
        <v>961364956</v>
      </c>
      <c r="D265" s="3">
        <v>56</v>
      </c>
      <c r="E265" s="4" t="s">
        <v>1314</v>
      </c>
      <c r="F265" s="19" t="s">
        <v>425</v>
      </c>
      <c r="G265" s="5" t="s">
        <v>6</v>
      </c>
      <c r="H265" s="6">
        <v>3080</v>
      </c>
    </row>
    <row r="266" spans="1:8" ht="15" customHeight="1" x14ac:dyDescent="0.25">
      <c r="A266" s="59"/>
      <c r="B266" s="2">
        <v>45258</v>
      </c>
      <c r="C266" s="3">
        <v>3498396542</v>
      </c>
      <c r="D266" s="3">
        <v>56</v>
      </c>
      <c r="E266" s="4" t="s">
        <v>1315</v>
      </c>
      <c r="F266" s="19" t="s">
        <v>425</v>
      </c>
      <c r="G266" s="5" t="s">
        <v>6</v>
      </c>
      <c r="H266" s="6">
        <v>3080</v>
      </c>
    </row>
    <row r="267" spans="1:8" ht="15" customHeight="1" x14ac:dyDescent="0.25">
      <c r="A267" s="59"/>
      <c r="B267" s="2">
        <v>45258</v>
      </c>
      <c r="C267" s="3">
        <v>3621142864</v>
      </c>
      <c r="D267" s="3">
        <v>58</v>
      </c>
      <c r="E267" s="4" t="s">
        <v>1316</v>
      </c>
      <c r="F267" s="19" t="s">
        <v>425</v>
      </c>
      <c r="G267" s="5" t="s">
        <v>7</v>
      </c>
      <c r="H267" s="6">
        <v>3190</v>
      </c>
    </row>
    <row r="268" spans="1:8" ht="15" customHeight="1" x14ac:dyDescent="0.25">
      <c r="A268" s="59"/>
      <c r="B268" s="2">
        <v>45258</v>
      </c>
      <c r="C268" s="3">
        <v>1034898637</v>
      </c>
      <c r="D268" s="3">
        <v>38</v>
      </c>
      <c r="E268" s="4" t="s">
        <v>1317</v>
      </c>
      <c r="F268" s="19" t="s">
        <v>425</v>
      </c>
      <c r="G268" s="5" t="s">
        <v>6</v>
      </c>
      <c r="H268" s="6">
        <v>2090</v>
      </c>
    </row>
    <row r="269" spans="1:8" ht="15" customHeight="1" x14ac:dyDescent="0.25">
      <c r="A269" s="59"/>
      <c r="B269" s="2">
        <v>45258</v>
      </c>
      <c r="C269" s="3">
        <v>2632599701</v>
      </c>
      <c r="D269" s="3">
        <v>38</v>
      </c>
      <c r="E269" s="4" t="s">
        <v>1318</v>
      </c>
      <c r="F269" s="19" t="s">
        <v>425</v>
      </c>
      <c r="G269" s="5" t="s">
        <v>14</v>
      </c>
      <c r="H269" s="6">
        <v>2090</v>
      </c>
    </row>
    <row r="270" spans="1:8" ht="15" customHeight="1" x14ac:dyDescent="0.25">
      <c r="A270" s="59"/>
      <c r="B270" s="2">
        <v>45258</v>
      </c>
      <c r="C270" s="3">
        <v>2250656848</v>
      </c>
      <c r="D270" s="3">
        <v>35</v>
      </c>
      <c r="E270" s="4" t="s">
        <v>1319</v>
      </c>
      <c r="F270" s="19" t="s">
        <v>425</v>
      </c>
      <c r="G270" s="5" t="s">
        <v>6</v>
      </c>
      <c r="H270" s="6">
        <v>1925</v>
      </c>
    </row>
    <row r="271" spans="1:8" ht="15" customHeight="1" x14ac:dyDescent="0.25">
      <c r="A271" s="59"/>
      <c r="B271" s="2">
        <v>45258</v>
      </c>
      <c r="C271" s="3">
        <v>3205189310</v>
      </c>
      <c r="D271" s="3">
        <v>18</v>
      </c>
      <c r="E271" s="4" t="s">
        <v>1320</v>
      </c>
      <c r="F271" s="19" t="s">
        <v>425</v>
      </c>
      <c r="G271" s="5" t="s">
        <v>6</v>
      </c>
      <c r="H271" s="6">
        <v>990</v>
      </c>
    </row>
    <row r="272" spans="1:8" ht="15" customHeight="1" x14ac:dyDescent="0.25">
      <c r="A272" s="59"/>
      <c r="B272" s="2">
        <v>45258</v>
      </c>
      <c r="C272" s="3">
        <v>2934457395</v>
      </c>
      <c r="D272" s="3">
        <v>56</v>
      </c>
      <c r="E272" s="4" t="s">
        <v>1321</v>
      </c>
      <c r="F272" s="19" t="s">
        <v>425</v>
      </c>
      <c r="G272" s="5" t="s">
        <v>6</v>
      </c>
      <c r="H272" s="6">
        <v>3080</v>
      </c>
    </row>
    <row r="273" spans="1:8" ht="15" customHeight="1" x14ac:dyDescent="0.25">
      <c r="A273" s="59"/>
      <c r="B273" s="2">
        <v>45258</v>
      </c>
      <c r="C273" s="3">
        <v>2603959671</v>
      </c>
      <c r="D273" s="3">
        <v>20</v>
      </c>
      <c r="E273" s="4" t="s">
        <v>1322</v>
      </c>
      <c r="F273" s="19" t="s">
        <v>425</v>
      </c>
      <c r="G273" s="5" t="s">
        <v>6</v>
      </c>
      <c r="H273" s="6">
        <v>1100</v>
      </c>
    </row>
    <row r="274" spans="1:8" ht="15" customHeight="1" x14ac:dyDescent="0.25">
      <c r="A274" s="59"/>
      <c r="B274" s="2">
        <v>45258</v>
      </c>
      <c r="C274" s="3">
        <v>2603959671</v>
      </c>
      <c r="D274" s="3">
        <v>52</v>
      </c>
      <c r="E274" s="4" t="s">
        <v>1323</v>
      </c>
      <c r="F274" s="19" t="s">
        <v>425</v>
      </c>
      <c r="G274" s="5" t="s">
        <v>6</v>
      </c>
      <c r="H274" s="6">
        <v>2860</v>
      </c>
    </row>
    <row r="275" spans="1:8" ht="15" customHeight="1" x14ac:dyDescent="0.25">
      <c r="A275" s="59"/>
      <c r="B275" s="2">
        <v>45258</v>
      </c>
      <c r="C275" s="3">
        <v>1395081303</v>
      </c>
      <c r="D275" s="3">
        <v>56</v>
      </c>
      <c r="E275" s="4" t="s">
        <v>1324</v>
      </c>
      <c r="F275" s="19" t="s">
        <v>425</v>
      </c>
      <c r="G275" s="5" t="s">
        <v>6</v>
      </c>
      <c r="H275" s="6">
        <v>3080</v>
      </c>
    </row>
    <row r="276" spans="1:8" ht="15" customHeight="1" x14ac:dyDescent="0.25">
      <c r="A276" s="59"/>
      <c r="B276" s="2">
        <v>45258</v>
      </c>
      <c r="C276" s="3">
        <v>3349892347</v>
      </c>
      <c r="D276" s="3">
        <v>28</v>
      </c>
      <c r="E276" s="4" t="s">
        <v>1325</v>
      </c>
      <c r="F276" s="19" t="s">
        <v>425</v>
      </c>
      <c r="G276" s="5" t="s">
        <v>14</v>
      </c>
      <c r="H276" s="6">
        <v>1540</v>
      </c>
    </row>
    <row r="277" spans="1:8" ht="15" customHeight="1" x14ac:dyDescent="0.25">
      <c r="A277" s="59"/>
      <c r="B277" s="2">
        <v>45258</v>
      </c>
      <c r="C277" s="3">
        <v>1235894551</v>
      </c>
      <c r="D277" s="3">
        <v>28</v>
      </c>
      <c r="E277" s="4" t="s">
        <v>1325</v>
      </c>
      <c r="F277" s="19" t="s">
        <v>425</v>
      </c>
      <c r="G277" s="5" t="s">
        <v>14</v>
      </c>
      <c r="H277" s="6">
        <v>1540</v>
      </c>
    </row>
    <row r="278" spans="1:8" ht="15" customHeight="1" x14ac:dyDescent="0.25">
      <c r="A278" s="59"/>
      <c r="B278" s="2">
        <v>45258</v>
      </c>
      <c r="C278" s="3">
        <v>3098954261</v>
      </c>
      <c r="D278" s="3">
        <v>38</v>
      </c>
      <c r="E278" s="4" t="s">
        <v>1326</v>
      </c>
      <c r="F278" s="19" t="s">
        <v>425</v>
      </c>
      <c r="G278" s="5" t="s">
        <v>6</v>
      </c>
      <c r="H278" s="6">
        <v>2090</v>
      </c>
    </row>
    <row r="279" spans="1:8" ht="15" customHeight="1" x14ac:dyDescent="0.25">
      <c r="A279" s="59"/>
      <c r="B279" s="2">
        <v>45258</v>
      </c>
      <c r="C279" s="3">
        <v>2864727808</v>
      </c>
      <c r="D279" s="3">
        <v>54</v>
      </c>
      <c r="E279" s="4" t="s">
        <v>1327</v>
      </c>
      <c r="F279" s="19" t="s">
        <v>425</v>
      </c>
      <c r="G279" s="5" t="s">
        <v>6</v>
      </c>
      <c r="H279" s="6">
        <v>2970</v>
      </c>
    </row>
    <row r="280" spans="1:8" ht="15" customHeight="1" x14ac:dyDescent="0.25">
      <c r="A280" s="59"/>
      <c r="B280" s="2">
        <v>45259</v>
      </c>
      <c r="C280" s="3">
        <v>402082744</v>
      </c>
      <c r="D280" s="3">
        <v>3</v>
      </c>
      <c r="E280" s="4" t="s">
        <v>1328</v>
      </c>
      <c r="F280" s="19" t="s">
        <v>425</v>
      </c>
      <c r="G280" s="5" t="s">
        <v>14</v>
      </c>
      <c r="H280" s="6">
        <v>190</v>
      </c>
    </row>
    <row r="281" spans="1:8" ht="15" customHeight="1" x14ac:dyDescent="0.25">
      <c r="A281" s="59"/>
      <c r="B281" s="2">
        <v>45259</v>
      </c>
      <c r="C281" s="3">
        <v>402082744</v>
      </c>
      <c r="D281" s="3">
        <v>55</v>
      </c>
      <c r="E281" s="4" t="s">
        <v>1328</v>
      </c>
      <c r="F281" s="19" t="s">
        <v>425</v>
      </c>
      <c r="G281" s="5" t="s">
        <v>6</v>
      </c>
      <c r="H281" s="6">
        <v>3000</v>
      </c>
    </row>
    <row r="282" spans="1:8" ht="15" customHeight="1" x14ac:dyDescent="0.25">
      <c r="A282" s="59"/>
      <c r="B282" s="2">
        <v>45259</v>
      </c>
      <c r="C282" s="3">
        <v>3384035382</v>
      </c>
      <c r="D282" s="3">
        <v>56</v>
      </c>
      <c r="E282" s="4" t="s">
        <v>1329</v>
      </c>
      <c r="F282" s="19" t="s">
        <v>425</v>
      </c>
      <c r="G282" s="5" t="s">
        <v>6</v>
      </c>
      <c r="H282" s="6">
        <v>3080</v>
      </c>
    </row>
    <row r="283" spans="1:8" ht="15" customHeight="1" x14ac:dyDescent="0.25">
      <c r="A283" s="59"/>
      <c r="B283" s="2">
        <v>45259</v>
      </c>
      <c r="C283" s="3">
        <v>825181797</v>
      </c>
      <c r="D283" s="3">
        <v>38</v>
      </c>
      <c r="E283" s="4" t="s">
        <v>1330</v>
      </c>
      <c r="F283" s="19" t="s">
        <v>425</v>
      </c>
      <c r="G283" s="5" t="s">
        <v>6</v>
      </c>
      <c r="H283" s="6">
        <v>2090</v>
      </c>
    </row>
    <row r="284" spans="1:8" ht="15" customHeight="1" x14ac:dyDescent="0.25">
      <c r="A284" s="59"/>
      <c r="B284" s="2">
        <v>45259</v>
      </c>
      <c r="C284" s="3">
        <v>2600487622</v>
      </c>
      <c r="D284" s="3">
        <v>32</v>
      </c>
      <c r="E284" s="4" t="s">
        <v>1331</v>
      </c>
      <c r="F284" s="19" t="s">
        <v>425</v>
      </c>
      <c r="G284" s="5" t="s">
        <v>6</v>
      </c>
      <c r="H284" s="6">
        <v>1760</v>
      </c>
    </row>
    <row r="285" spans="1:8" ht="15" customHeight="1" x14ac:dyDescent="0.25">
      <c r="A285" s="59"/>
      <c r="B285" s="2">
        <v>45259</v>
      </c>
      <c r="C285" s="3">
        <v>1422804687</v>
      </c>
      <c r="D285" s="3">
        <v>32</v>
      </c>
      <c r="E285" s="4" t="s">
        <v>1332</v>
      </c>
      <c r="F285" s="19" t="s">
        <v>425</v>
      </c>
      <c r="G285" s="5" t="s">
        <v>6</v>
      </c>
      <c r="H285" s="6">
        <v>1760</v>
      </c>
    </row>
    <row r="286" spans="1:8" ht="15" customHeight="1" x14ac:dyDescent="0.25">
      <c r="A286" s="59"/>
      <c r="B286" s="2">
        <v>45259</v>
      </c>
      <c r="C286" s="3">
        <v>2320253027</v>
      </c>
      <c r="D286" s="3">
        <v>40</v>
      </c>
      <c r="E286" s="4" t="s">
        <v>1261</v>
      </c>
      <c r="F286" s="19" t="s">
        <v>425</v>
      </c>
      <c r="G286" s="5" t="s">
        <v>7</v>
      </c>
      <c r="H286" s="6">
        <v>2200</v>
      </c>
    </row>
    <row r="287" spans="1:8" ht="15" customHeight="1" x14ac:dyDescent="0.25">
      <c r="A287" s="59"/>
      <c r="B287" s="2">
        <v>45259</v>
      </c>
      <c r="C287" s="3">
        <v>1311133338</v>
      </c>
      <c r="D287" s="3">
        <v>38</v>
      </c>
      <c r="E287" s="4" t="s">
        <v>1333</v>
      </c>
      <c r="F287" s="19" t="s">
        <v>425</v>
      </c>
      <c r="G287" s="5" t="s">
        <v>6</v>
      </c>
      <c r="H287" s="6">
        <v>2090</v>
      </c>
    </row>
    <row r="288" spans="1:8" ht="15" customHeight="1" x14ac:dyDescent="0.25">
      <c r="A288" s="59"/>
      <c r="B288" s="2">
        <v>45259</v>
      </c>
      <c r="C288" s="3">
        <v>1969704912</v>
      </c>
      <c r="D288" s="3">
        <v>58</v>
      </c>
      <c r="E288" s="4" t="s">
        <v>1334</v>
      </c>
      <c r="F288" s="19" t="s">
        <v>425</v>
      </c>
      <c r="G288" s="5" t="s">
        <v>6</v>
      </c>
      <c r="H288" s="6">
        <v>3190</v>
      </c>
    </row>
    <row r="289" spans="1:8" ht="15" customHeight="1" x14ac:dyDescent="0.25">
      <c r="A289" s="59"/>
      <c r="B289" s="2">
        <v>45259</v>
      </c>
      <c r="C289" s="3">
        <v>2454865797</v>
      </c>
      <c r="D289" s="3">
        <v>35</v>
      </c>
      <c r="E289" s="4" t="s">
        <v>1335</v>
      </c>
      <c r="F289" s="19" t="s">
        <v>425</v>
      </c>
      <c r="G289" s="5" t="s">
        <v>6</v>
      </c>
      <c r="H289" s="6">
        <v>1925</v>
      </c>
    </row>
    <row r="290" spans="1:8" ht="15" customHeight="1" x14ac:dyDescent="0.25">
      <c r="A290" s="59"/>
      <c r="B290" s="2">
        <v>45259</v>
      </c>
      <c r="C290" s="3">
        <v>773735559</v>
      </c>
      <c r="D290" s="3">
        <v>18</v>
      </c>
      <c r="E290" s="4" t="s">
        <v>1336</v>
      </c>
      <c r="F290" s="19" t="s">
        <v>425</v>
      </c>
      <c r="G290" s="5" t="s">
        <v>6</v>
      </c>
      <c r="H290" s="6">
        <v>990</v>
      </c>
    </row>
    <row r="291" spans="1:8" ht="15" customHeight="1" x14ac:dyDescent="0.25">
      <c r="A291" s="59"/>
      <c r="B291" s="2">
        <v>45259</v>
      </c>
      <c r="C291" s="3">
        <v>1354583448</v>
      </c>
      <c r="D291" s="3">
        <v>58</v>
      </c>
      <c r="E291" s="4" t="s">
        <v>1337</v>
      </c>
      <c r="F291" s="19" t="s">
        <v>425</v>
      </c>
      <c r="G291" s="5" t="s">
        <v>6</v>
      </c>
      <c r="H291" s="6">
        <v>3190</v>
      </c>
    </row>
    <row r="292" spans="1:8" ht="15" customHeight="1" x14ac:dyDescent="0.25">
      <c r="A292" s="59"/>
      <c r="B292" s="2">
        <v>45259</v>
      </c>
      <c r="C292" s="3">
        <v>2825143142</v>
      </c>
      <c r="D292" s="3">
        <v>22</v>
      </c>
      <c r="E292" s="4" t="s">
        <v>1338</v>
      </c>
      <c r="F292" s="19" t="s">
        <v>425</v>
      </c>
      <c r="G292" s="5" t="s">
        <v>6</v>
      </c>
      <c r="H292" s="6">
        <v>1210</v>
      </c>
    </row>
    <row r="293" spans="1:8" ht="15" customHeight="1" x14ac:dyDescent="0.25">
      <c r="A293" s="59"/>
      <c r="B293" s="2">
        <v>45259</v>
      </c>
      <c r="C293" s="3">
        <v>2384874435</v>
      </c>
      <c r="D293" s="3">
        <v>58</v>
      </c>
      <c r="E293" s="4" t="s">
        <v>1339</v>
      </c>
      <c r="F293" s="19" t="s">
        <v>425</v>
      </c>
      <c r="G293" s="5" t="s">
        <v>7</v>
      </c>
      <c r="H293" s="6">
        <v>3190</v>
      </c>
    </row>
    <row r="294" spans="1:8" ht="15" customHeight="1" x14ac:dyDescent="0.25">
      <c r="A294" s="59"/>
      <c r="B294" s="2">
        <v>45259</v>
      </c>
      <c r="C294" s="3">
        <v>1120420193</v>
      </c>
      <c r="D294" s="3">
        <v>56</v>
      </c>
      <c r="E294" s="4" t="s">
        <v>1340</v>
      </c>
      <c r="F294" s="19" t="s">
        <v>425</v>
      </c>
      <c r="G294" s="5" t="s">
        <v>6</v>
      </c>
      <c r="H294" s="6">
        <v>3080</v>
      </c>
    </row>
    <row r="295" spans="1:8" ht="15" customHeight="1" x14ac:dyDescent="0.25">
      <c r="A295" s="59"/>
      <c r="B295" s="2">
        <v>45259</v>
      </c>
      <c r="C295" s="3">
        <v>121914065</v>
      </c>
      <c r="D295" s="3">
        <v>56</v>
      </c>
      <c r="E295" s="4" t="s">
        <v>1263</v>
      </c>
      <c r="F295" s="19" t="s">
        <v>425</v>
      </c>
      <c r="G295" s="5" t="s">
        <v>6</v>
      </c>
      <c r="H295" s="6">
        <v>3080</v>
      </c>
    </row>
    <row r="296" spans="1:8" ht="15" customHeight="1" x14ac:dyDescent="0.25">
      <c r="A296" s="59"/>
      <c r="B296" s="2">
        <v>45259</v>
      </c>
      <c r="C296" s="3">
        <v>366166224</v>
      </c>
      <c r="D296" s="3">
        <v>18</v>
      </c>
      <c r="E296" s="4" t="s">
        <v>135</v>
      </c>
      <c r="F296" s="19" t="s">
        <v>425</v>
      </c>
      <c r="G296" s="5" t="s">
        <v>6</v>
      </c>
      <c r="H296" s="6">
        <v>990</v>
      </c>
    </row>
    <row r="297" spans="1:8" ht="15" customHeight="1" x14ac:dyDescent="0.25">
      <c r="A297" s="59"/>
      <c r="B297" s="2">
        <v>45259</v>
      </c>
      <c r="C297" s="3">
        <v>1606173061</v>
      </c>
      <c r="D297" s="3">
        <v>22</v>
      </c>
      <c r="E297" s="4" t="s">
        <v>59</v>
      </c>
      <c r="F297" s="19" t="s">
        <v>425</v>
      </c>
      <c r="G297" s="5" t="s">
        <v>14</v>
      </c>
      <c r="H297" s="6">
        <v>1210</v>
      </c>
    </row>
    <row r="298" spans="1:8" ht="15" customHeight="1" x14ac:dyDescent="0.25">
      <c r="A298" s="59"/>
      <c r="B298" s="2">
        <v>45259</v>
      </c>
      <c r="C298" s="3">
        <v>1228032822</v>
      </c>
      <c r="D298" s="3">
        <v>56</v>
      </c>
      <c r="E298" s="4" t="s">
        <v>1341</v>
      </c>
      <c r="F298" s="19" t="s">
        <v>425</v>
      </c>
      <c r="G298" s="5" t="s">
        <v>6</v>
      </c>
      <c r="H298" s="6">
        <v>3080</v>
      </c>
    </row>
    <row r="299" spans="1:8" ht="15" customHeight="1" x14ac:dyDescent="0.25">
      <c r="A299" s="59"/>
      <c r="B299" s="2">
        <v>45259</v>
      </c>
      <c r="C299" s="3">
        <v>3002026692</v>
      </c>
      <c r="D299" s="3">
        <v>38</v>
      </c>
      <c r="E299" s="4" t="s">
        <v>1342</v>
      </c>
      <c r="F299" s="19" t="s">
        <v>425</v>
      </c>
      <c r="G299" s="5" t="s">
        <v>11</v>
      </c>
      <c r="H299" s="6">
        <v>2090</v>
      </c>
    </row>
    <row r="300" spans="1:8" ht="15" customHeight="1" x14ac:dyDescent="0.25">
      <c r="A300" s="59"/>
      <c r="B300" s="2">
        <v>45259</v>
      </c>
      <c r="C300" s="3">
        <v>3002026692</v>
      </c>
      <c r="D300" s="3">
        <v>32</v>
      </c>
      <c r="E300" s="4" t="s">
        <v>1343</v>
      </c>
      <c r="F300" s="19" t="s">
        <v>425</v>
      </c>
      <c r="G300" s="5" t="s">
        <v>11</v>
      </c>
      <c r="H300" s="6">
        <v>1760</v>
      </c>
    </row>
    <row r="301" spans="1:8" ht="15" customHeight="1" x14ac:dyDescent="0.25">
      <c r="A301" s="59"/>
      <c r="B301" s="2">
        <v>45259</v>
      </c>
      <c r="C301" s="3">
        <v>473710637</v>
      </c>
      <c r="D301" s="3">
        <v>38</v>
      </c>
      <c r="E301" s="4" t="s">
        <v>1344</v>
      </c>
      <c r="F301" s="19" t="s">
        <v>425</v>
      </c>
      <c r="G301" s="5" t="s">
        <v>6</v>
      </c>
      <c r="H301" s="6">
        <v>2090</v>
      </c>
    </row>
    <row r="302" spans="1:8" ht="15" customHeight="1" x14ac:dyDescent="0.25">
      <c r="A302" s="59"/>
      <c r="B302" s="2">
        <v>45259</v>
      </c>
      <c r="C302" s="3">
        <v>721765304</v>
      </c>
      <c r="D302" s="3">
        <v>65</v>
      </c>
      <c r="E302" s="4" t="s">
        <v>1345</v>
      </c>
      <c r="F302" s="19" t="s">
        <v>425</v>
      </c>
      <c r="G302" s="5" t="s">
        <v>6</v>
      </c>
      <c r="H302" s="6">
        <v>3575</v>
      </c>
    </row>
    <row r="303" spans="1:8" ht="15" customHeight="1" x14ac:dyDescent="0.25">
      <c r="A303" s="59"/>
      <c r="B303" s="2">
        <v>45259</v>
      </c>
      <c r="C303" s="3">
        <v>410472044</v>
      </c>
      <c r="D303" s="3">
        <v>36</v>
      </c>
      <c r="E303" s="4" t="s">
        <v>1346</v>
      </c>
      <c r="F303" s="19" t="s">
        <v>425</v>
      </c>
      <c r="G303" s="5" t="s">
        <v>6</v>
      </c>
      <c r="H303" s="6">
        <v>1980</v>
      </c>
    </row>
    <row r="304" spans="1:8" ht="15" customHeight="1" x14ac:dyDescent="0.25">
      <c r="A304" s="59"/>
      <c r="B304" s="2">
        <v>45259</v>
      </c>
      <c r="C304" s="3">
        <v>3621142621</v>
      </c>
      <c r="D304" s="3">
        <v>38</v>
      </c>
      <c r="E304" s="4" t="s">
        <v>1347</v>
      </c>
      <c r="F304" s="19" t="s">
        <v>425</v>
      </c>
      <c r="G304" s="5" t="s">
        <v>7</v>
      </c>
      <c r="H304" s="6">
        <v>2090</v>
      </c>
    </row>
    <row r="305" spans="1:8" ht="15" customHeight="1" x14ac:dyDescent="0.25">
      <c r="A305" s="59"/>
      <c r="B305" s="2">
        <v>45259</v>
      </c>
      <c r="C305" s="3">
        <v>1462847519</v>
      </c>
      <c r="D305" s="3">
        <v>18</v>
      </c>
      <c r="E305" s="4" t="s">
        <v>1348</v>
      </c>
      <c r="F305" s="19" t="s">
        <v>425</v>
      </c>
      <c r="G305" s="5" t="s">
        <v>16</v>
      </c>
      <c r="H305" s="6">
        <v>990</v>
      </c>
    </row>
    <row r="306" spans="1:8" ht="15" customHeight="1" x14ac:dyDescent="0.25">
      <c r="A306" s="59"/>
      <c r="B306" s="2">
        <v>45259</v>
      </c>
      <c r="C306" s="3">
        <v>2975155090</v>
      </c>
      <c r="D306" s="3">
        <v>18</v>
      </c>
      <c r="E306" s="4" t="s">
        <v>1349</v>
      </c>
      <c r="F306" s="19" t="s">
        <v>425</v>
      </c>
      <c r="G306" s="5" t="s">
        <v>14</v>
      </c>
      <c r="H306" s="6">
        <v>999.99900000000002</v>
      </c>
    </row>
    <row r="307" spans="1:8" ht="15" customHeight="1" x14ac:dyDescent="0.25">
      <c r="A307" s="59"/>
      <c r="B307" s="2">
        <v>45259</v>
      </c>
      <c r="C307" s="3">
        <v>2975155090</v>
      </c>
      <c r="D307" s="3">
        <v>37</v>
      </c>
      <c r="E307" s="4" t="s">
        <v>1349</v>
      </c>
      <c r="F307" s="19" t="s">
        <v>425</v>
      </c>
      <c r="G307" s="5" t="s">
        <v>6</v>
      </c>
      <c r="H307" s="6">
        <v>2024.9989</v>
      </c>
    </row>
    <row r="308" spans="1:8" ht="15" customHeight="1" x14ac:dyDescent="0.25">
      <c r="A308" s="59"/>
      <c r="B308" s="2">
        <v>45259</v>
      </c>
      <c r="C308" s="3">
        <v>3655680364</v>
      </c>
      <c r="D308" s="3">
        <v>56</v>
      </c>
      <c r="E308" s="4" t="s">
        <v>1350</v>
      </c>
      <c r="F308" s="19" t="s">
        <v>425</v>
      </c>
      <c r="G308" s="5" t="s">
        <v>6</v>
      </c>
      <c r="H308" s="6">
        <v>3080</v>
      </c>
    </row>
    <row r="309" spans="1:8" ht="15" customHeight="1" x14ac:dyDescent="0.25">
      <c r="A309" s="59"/>
      <c r="B309" s="2">
        <v>45259</v>
      </c>
      <c r="C309" s="3">
        <v>2801880334</v>
      </c>
      <c r="D309" s="3">
        <v>38</v>
      </c>
      <c r="E309" s="4" t="s">
        <v>1351</v>
      </c>
      <c r="F309" s="19" t="s">
        <v>425</v>
      </c>
      <c r="G309" s="5" t="s">
        <v>6</v>
      </c>
      <c r="H309" s="6">
        <v>2090</v>
      </c>
    </row>
    <row r="310" spans="1:8" ht="15" customHeight="1" x14ac:dyDescent="0.25">
      <c r="A310" s="59"/>
      <c r="B310" s="2">
        <v>45259</v>
      </c>
      <c r="C310" s="3">
        <v>1602047688</v>
      </c>
      <c r="D310" s="3">
        <v>42</v>
      </c>
      <c r="E310" s="4" t="s">
        <v>1352</v>
      </c>
      <c r="F310" s="19" t="s">
        <v>425</v>
      </c>
      <c r="G310" s="5" t="s">
        <v>6</v>
      </c>
      <c r="H310" s="6">
        <v>2310</v>
      </c>
    </row>
    <row r="311" spans="1:8" ht="15" customHeight="1" x14ac:dyDescent="0.25">
      <c r="A311" s="59"/>
      <c r="B311" s="2">
        <v>45259</v>
      </c>
      <c r="C311" s="3">
        <v>15403777975</v>
      </c>
      <c r="D311" s="3">
        <v>18</v>
      </c>
      <c r="E311" s="4" t="s">
        <v>1353</v>
      </c>
      <c r="F311" s="19" t="s">
        <v>425</v>
      </c>
      <c r="G311" s="5" t="s">
        <v>6</v>
      </c>
      <c r="H311" s="6">
        <v>990</v>
      </c>
    </row>
    <row r="312" spans="1:8" ht="15" customHeight="1" x14ac:dyDescent="0.25">
      <c r="A312" s="59"/>
      <c r="B312" s="2">
        <v>45259</v>
      </c>
      <c r="C312" s="3">
        <v>2368292915</v>
      </c>
      <c r="D312" s="3">
        <v>56</v>
      </c>
      <c r="E312" s="4" t="s">
        <v>1354</v>
      </c>
      <c r="F312" s="19" t="s">
        <v>425</v>
      </c>
      <c r="G312" s="5" t="s">
        <v>6</v>
      </c>
      <c r="H312" s="6">
        <v>3080</v>
      </c>
    </row>
    <row r="313" spans="1:8" ht="15" customHeight="1" x14ac:dyDescent="0.25">
      <c r="A313" s="59"/>
      <c r="B313" s="2">
        <v>45259</v>
      </c>
      <c r="C313" s="3">
        <v>510346759</v>
      </c>
      <c r="D313" s="3">
        <v>38</v>
      </c>
      <c r="E313" s="4" t="s">
        <v>1355</v>
      </c>
      <c r="F313" s="19" t="s">
        <v>425</v>
      </c>
      <c r="G313" s="5" t="s">
        <v>6</v>
      </c>
      <c r="H313" s="6">
        <v>2090</v>
      </c>
    </row>
    <row r="314" spans="1:8" ht="15" customHeight="1" x14ac:dyDescent="0.25">
      <c r="A314" s="59"/>
      <c r="B314" s="2">
        <v>45259</v>
      </c>
      <c r="C314" s="3">
        <v>342050337</v>
      </c>
      <c r="D314" s="3">
        <v>25</v>
      </c>
      <c r="E314" s="4" t="s">
        <v>1356</v>
      </c>
      <c r="F314" s="19" t="s">
        <v>425</v>
      </c>
      <c r="G314" s="5" t="s">
        <v>6</v>
      </c>
      <c r="H314" s="6">
        <v>1375</v>
      </c>
    </row>
    <row r="315" spans="1:8" ht="15" customHeight="1" x14ac:dyDescent="0.25">
      <c r="A315" s="59"/>
      <c r="B315" s="2">
        <v>45259</v>
      </c>
      <c r="C315" s="3">
        <v>2097302720</v>
      </c>
      <c r="D315" s="3">
        <v>18</v>
      </c>
      <c r="E315" s="4" t="s">
        <v>1052</v>
      </c>
      <c r="F315" s="19" t="s">
        <v>425</v>
      </c>
      <c r="G315" s="5" t="s">
        <v>6</v>
      </c>
      <c r="H315" s="6">
        <v>990</v>
      </c>
    </row>
    <row r="316" spans="1:8" ht="15" customHeight="1" x14ac:dyDescent="0.25">
      <c r="A316" s="59"/>
      <c r="B316" s="2">
        <v>45259</v>
      </c>
      <c r="C316" s="3">
        <v>2318552807</v>
      </c>
      <c r="D316" s="3">
        <v>56</v>
      </c>
      <c r="E316" s="4" t="s">
        <v>1238</v>
      </c>
      <c r="F316" s="19" t="s">
        <v>425</v>
      </c>
      <c r="G316" s="5" t="s">
        <v>6</v>
      </c>
      <c r="H316" s="6">
        <v>3080</v>
      </c>
    </row>
    <row r="317" spans="1:8" ht="15" customHeight="1" x14ac:dyDescent="0.25">
      <c r="A317" s="59"/>
      <c r="B317" s="2">
        <v>45259</v>
      </c>
      <c r="C317" s="3">
        <v>2567454893</v>
      </c>
      <c r="D317" s="3">
        <v>16</v>
      </c>
      <c r="E317" s="4" t="s">
        <v>1357</v>
      </c>
      <c r="F317" s="19" t="s">
        <v>425</v>
      </c>
      <c r="G317" s="5" t="s">
        <v>6</v>
      </c>
      <c r="H317" s="6">
        <v>880</v>
      </c>
    </row>
    <row r="318" spans="1:8" ht="15" customHeight="1" x14ac:dyDescent="0.25">
      <c r="A318" s="59"/>
      <c r="B318" s="2">
        <v>45259</v>
      </c>
      <c r="C318" s="3">
        <v>2446610170</v>
      </c>
      <c r="D318" s="3">
        <v>36</v>
      </c>
      <c r="E318" s="4" t="s">
        <v>1358</v>
      </c>
      <c r="F318" s="19" t="s">
        <v>425</v>
      </c>
      <c r="G318" s="5" t="s">
        <v>16</v>
      </c>
      <c r="H318" s="6">
        <v>1980</v>
      </c>
    </row>
    <row r="319" spans="1:8" ht="15" customHeight="1" x14ac:dyDescent="0.25">
      <c r="A319" s="59"/>
      <c r="B319" s="2">
        <v>45259</v>
      </c>
      <c r="C319" s="3">
        <v>2333755410</v>
      </c>
      <c r="D319" s="3">
        <v>56</v>
      </c>
      <c r="E319" s="4" t="s">
        <v>1359</v>
      </c>
      <c r="F319" s="19" t="s">
        <v>425</v>
      </c>
      <c r="G319" s="5" t="s">
        <v>6</v>
      </c>
      <c r="H319" s="6">
        <v>3080</v>
      </c>
    </row>
    <row r="320" spans="1:8" ht="15" customHeight="1" x14ac:dyDescent="0.25">
      <c r="A320" s="59"/>
      <c r="B320" s="2">
        <v>45259</v>
      </c>
      <c r="C320" s="3">
        <v>2333755410</v>
      </c>
      <c r="D320" s="3">
        <v>35</v>
      </c>
      <c r="E320" s="4" t="s">
        <v>1360</v>
      </c>
      <c r="F320" s="19" t="s">
        <v>425</v>
      </c>
      <c r="G320" s="5" t="s">
        <v>6</v>
      </c>
      <c r="H320" s="6">
        <v>1925</v>
      </c>
    </row>
    <row r="321" spans="1:8" ht="15" customHeight="1" x14ac:dyDescent="0.25">
      <c r="A321" s="59"/>
      <c r="B321" s="2">
        <v>45259</v>
      </c>
      <c r="C321" s="3">
        <v>414927083</v>
      </c>
      <c r="D321" s="3">
        <v>42</v>
      </c>
      <c r="E321" s="4" t="s">
        <v>1361</v>
      </c>
      <c r="F321" s="19" t="s">
        <v>425</v>
      </c>
      <c r="G321" s="5" t="s">
        <v>6</v>
      </c>
      <c r="H321" s="6">
        <v>2310</v>
      </c>
    </row>
    <row r="322" spans="1:8" ht="15" customHeight="1" x14ac:dyDescent="0.25">
      <c r="A322" s="59"/>
      <c r="B322" s="2">
        <v>45259</v>
      </c>
      <c r="C322" s="3">
        <v>2501004688</v>
      </c>
      <c r="D322" s="3">
        <v>38</v>
      </c>
      <c r="E322" s="4" t="s">
        <v>1362</v>
      </c>
      <c r="F322" s="19" t="s">
        <v>425</v>
      </c>
      <c r="G322" s="5" t="s">
        <v>6</v>
      </c>
      <c r="H322" s="6">
        <v>2090</v>
      </c>
    </row>
    <row r="323" spans="1:8" ht="15" customHeight="1" x14ac:dyDescent="0.25">
      <c r="A323" s="59"/>
      <c r="B323" s="2">
        <v>45260</v>
      </c>
      <c r="C323" s="3">
        <v>3304538147</v>
      </c>
      <c r="D323" s="3">
        <v>38</v>
      </c>
      <c r="E323" s="4" t="s">
        <v>1370</v>
      </c>
      <c r="F323" s="19" t="s">
        <v>425</v>
      </c>
      <c r="G323" s="5" t="s">
        <v>6</v>
      </c>
      <c r="H323" s="6">
        <v>2090</v>
      </c>
    </row>
    <row r="324" spans="1:8" ht="15" customHeight="1" x14ac:dyDescent="0.25">
      <c r="A324" s="59"/>
      <c r="B324" s="2">
        <v>45260</v>
      </c>
      <c r="C324" s="3">
        <v>3214756640</v>
      </c>
      <c r="D324" s="3">
        <v>56</v>
      </c>
      <c r="E324" s="4" t="s">
        <v>1371</v>
      </c>
      <c r="F324" s="19" t="s">
        <v>425</v>
      </c>
      <c r="G324" s="5" t="s">
        <v>6</v>
      </c>
      <c r="H324" s="6">
        <v>3080</v>
      </c>
    </row>
    <row r="325" spans="1:8" ht="15" customHeight="1" x14ac:dyDescent="0.25">
      <c r="A325" s="59"/>
      <c r="B325" s="2">
        <v>45260</v>
      </c>
      <c r="C325" s="3">
        <v>822167053</v>
      </c>
      <c r="D325" s="3">
        <v>38</v>
      </c>
      <c r="E325" s="4" t="s">
        <v>1372</v>
      </c>
      <c r="F325" s="19" t="s">
        <v>425</v>
      </c>
      <c r="G325" s="5" t="s">
        <v>6</v>
      </c>
      <c r="H325" s="6">
        <v>2090</v>
      </c>
    </row>
    <row r="326" spans="1:8" ht="15" customHeight="1" x14ac:dyDescent="0.25">
      <c r="A326" s="59"/>
      <c r="B326" s="2">
        <v>45260</v>
      </c>
      <c r="C326" s="3">
        <v>231853075</v>
      </c>
      <c r="D326" s="3">
        <v>18</v>
      </c>
      <c r="E326" s="4" t="s">
        <v>1373</v>
      </c>
      <c r="F326" s="19" t="s">
        <v>425</v>
      </c>
      <c r="G326" s="5" t="s">
        <v>14</v>
      </c>
      <c r="H326" s="6">
        <v>999.99900000000002</v>
      </c>
    </row>
    <row r="327" spans="1:8" ht="15" customHeight="1" x14ac:dyDescent="0.25">
      <c r="A327" s="59"/>
      <c r="B327" s="2">
        <v>45260</v>
      </c>
      <c r="C327" s="3">
        <v>231853075</v>
      </c>
      <c r="D327" s="3">
        <v>47</v>
      </c>
      <c r="E327" s="4" t="s">
        <v>1373</v>
      </c>
      <c r="F327" s="19" t="s">
        <v>425</v>
      </c>
      <c r="G327" s="5" t="s">
        <v>6</v>
      </c>
      <c r="H327" s="6">
        <v>2574.9983999999999</v>
      </c>
    </row>
    <row r="328" spans="1:8" ht="15" customHeight="1" x14ac:dyDescent="0.25">
      <c r="A328" s="59"/>
      <c r="B328" s="2">
        <v>45260</v>
      </c>
      <c r="C328" s="3">
        <v>24461696</v>
      </c>
      <c r="D328" s="3">
        <v>56</v>
      </c>
      <c r="E328" s="4" t="s">
        <v>1374</v>
      </c>
      <c r="F328" s="19" t="s">
        <v>425</v>
      </c>
      <c r="G328" s="5" t="s">
        <v>6</v>
      </c>
      <c r="H328" s="6">
        <v>3080</v>
      </c>
    </row>
    <row r="329" spans="1:8" ht="15" customHeight="1" x14ac:dyDescent="0.25">
      <c r="A329" s="59"/>
      <c r="B329" s="2">
        <v>45260</v>
      </c>
      <c r="C329" s="3">
        <v>110773497</v>
      </c>
      <c r="D329" s="3">
        <v>44</v>
      </c>
      <c r="E329" s="4" t="s">
        <v>1375</v>
      </c>
      <c r="F329" s="19" t="s">
        <v>425</v>
      </c>
      <c r="G329" s="5" t="s">
        <v>14</v>
      </c>
      <c r="H329" s="6">
        <v>2420</v>
      </c>
    </row>
    <row r="330" spans="1:8" ht="15" customHeight="1" x14ac:dyDescent="0.25">
      <c r="A330" s="59"/>
      <c r="B330" s="2">
        <v>45260</v>
      </c>
      <c r="C330" s="3">
        <v>1664107233</v>
      </c>
      <c r="D330" s="3">
        <v>50</v>
      </c>
      <c r="E330" s="4" t="s">
        <v>1376</v>
      </c>
      <c r="F330" s="19" t="s">
        <v>425</v>
      </c>
      <c r="G330" s="5" t="s">
        <v>6</v>
      </c>
      <c r="H330" s="6">
        <v>2750</v>
      </c>
    </row>
    <row r="331" spans="1:8" ht="15" customHeight="1" x14ac:dyDescent="0.25">
      <c r="A331" s="59"/>
      <c r="B331" s="2">
        <v>45260</v>
      </c>
      <c r="C331" s="3">
        <v>814367178</v>
      </c>
      <c r="D331" s="3">
        <v>56</v>
      </c>
      <c r="E331" s="4" t="s">
        <v>1377</v>
      </c>
      <c r="F331" s="19" t="s">
        <v>425</v>
      </c>
      <c r="G331" s="5" t="s">
        <v>6</v>
      </c>
      <c r="H331" s="6">
        <v>3080</v>
      </c>
    </row>
    <row r="332" spans="1:8" ht="15" customHeight="1" x14ac:dyDescent="0.25">
      <c r="A332" s="59"/>
      <c r="B332" s="2">
        <v>45260</v>
      </c>
      <c r="C332" s="3">
        <v>2365804227</v>
      </c>
      <c r="D332" s="3">
        <v>38</v>
      </c>
      <c r="E332" s="4" t="s">
        <v>1378</v>
      </c>
      <c r="F332" s="19" t="s">
        <v>425</v>
      </c>
      <c r="G332" s="5" t="s">
        <v>6</v>
      </c>
      <c r="H332" s="6">
        <v>2090</v>
      </c>
    </row>
    <row r="333" spans="1:8" ht="15" customHeight="1" x14ac:dyDescent="0.25">
      <c r="A333" s="59"/>
      <c r="B333" s="2">
        <v>45260</v>
      </c>
      <c r="C333" s="3">
        <v>4099360049</v>
      </c>
      <c r="D333" s="3">
        <v>38</v>
      </c>
      <c r="E333" s="4" t="s">
        <v>1379</v>
      </c>
      <c r="F333" s="19" t="s">
        <v>425</v>
      </c>
      <c r="G333" s="5" t="s">
        <v>6</v>
      </c>
      <c r="H333" s="6">
        <v>2090</v>
      </c>
    </row>
    <row r="334" spans="1:8" ht="15" customHeight="1" x14ac:dyDescent="0.25">
      <c r="A334" s="59"/>
      <c r="B334" s="2">
        <v>45260</v>
      </c>
      <c r="C334" s="3">
        <v>3266332282</v>
      </c>
      <c r="D334" s="3">
        <v>38</v>
      </c>
      <c r="E334" s="4" t="s">
        <v>1089</v>
      </c>
      <c r="F334" s="19" t="s">
        <v>425</v>
      </c>
      <c r="G334" s="5" t="s">
        <v>6</v>
      </c>
      <c r="H334" s="6">
        <v>2090</v>
      </c>
    </row>
    <row r="335" spans="1:8" ht="15" customHeight="1" x14ac:dyDescent="0.25">
      <c r="A335" s="59"/>
      <c r="B335" s="2">
        <v>45260</v>
      </c>
      <c r="C335" s="3">
        <v>3702213741</v>
      </c>
      <c r="D335" s="3">
        <v>56</v>
      </c>
      <c r="E335" s="4" t="s">
        <v>871</v>
      </c>
      <c r="F335" s="19" t="s">
        <v>425</v>
      </c>
      <c r="G335" s="5" t="s">
        <v>6</v>
      </c>
      <c r="H335" s="6">
        <v>3080</v>
      </c>
    </row>
    <row r="336" spans="1:8" ht="15" customHeight="1" x14ac:dyDescent="0.25">
      <c r="A336" s="59"/>
      <c r="B336" s="2">
        <v>45260</v>
      </c>
      <c r="C336" s="3">
        <v>3593160728</v>
      </c>
      <c r="D336" s="3">
        <v>40</v>
      </c>
      <c r="E336" s="4" t="s">
        <v>1380</v>
      </c>
      <c r="F336" s="19" t="s">
        <v>425</v>
      </c>
      <c r="G336" s="5" t="s">
        <v>6</v>
      </c>
      <c r="H336" s="6">
        <v>2200</v>
      </c>
    </row>
    <row r="337" spans="1:8" ht="15" customHeight="1" x14ac:dyDescent="0.25">
      <c r="A337" s="59"/>
      <c r="B337" s="2">
        <v>45260</v>
      </c>
      <c r="C337" s="3">
        <v>3713616078</v>
      </c>
      <c r="D337" s="3">
        <v>42</v>
      </c>
      <c r="E337" s="4" t="s">
        <v>1381</v>
      </c>
      <c r="F337" s="19" t="s">
        <v>425</v>
      </c>
      <c r="G337" s="5" t="s">
        <v>6</v>
      </c>
      <c r="H337" s="6">
        <v>2310</v>
      </c>
    </row>
    <row r="338" spans="1:8" ht="15" customHeight="1" x14ac:dyDescent="0.25">
      <c r="A338" s="59"/>
      <c r="B338" s="2">
        <v>45260</v>
      </c>
      <c r="C338" s="3">
        <v>1821656867</v>
      </c>
      <c r="D338" s="3">
        <v>56</v>
      </c>
      <c r="E338" s="4" t="s">
        <v>1382</v>
      </c>
      <c r="F338" s="19" t="s">
        <v>425</v>
      </c>
      <c r="G338" s="5" t="s">
        <v>16</v>
      </c>
      <c r="H338" s="6">
        <v>3080</v>
      </c>
    </row>
    <row r="339" spans="1:8" ht="15" customHeight="1" x14ac:dyDescent="0.25">
      <c r="A339" s="59"/>
      <c r="B339" s="2">
        <v>45260</v>
      </c>
      <c r="C339" s="3">
        <v>2533507268</v>
      </c>
      <c r="D339" s="3">
        <v>18</v>
      </c>
      <c r="E339" s="4" t="s">
        <v>1381</v>
      </c>
      <c r="F339" s="19" t="s">
        <v>425</v>
      </c>
      <c r="G339" s="5" t="s">
        <v>6</v>
      </c>
      <c r="H339" s="6">
        <v>990</v>
      </c>
    </row>
    <row r="340" spans="1:8" ht="15" customHeight="1" x14ac:dyDescent="0.25">
      <c r="A340" s="59"/>
      <c r="B340" s="2">
        <v>45260</v>
      </c>
      <c r="C340" s="3">
        <v>2844279645</v>
      </c>
      <c r="D340" s="3">
        <v>56</v>
      </c>
      <c r="E340" s="4" t="s">
        <v>1383</v>
      </c>
      <c r="F340" s="19" t="s">
        <v>425</v>
      </c>
      <c r="G340" s="5" t="s">
        <v>6</v>
      </c>
      <c r="H340" s="6">
        <v>3080</v>
      </c>
    </row>
    <row r="341" spans="1:8" ht="15" customHeight="1" x14ac:dyDescent="0.25">
      <c r="A341" s="59"/>
      <c r="B341" s="2">
        <v>45260</v>
      </c>
      <c r="C341" s="3">
        <v>349127922</v>
      </c>
      <c r="D341" s="3">
        <v>38</v>
      </c>
      <c r="E341" s="4" t="s">
        <v>1384</v>
      </c>
      <c r="F341" s="19" t="s">
        <v>425</v>
      </c>
      <c r="G341" s="5" t="s">
        <v>6</v>
      </c>
      <c r="H341" s="6">
        <v>2090</v>
      </c>
    </row>
    <row r="342" spans="1:8" ht="15" customHeight="1" x14ac:dyDescent="0.25">
      <c r="A342" s="59"/>
      <c r="B342" s="2">
        <v>45260</v>
      </c>
      <c r="C342" s="3">
        <v>3019394276</v>
      </c>
      <c r="D342" s="3">
        <v>61</v>
      </c>
      <c r="E342" s="4" t="s">
        <v>1385</v>
      </c>
      <c r="F342" s="19" t="s">
        <v>425</v>
      </c>
      <c r="G342" s="5" t="s">
        <v>6</v>
      </c>
      <c r="H342" s="6">
        <v>3355</v>
      </c>
    </row>
    <row r="343" spans="1:8" ht="15" customHeight="1" x14ac:dyDescent="0.25">
      <c r="A343" s="59"/>
      <c r="B343" s="2">
        <v>45260</v>
      </c>
      <c r="C343" s="3">
        <v>1499746052</v>
      </c>
      <c r="D343" s="3">
        <v>18</v>
      </c>
      <c r="E343" s="4" t="s">
        <v>1386</v>
      </c>
      <c r="F343" s="19" t="s">
        <v>425</v>
      </c>
      <c r="G343" s="5" t="s">
        <v>6</v>
      </c>
      <c r="H343" s="6">
        <v>990</v>
      </c>
    </row>
    <row r="344" spans="1:8" ht="15" customHeight="1" x14ac:dyDescent="0.25">
      <c r="A344" s="59"/>
      <c r="B344" s="2">
        <v>45260</v>
      </c>
      <c r="C344" s="3">
        <v>914572458</v>
      </c>
      <c r="D344" s="3">
        <v>56</v>
      </c>
      <c r="E344" s="4" t="s">
        <v>1387</v>
      </c>
      <c r="F344" s="19" t="s">
        <v>425</v>
      </c>
      <c r="G344" s="5" t="s">
        <v>6</v>
      </c>
      <c r="H344" s="6">
        <v>3080</v>
      </c>
    </row>
    <row r="345" spans="1:8" ht="15" customHeight="1" x14ac:dyDescent="0.25">
      <c r="A345" s="59"/>
      <c r="B345" s="2">
        <v>45260</v>
      </c>
      <c r="C345" s="3">
        <v>458443451</v>
      </c>
      <c r="D345" s="3">
        <v>38</v>
      </c>
      <c r="E345" s="4" t="s">
        <v>1019</v>
      </c>
      <c r="F345" s="19" t="s">
        <v>425</v>
      </c>
      <c r="G345" s="5" t="s">
        <v>6</v>
      </c>
      <c r="H345" s="6">
        <v>2090</v>
      </c>
    </row>
    <row r="346" spans="1:8" ht="15" customHeight="1" x14ac:dyDescent="0.25">
      <c r="A346" s="59"/>
      <c r="B346" s="2">
        <v>45260</v>
      </c>
      <c r="C346" s="3">
        <v>1093944970</v>
      </c>
      <c r="D346" s="3">
        <v>18</v>
      </c>
      <c r="E346" s="4" t="s">
        <v>1388</v>
      </c>
      <c r="F346" s="19" t="s">
        <v>425</v>
      </c>
      <c r="G346" s="5" t="s">
        <v>6</v>
      </c>
      <c r="H346" s="6">
        <v>990</v>
      </c>
    </row>
    <row r="347" spans="1:8" ht="15" customHeight="1" x14ac:dyDescent="0.25">
      <c r="A347" s="59"/>
      <c r="B347" s="2">
        <v>45260</v>
      </c>
      <c r="C347" s="3">
        <v>2145076652</v>
      </c>
      <c r="D347" s="3">
        <v>18</v>
      </c>
      <c r="E347" s="4" t="s">
        <v>1143</v>
      </c>
      <c r="F347" s="19" t="s">
        <v>425</v>
      </c>
      <c r="G347" s="5" t="s">
        <v>14</v>
      </c>
      <c r="H347" s="6">
        <v>990</v>
      </c>
    </row>
    <row r="348" spans="1:8" ht="15" customHeight="1" x14ac:dyDescent="0.25">
      <c r="A348" s="59"/>
      <c r="B348" s="2">
        <v>45260</v>
      </c>
      <c r="C348" s="3">
        <v>835601505</v>
      </c>
      <c r="D348" s="3">
        <v>56</v>
      </c>
      <c r="E348" s="4" t="s">
        <v>1389</v>
      </c>
      <c r="F348" s="19" t="s">
        <v>425</v>
      </c>
      <c r="G348" s="5" t="s">
        <v>6</v>
      </c>
      <c r="H348" s="6">
        <v>3080</v>
      </c>
    </row>
    <row r="349" spans="1:8" ht="15" customHeight="1" x14ac:dyDescent="0.25">
      <c r="A349" s="59"/>
      <c r="B349" s="2">
        <v>45260</v>
      </c>
      <c r="C349" s="3">
        <v>242174962</v>
      </c>
      <c r="D349" s="3">
        <v>18</v>
      </c>
      <c r="E349" s="4" t="s">
        <v>1390</v>
      </c>
      <c r="F349" s="19" t="s">
        <v>425</v>
      </c>
      <c r="G349" s="5" t="s">
        <v>6</v>
      </c>
      <c r="H349" s="6">
        <v>990</v>
      </c>
    </row>
    <row r="350" spans="1:8" ht="15" customHeight="1" x14ac:dyDescent="0.25">
      <c r="A350" s="59"/>
      <c r="B350" s="2">
        <v>45260</v>
      </c>
      <c r="C350" s="3">
        <v>4005184205</v>
      </c>
      <c r="D350" s="3">
        <v>38</v>
      </c>
      <c r="E350" s="4" t="s">
        <v>1391</v>
      </c>
      <c r="F350" s="19" t="s">
        <v>425</v>
      </c>
      <c r="G350" s="5" t="s">
        <v>6</v>
      </c>
      <c r="H350" s="6">
        <v>2090</v>
      </c>
    </row>
    <row r="351" spans="1:8" ht="15" customHeight="1" x14ac:dyDescent="0.25">
      <c r="A351" s="59"/>
      <c r="B351" s="2">
        <v>45260</v>
      </c>
      <c r="C351" s="3">
        <v>734740616</v>
      </c>
      <c r="D351" s="3">
        <v>45</v>
      </c>
      <c r="E351" s="4" t="s">
        <v>1392</v>
      </c>
      <c r="F351" s="19" t="s">
        <v>425</v>
      </c>
      <c r="G351" s="5" t="s">
        <v>6</v>
      </c>
      <c r="H351" s="6">
        <v>2475</v>
      </c>
    </row>
    <row r="352" spans="1:8" ht="15" customHeight="1" x14ac:dyDescent="0.25">
      <c r="A352" s="59"/>
      <c r="B352" s="2">
        <v>45260</v>
      </c>
      <c r="C352" s="3">
        <v>734740616</v>
      </c>
      <c r="D352" s="3">
        <v>45</v>
      </c>
      <c r="E352" s="4" t="s">
        <v>1393</v>
      </c>
      <c r="F352" s="19" t="s">
        <v>425</v>
      </c>
      <c r="G352" s="5" t="s">
        <v>6</v>
      </c>
      <c r="H352" s="6">
        <v>2475</v>
      </c>
    </row>
    <row r="353" spans="1:8" ht="15" customHeight="1" x14ac:dyDescent="0.25">
      <c r="A353" s="59"/>
      <c r="B353" s="2">
        <v>45260</v>
      </c>
      <c r="C353" s="3">
        <v>734740616</v>
      </c>
      <c r="D353" s="3">
        <v>46</v>
      </c>
      <c r="E353" s="4" t="s">
        <v>1394</v>
      </c>
      <c r="F353" s="19" t="s">
        <v>425</v>
      </c>
      <c r="G353" s="5" t="s">
        <v>6</v>
      </c>
      <c r="H353" s="6">
        <v>2530</v>
      </c>
    </row>
    <row r="354" spans="1:8" ht="15" customHeight="1" x14ac:dyDescent="0.25">
      <c r="A354" s="59"/>
      <c r="B354" s="2">
        <v>45260</v>
      </c>
      <c r="C354" s="3">
        <v>90786836</v>
      </c>
      <c r="D354" s="3">
        <v>55</v>
      </c>
      <c r="E354" s="4" t="s">
        <v>1395</v>
      </c>
      <c r="F354" s="19" t="s">
        <v>425</v>
      </c>
      <c r="G354" s="5" t="s">
        <v>6</v>
      </c>
      <c r="H354" s="6">
        <v>3080</v>
      </c>
    </row>
    <row r="355" spans="1:8" ht="15" customHeight="1" x14ac:dyDescent="0.25">
      <c r="A355" s="59"/>
      <c r="B355" s="2">
        <v>45264</v>
      </c>
      <c r="C355" s="3">
        <v>1450721348</v>
      </c>
      <c r="D355" s="3">
        <v>35</v>
      </c>
      <c r="E355" s="4" t="s">
        <v>1461</v>
      </c>
      <c r="F355" s="19" t="s">
        <v>425</v>
      </c>
      <c r="G355" s="5" t="s">
        <v>11</v>
      </c>
      <c r="H355" s="6">
        <v>1925</v>
      </c>
    </row>
    <row r="356" spans="1:8" ht="15" customHeight="1" x14ac:dyDescent="0.25">
      <c r="A356" s="59"/>
      <c r="B356" s="2">
        <v>45265</v>
      </c>
      <c r="C356" s="3">
        <v>24399459</v>
      </c>
      <c r="D356" s="3">
        <v>46</v>
      </c>
      <c r="E356" s="4" t="s">
        <v>356</v>
      </c>
      <c r="F356" s="19" t="s">
        <v>425</v>
      </c>
      <c r="G356" s="5" t="s">
        <v>7</v>
      </c>
      <c r="H356" s="6">
        <v>2530</v>
      </c>
    </row>
    <row r="357" spans="1:8" ht="15" customHeight="1" x14ac:dyDescent="0.25">
      <c r="A357" s="59"/>
      <c r="B357" s="2">
        <v>45272</v>
      </c>
      <c r="C357" s="3">
        <v>449857364</v>
      </c>
      <c r="D357" s="3">
        <v>27</v>
      </c>
      <c r="E357" s="4" t="s">
        <v>705</v>
      </c>
      <c r="F357" s="19" t="s">
        <v>425</v>
      </c>
      <c r="G357" s="5" t="s">
        <v>6</v>
      </c>
      <c r="H357" s="6">
        <v>1485</v>
      </c>
    </row>
    <row r="358" spans="1:8" ht="15" customHeight="1" x14ac:dyDescent="0.25">
      <c r="A358" s="59"/>
      <c r="B358" s="2">
        <v>45278</v>
      </c>
      <c r="C358" s="3">
        <v>2469939754</v>
      </c>
      <c r="D358" s="3">
        <v>60</v>
      </c>
      <c r="E358" s="4" t="s">
        <v>1417</v>
      </c>
      <c r="F358" s="19" t="s">
        <v>425</v>
      </c>
      <c r="G358" s="5" t="s">
        <v>7</v>
      </c>
      <c r="H358" s="6">
        <v>3300</v>
      </c>
    </row>
    <row r="359" spans="1:8" ht="20.100000000000001" customHeight="1" x14ac:dyDescent="0.25">
      <c r="A359" s="60"/>
      <c r="B359" s="13"/>
      <c r="C359" s="14"/>
      <c r="D359" s="14"/>
      <c r="E359" s="14" t="s">
        <v>5</v>
      </c>
      <c r="F359" s="15"/>
      <c r="G359" s="16"/>
      <c r="H359" s="17">
        <f>SUM(H3:H358)</f>
        <v>773872.17955600005</v>
      </c>
    </row>
    <row r="360" spans="1:8" ht="20.100000000000001" customHeight="1" x14ac:dyDescent="0.25">
      <c r="A360" s="7"/>
      <c r="B360" s="8"/>
      <c r="C360" s="8"/>
      <c r="D360" s="8"/>
      <c r="E360" s="8"/>
      <c r="F360" s="12"/>
      <c r="G360" s="8"/>
      <c r="H360" s="9"/>
    </row>
  </sheetData>
  <autoFilter ref="A1:H359" xr:uid="{00000000-0009-0000-0000-000026000000}"/>
  <mergeCells count="8">
    <mergeCell ref="G1:G2"/>
    <mergeCell ref="H1:H2"/>
    <mergeCell ref="A1:A359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5"/>
  <sheetViews>
    <sheetView workbookViewId="0">
      <selection activeCell="G8" sqref="G8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8" t="s">
        <v>109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59"/>
      <c r="B2" s="66"/>
      <c r="C2" s="68"/>
      <c r="D2" s="68"/>
      <c r="E2" s="68"/>
      <c r="F2" s="68"/>
      <c r="G2" s="62"/>
      <c r="H2" s="64"/>
    </row>
    <row r="3" spans="1:8" ht="15" customHeight="1" x14ac:dyDescent="0.25">
      <c r="A3" s="59"/>
      <c r="B3" s="54" t="s">
        <v>1438</v>
      </c>
      <c r="C3" s="54" t="s">
        <v>1438</v>
      </c>
      <c r="D3" s="54" t="s">
        <v>1438</v>
      </c>
      <c r="E3" s="54" t="s">
        <v>1438</v>
      </c>
      <c r="F3" s="54" t="s">
        <v>1438</v>
      </c>
      <c r="G3" s="54" t="s">
        <v>1438</v>
      </c>
      <c r="H3" s="6">
        <v>0</v>
      </c>
    </row>
    <row r="4" spans="1:8" ht="20.100000000000001" customHeight="1" x14ac:dyDescent="0.25">
      <c r="A4" s="60"/>
      <c r="B4" s="13"/>
      <c r="C4" s="14"/>
      <c r="D4" s="14"/>
      <c r="E4" s="14" t="s">
        <v>5</v>
      </c>
      <c r="F4" s="15"/>
      <c r="G4" s="16"/>
      <c r="H4" s="40">
        <f>SUM(H3:H3)</f>
        <v>0</v>
      </c>
    </row>
    <row r="5" spans="1:8" ht="20.100000000000001" customHeight="1" x14ac:dyDescent="0.25">
      <c r="A5" s="7"/>
      <c r="B5" s="8"/>
      <c r="C5" s="8"/>
      <c r="D5" s="8"/>
      <c r="E5" s="8"/>
      <c r="F5" s="12"/>
      <c r="G5" s="8"/>
      <c r="H5" s="9"/>
    </row>
  </sheetData>
  <autoFilter ref="A1:H4" xr:uid="{00000000-0009-0000-0000-000027000000}"/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59"/>
  <sheetViews>
    <sheetView topLeftCell="A39" workbookViewId="0">
      <selection activeCell="F54" sqref="F54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41.5703125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8" t="s">
        <v>84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59"/>
      <c r="B2" s="66"/>
      <c r="C2" s="68"/>
      <c r="D2" s="68"/>
      <c r="E2" s="68"/>
      <c r="F2" s="68"/>
      <c r="G2" s="62"/>
      <c r="H2" s="64"/>
    </row>
    <row r="3" spans="1:8" ht="20.100000000000001" customHeight="1" x14ac:dyDescent="0.25">
      <c r="A3" s="59"/>
      <c r="B3" s="2">
        <v>44957</v>
      </c>
      <c r="C3" s="3">
        <v>4165159416</v>
      </c>
      <c r="D3" s="3">
        <v>1</v>
      </c>
      <c r="E3" s="4" t="s">
        <v>121</v>
      </c>
      <c r="F3" s="19" t="s">
        <v>85</v>
      </c>
      <c r="G3" s="5" t="s">
        <v>16</v>
      </c>
      <c r="H3" s="6">
        <v>1461.59</v>
      </c>
    </row>
    <row r="4" spans="1:8" ht="20.100000000000001" customHeight="1" x14ac:dyDescent="0.25">
      <c r="A4" s="59"/>
      <c r="B4" s="2">
        <v>44957</v>
      </c>
      <c r="C4" s="3">
        <v>4165159416</v>
      </c>
      <c r="D4" s="3">
        <v>1</v>
      </c>
      <c r="E4" s="4" t="s">
        <v>121</v>
      </c>
      <c r="F4" s="19" t="s">
        <v>110</v>
      </c>
      <c r="G4" s="5" t="s">
        <v>16</v>
      </c>
      <c r="H4" s="6">
        <v>5820</v>
      </c>
    </row>
    <row r="5" spans="1:8" ht="20.100000000000001" customHeight="1" x14ac:dyDescent="0.25">
      <c r="A5" s="59"/>
      <c r="B5" s="2">
        <v>44957</v>
      </c>
      <c r="C5" s="3">
        <v>4165159416</v>
      </c>
      <c r="D5" s="3">
        <v>1</v>
      </c>
      <c r="E5" s="4" t="s">
        <v>121</v>
      </c>
      <c r="F5" s="19" t="s">
        <v>111</v>
      </c>
      <c r="G5" s="5" t="s">
        <v>16</v>
      </c>
      <c r="H5" s="6">
        <v>3055.5</v>
      </c>
    </row>
    <row r="6" spans="1:8" ht="20.100000000000001" customHeight="1" x14ac:dyDescent="0.25">
      <c r="A6" s="59"/>
      <c r="B6" s="2">
        <v>44957</v>
      </c>
      <c r="C6" s="3">
        <v>4165159416</v>
      </c>
      <c r="D6" s="3">
        <v>1</v>
      </c>
      <c r="E6" s="4" t="s">
        <v>121</v>
      </c>
      <c r="F6" s="19" t="s">
        <v>112</v>
      </c>
      <c r="G6" s="5" t="s">
        <v>16</v>
      </c>
      <c r="H6" s="6">
        <v>3395</v>
      </c>
    </row>
    <row r="7" spans="1:8" ht="20.100000000000001" customHeight="1" x14ac:dyDescent="0.25">
      <c r="A7" s="59"/>
      <c r="B7" s="2">
        <v>44957</v>
      </c>
      <c r="C7" s="3">
        <v>4165159416</v>
      </c>
      <c r="D7" s="3">
        <v>1</v>
      </c>
      <c r="E7" s="4" t="s">
        <v>121</v>
      </c>
      <c r="F7" s="19" t="s">
        <v>107</v>
      </c>
      <c r="G7" s="5" t="s">
        <v>16</v>
      </c>
      <c r="H7" s="6">
        <v>5820</v>
      </c>
    </row>
    <row r="8" spans="1:8" ht="20.100000000000001" customHeight="1" x14ac:dyDescent="0.25">
      <c r="A8" s="59"/>
      <c r="B8" s="2">
        <v>44957</v>
      </c>
      <c r="C8" s="3">
        <v>4165159416</v>
      </c>
      <c r="D8" s="3">
        <v>1</v>
      </c>
      <c r="E8" s="4" t="s">
        <v>121</v>
      </c>
      <c r="F8" s="19" t="s">
        <v>203</v>
      </c>
      <c r="G8" s="5" t="s">
        <v>16</v>
      </c>
      <c r="H8" s="6">
        <v>650</v>
      </c>
    </row>
    <row r="9" spans="1:8" ht="20.100000000000001" customHeight="1" x14ac:dyDescent="0.25">
      <c r="A9" s="59"/>
      <c r="B9" s="2">
        <v>44985</v>
      </c>
      <c r="C9" s="3">
        <v>2101364026</v>
      </c>
      <c r="D9" s="3">
        <v>1</v>
      </c>
      <c r="E9" s="4" t="s">
        <v>121</v>
      </c>
      <c r="F9" s="19" t="s">
        <v>85</v>
      </c>
      <c r="G9" s="5" t="s">
        <v>16</v>
      </c>
      <c r="H9" s="6">
        <v>1461.59</v>
      </c>
    </row>
    <row r="10" spans="1:8" ht="20.100000000000001" customHeight="1" x14ac:dyDescent="0.25">
      <c r="A10" s="59"/>
      <c r="B10" s="2">
        <v>44985</v>
      </c>
      <c r="C10" s="3">
        <v>2101364026</v>
      </c>
      <c r="D10" s="3">
        <v>1</v>
      </c>
      <c r="E10" s="4" t="s">
        <v>121</v>
      </c>
      <c r="F10" s="19" t="s">
        <v>110</v>
      </c>
      <c r="G10" s="5" t="s">
        <v>16</v>
      </c>
      <c r="H10" s="6">
        <v>5820</v>
      </c>
    </row>
    <row r="11" spans="1:8" ht="20.100000000000001" customHeight="1" x14ac:dyDescent="0.25">
      <c r="A11" s="59"/>
      <c r="B11" s="2">
        <v>44985</v>
      </c>
      <c r="C11" s="3">
        <v>2101364026</v>
      </c>
      <c r="D11" s="3">
        <v>1</v>
      </c>
      <c r="E11" s="4" t="s">
        <v>121</v>
      </c>
      <c r="F11" s="19" t="s">
        <v>111</v>
      </c>
      <c r="G11" s="5" t="s">
        <v>16</v>
      </c>
      <c r="H11" s="6">
        <v>3055.5</v>
      </c>
    </row>
    <row r="12" spans="1:8" ht="20.100000000000001" customHeight="1" x14ac:dyDescent="0.25">
      <c r="A12" s="59"/>
      <c r="B12" s="2">
        <v>44985</v>
      </c>
      <c r="C12" s="3">
        <v>2101364026</v>
      </c>
      <c r="D12" s="3">
        <v>1</v>
      </c>
      <c r="E12" s="4" t="s">
        <v>121</v>
      </c>
      <c r="F12" s="19" t="s">
        <v>112</v>
      </c>
      <c r="G12" s="5" t="s">
        <v>16</v>
      </c>
      <c r="H12" s="6">
        <v>3395</v>
      </c>
    </row>
    <row r="13" spans="1:8" ht="20.100000000000001" customHeight="1" x14ac:dyDescent="0.25">
      <c r="A13" s="59"/>
      <c r="B13" s="2">
        <v>44985</v>
      </c>
      <c r="C13" s="3">
        <v>2101364026</v>
      </c>
      <c r="D13" s="3">
        <v>1</v>
      </c>
      <c r="E13" s="4" t="s">
        <v>121</v>
      </c>
      <c r="F13" s="19" t="s">
        <v>107</v>
      </c>
      <c r="G13" s="5" t="s">
        <v>16</v>
      </c>
      <c r="H13" s="6">
        <v>5820</v>
      </c>
    </row>
    <row r="14" spans="1:8" ht="20.100000000000001" customHeight="1" x14ac:dyDescent="0.25">
      <c r="A14" s="59"/>
      <c r="B14" s="2">
        <v>44985</v>
      </c>
      <c r="C14" s="3">
        <v>2101364026</v>
      </c>
      <c r="D14" s="3">
        <v>1</v>
      </c>
      <c r="E14" s="4" t="s">
        <v>121</v>
      </c>
      <c r="F14" s="19" t="s">
        <v>308</v>
      </c>
      <c r="G14" s="5" t="s">
        <v>16</v>
      </c>
      <c r="H14" s="6">
        <v>450</v>
      </c>
    </row>
    <row r="15" spans="1:8" ht="20.100000000000001" customHeight="1" x14ac:dyDescent="0.25">
      <c r="A15" s="59"/>
      <c r="B15" s="2">
        <v>45016</v>
      </c>
      <c r="C15" s="3">
        <v>2292010330</v>
      </c>
      <c r="D15" s="3">
        <v>1</v>
      </c>
      <c r="E15" s="4" t="s">
        <v>121</v>
      </c>
      <c r="F15" s="19" t="s">
        <v>85</v>
      </c>
      <c r="G15" s="5" t="s">
        <v>16</v>
      </c>
      <c r="H15" s="6">
        <v>1461.59</v>
      </c>
    </row>
    <row r="16" spans="1:8" ht="20.100000000000001" customHeight="1" x14ac:dyDescent="0.25">
      <c r="A16" s="59"/>
      <c r="B16" s="2">
        <v>45016</v>
      </c>
      <c r="C16" s="3">
        <v>2292010330</v>
      </c>
      <c r="D16" s="3">
        <v>1</v>
      </c>
      <c r="E16" s="4" t="s">
        <v>121</v>
      </c>
      <c r="F16" s="19" t="s">
        <v>110</v>
      </c>
      <c r="G16" s="5" t="s">
        <v>16</v>
      </c>
      <c r="H16" s="6">
        <v>5820</v>
      </c>
    </row>
    <row r="17" spans="1:8" ht="20.100000000000001" customHeight="1" x14ac:dyDescent="0.25">
      <c r="A17" s="59"/>
      <c r="B17" s="2">
        <v>45016</v>
      </c>
      <c r="C17" s="3">
        <v>2292010330</v>
      </c>
      <c r="D17" s="3">
        <v>1</v>
      </c>
      <c r="E17" s="4" t="s">
        <v>121</v>
      </c>
      <c r="F17" s="19" t="s">
        <v>111</v>
      </c>
      <c r="G17" s="5" t="s">
        <v>16</v>
      </c>
      <c r="H17" s="6">
        <v>3055.5</v>
      </c>
    </row>
    <row r="18" spans="1:8" ht="20.100000000000001" customHeight="1" x14ac:dyDescent="0.25">
      <c r="A18" s="59"/>
      <c r="B18" s="2">
        <v>45016</v>
      </c>
      <c r="C18" s="3">
        <v>2292010330</v>
      </c>
      <c r="D18" s="3">
        <v>1</v>
      </c>
      <c r="E18" s="4" t="s">
        <v>121</v>
      </c>
      <c r="F18" s="19" t="s">
        <v>112</v>
      </c>
      <c r="G18" s="5" t="s">
        <v>16</v>
      </c>
      <c r="H18" s="6">
        <v>3395</v>
      </c>
    </row>
    <row r="19" spans="1:8" ht="20.100000000000001" customHeight="1" x14ac:dyDescent="0.25">
      <c r="A19" s="59"/>
      <c r="B19" s="2">
        <v>45016</v>
      </c>
      <c r="C19" s="3">
        <v>2292010330</v>
      </c>
      <c r="D19" s="3">
        <v>1</v>
      </c>
      <c r="E19" s="4" t="s">
        <v>121</v>
      </c>
      <c r="F19" s="19" t="s">
        <v>107</v>
      </c>
      <c r="G19" s="5" t="s">
        <v>16</v>
      </c>
      <c r="H19" s="6">
        <v>5820</v>
      </c>
    </row>
    <row r="20" spans="1:8" ht="20.100000000000001" customHeight="1" x14ac:dyDescent="0.25">
      <c r="A20" s="59"/>
      <c r="B20" s="2">
        <v>45044</v>
      </c>
      <c r="C20" s="3">
        <v>1294552154</v>
      </c>
      <c r="D20" s="3">
        <v>1</v>
      </c>
      <c r="E20" s="4" t="s">
        <v>121</v>
      </c>
      <c r="F20" s="19" t="s">
        <v>595</v>
      </c>
      <c r="G20" s="5" t="s">
        <v>599</v>
      </c>
      <c r="H20" s="6">
        <v>5820</v>
      </c>
    </row>
    <row r="21" spans="1:8" ht="20.100000000000001" customHeight="1" x14ac:dyDescent="0.25">
      <c r="A21" s="59"/>
      <c r="B21" s="2">
        <v>45044</v>
      </c>
      <c r="C21" s="3">
        <v>1294552154</v>
      </c>
      <c r="D21" s="3">
        <v>1</v>
      </c>
      <c r="E21" s="4" t="s">
        <v>121</v>
      </c>
      <c r="F21" s="19" t="s">
        <v>596</v>
      </c>
      <c r="G21" s="5" t="s">
        <v>599</v>
      </c>
      <c r="H21" s="6">
        <v>3055.5</v>
      </c>
    </row>
    <row r="22" spans="1:8" ht="20.100000000000001" customHeight="1" x14ac:dyDescent="0.25">
      <c r="A22" s="59"/>
      <c r="B22" s="2">
        <v>45044</v>
      </c>
      <c r="C22" s="3">
        <v>1294552154</v>
      </c>
      <c r="D22" s="3">
        <v>1</v>
      </c>
      <c r="E22" s="4" t="s">
        <v>121</v>
      </c>
      <c r="F22" s="19" t="s">
        <v>597</v>
      </c>
      <c r="G22" s="5" t="s">
        <v>599</v>
      </c>
      <c r="H22" s="6">
        <v>3395</v>
      </c>
    </row>
    <row r="23" spans="1:8" ht="15.75" x14ac:dyDescent="0.25">
      <c r="A23" s="59"/>
      <c r="B23" s="2">
        <v>45044</v>
      </c>
      <c r="C23" s="3">
        <v>1294552154</v>
      </c>
      <c r="D23" s="3">
        <v>1</v>
      </c>
      <c r="E23" s="4" t="s">
        <v>121</v>
      </c>
      <c r="F23" s="19" t="s">
        <v>598</v>
      </c>
      <c r="G23" s="5" t="s">
        <v>599</v>
      </c>
      <c r="H23" s="6">
        <v>5820</v>
      </c>
    </row>
    <row r="24" spans="1:8" ht="20.100000000000001" customHeight="1" x14ac:dyDescent="0.25">
      <c r="A24" s="59"/>
      <c r="B24" s="2">
        <v>45044</v>
      </c>
      <c r="C24" s="3">
        <v>1294552154</v>
      </c>
      <c r="D24" s="3">
        <v>1</v>
      </c>
      <c r="E24" s="4" t="s">
        <v>121</v>
      </c>
      <c r="F24" s="19" t="s">
        <v>85</v>
      </c>
      <c r="G24" s="5" t="s">
        <v>599</v>
      </c>
      <c r="H24" s="6">
        <v>1461.59</v>
      </c>
    </row>
    <row r="25" spans="1:8" ht="20.100000000000001" customHeight="1" x14ac:dyDescent="0.25">
      <c r="A25" s="59"/>
      <c r="B25" s="2">
        <v>45077</v>
      </c>
      <c r="C25" s="3">
        <v>1706117896</v>
      </c>
      <c r="D25" s="3">
        <v>1</v>
      </c>
      <c r="E25" s="4" t="s">
        <v>121</v>
      </c>
      <c r="F25" s="19" t="s">
        <v>595</v>
      </c>
      <c r="G25" s="5" t="s">
        <v>16</v>
      </c>
      <c r="H25" s="6">
        <v>5820</v>
      </c>
    </row>
    <row r="26" spans="1:8" ht="20.100000000000001" customHeight="1" x14ac:dyDescent="0.25">
      <c r="A26" s="59"/>
      <c r="B26" s="2">
        <v>45077</v>
      </c>
      <c r="C26" s="3">
        <v>1706117896</v>
      </c>
      <c r="D26" s="3">
        <v>1</v>
      </c>
      <c r="E26" s="4" t="s">
        <v>121</v>
      </c>
      <c r="F26" s="19" t="s">
        <v>596</v>
      </c>
      <c r="G26" s="5" t="s">
        <v>16</v>
      </c>
      <c r="H26" s="6">
        <v>3055.5</v>
      </c>
    </row>
    <row r="27" spans="1:8" ht="20.100000000000001" customHeight="1" x14ac:dyDescent="0.25">
      <c r="A27" s="59"/>
      <c r="B27" s="2">
        <v>45077</v>
      </c>
      <c r="C27" s="3">
        <v>1706117896</v>
      </c>
      <c r="D27" s="3">
        <v>1</v>
      </c>
      <c r="E27" s="4" t="s">
        <v>121</v>
      </c>
      <c r="F27" s="19" t="s">
        <v>597</v>
      </c>
      <c r="G27" s="5" t="s">
        <v>16</v>
      </c>
      <c r="H27" s="6">
        <v>3395</v>
      </c>
    </row>
    <row r="28" spans="1:8" ht="20.100000000000001" customHeight="1" x14ac:dyDescent="0.25">
      <c r="A28" s="59"/>
      <c r="B28" s="2">
        <v>45077</v>
      </c>
      <c r="C28" s="3">
        <v>1706117896</v>
      </c>
      <c r="D28" s="3">
        <v>1</v>
      </c>
      <c r="E28" s="4" t="s">
        <v>121</v>
      </c>
      <c r="F28" s="19" t="s">
        <v>598</v>
      </c>
      <c r="G28" s="5" t="s">
        <v>16</v>
      </c>
      <c r="H28" s="6">
        <v>5820</v>
      </c>
    </row>
    <row r="29" spans="1:8" ht="20.100000000000001" customHeight="1" x14ac:dyDescent="0.25">
      <c r="A29" s="59"/>
      <c r="B29" s="2">
        <v>45077</v>
      </c>
      <c r="C29" s="3">
        <v>1706117896</v>
      </c>
      <c r="D29" s="3">
        <v>1</v>
      </c>
      <c r="E29" s="4" t="s">
        <v>121</v>
      </c>
      <c r="F29" s="19" t="s">
        <v>85</v>
      </c>
      <c r="G29" s="5" t="s">
        <v>16</v>
      </c>
      <c r="H29" s="6">
        <v>1461.59</v>
      </c>
    </row>
    <row r="30" spans="1:8" ht="20.100000000000001" customHeight="1" x14ac:dyDescent="0.25">
      <c r="A30" s="59"/>
      <c r="B30" s="2">
        <v>45077</v>
      </c>
      <c r="C30" s="3">
        <v>1706117896</v>
      </c>
      <c r="D30" s="3">
        <v>1</v>
      </c>
      <c r="E30" s="4" t="s">
        <v>121</v>
      </c>
      <c r="F30" s="19" t="s">
        <v>691</v>
      </c>
      <c r="G30" s="5" t="s">
        <v>16</v>
      </c>
      <c r="H30" s="6">
        <v>200</v>
      </c>
    </row>
    <row r="31" spans="1:8" ht="20.100000000000001" customHeight="1" x14ac:dyDescent="0.25">
      <c r="A31" s="59"/>
      <c r="B31" s="2">
        <v>45107</v>
      </c>
      <c r="C31" s="3">
        <v>3649587861</v>
      </c>
      <c r="D31" s="3">
        <v>1</v>
      </c>
      <c r="E31" s="4" t="s">
        <v>121</v>
      </c>
      <c r="F31" s="19" t="s">
        <v>595</v>
      </c>
      <c r="G31" s="5" t="s">
        <v>16</v>
      </c>
      <c r="H31" s="6">
        <v>5820</v>
      </c>
    </row>
    <row r="32" spans="1:8" ht="20.100000000000001" customHeight="1" x14ac:dyDescent="0.25">
      <c r="A32" s="59"/>
      <c r="B32" s="2">
        <v>45107</v>
      </c>
      <c r="C32" s="3">
        <v>3649587861</v>
      </c>
      <c r="D32" s="3">
        <v>1</v>
      </c>
      <c r="E32" s="4" t="s">
        <v>121</v>
      </c>
      <c r="F32" s="19" t="s">
        <v>596</v>
      </c>
      <c r="G32" s="5" t="s">
        <v>16</v>
      </c>
      <c r="H32" s="6">
        <v>3055.5</v>
      </c>
    </row>
    <row r="33" spans="1:8" ht="20.100000000000001" customHeight="1" x14ac:dyDescent="0.25">
      <c r="A33" s="59"/>
      <c r="B33" s="2">
        <v>45107</v>
      </c>
      <c r="C33" s="3">
        <v>3649587861</v>
      </c>
      <c r="D33" s="3">
        <v>1</v>
      </c>
      <c r="E33" s="4" t="s">
        <v>121</v>
      </c>
      <c r="F33" s="19" t="s">
        <v>597</v>
      </c>
      <c r="G33" s="5" t="s">
        <v>16</v>
      </c>
      <c r="H33" s="6">
        <v>3395</v>
      </c>
    </row>
    <row r="34" spans="1:8" ht="20.100000000000001" customHeight="1" x14ac:dyDescent="0.25">
      <c r="A34" s="59"/>
      <c r="B34" s="2">
        <v>45107</v>
      </c>
      <c r="C34" s="3">
        <v>3649587861</v>
      </c>
      <c r="D34" s="3">
        <v>1</v>
      </c>
      <c r="E34" s="4" t="s">
        <v>121</v>
      </c>
      <c r="F34" s="19" t="s">
        <v>598</v>
      </c>
      <c r="G34" s="5" t="s">
        <v>16</v>
      </c>
      <c r="H34" s="6">
        <v>5820</v>
      </c>
    </row>
    <row r="35" spans="1:8" ht="20.100000000000001" customHeight="1" x14ac:dyDescent="0.25">
      <c r="A35" s="59"/>
      <c r="B35" s="2">
        <v>45107</v>
      </c>
      <c r="C35" s="3">
        <v>3649587861</v>
      </c>
      <c r="D35" s="3">
        <v>1</v>
      </c>
      <c r="E35" s="4" t="s">
        <v>121</v>
      </c>
      <c r="F35" s="19" t="s">
        <v>85</v>
      </c>
      <c r="G35" s="5" t="s">
        <v>16</v>
      </c>
      <c r="H35" s="6">
        <v>1461.59</v>
      </c>
    </row>
    <row r="36" spans="1:8" ht="20.100000000000001" customHeight="1" x14ac:dyDescent="0.25">
      <c r="A36" s="59"/>
      <c r="B36" s="2">
        <v>45138</v>
      </c>
      <c r="C36" s="3">
        <v>3130871317</v>
      </c>
      <c r="D36" s="3">
        <v>1</v>
      </c>
      <c r="E36" s="4" t="s">
        <v>121</v>
      </c>
      <c r="F36" s="19" t="s">
        <v>85</v>
      </c>
      <c r="G36" s="5" t="s">
        <v>16</v>
      </c>
      <c r="H36" s="6">
        <v>1461.59</v>
      </c>
    </row>
    <row r="37" spans="1:8" ht="20.100000000000001" customHeight="1" x14ac:dyDescent="0.25">
      <c r="A37" s="59"/>
      <c r="B37" s="2">
        <v>45138</v>
      </c>
      <c r="C37" s="3">
        <v>3130871317</v>
      </c>
      <c r="D37" s="3">
        <v>1</v>
      </c>
      <c r="E37" s="4" t="s">
        <v>121</v>
      </c>
      <c r="F37" s="19" t="s">
        <v>595</v>
      </c>
      <c r="G37" s="5" t="s">
        <v>16</v>
      </c>
      <c r="H37" s="6">
        <v>2910</v>
      </c>
    </row>
    <row r="38" spans="1:8" ht="20.100000000000001" customHeight="1" x14ac:dyDescent="0.25">
      <c r="A38" s="59"/>
      <c r="B38" s="2">
        <v>45138</v>
      </c>
      <c r="C38" s="3">
        <v>3130871317</v>
      </c>
      <c r="D38" s="3">
        <v>1</v>
      </c>
      <c r="E38" s="4" t="s">
        <v>121</v>
      </c>
      <c r="F38" s="19" t="s">
        <v>596</v>
      </c>
      <c r="G38" s="5" t="s">
        <v>16</v>
      </c>
      <c r="H38" s="6">
        <v>3055.5</v>
      </c>
    </row>
    <row r="39" spans="1:8" ht="20.100000000000001" customHeight="1" x14ac:dyDescent="0.25">
      <c r="A39" s="59"/>
      <c r="B39" s="2">
        <v>45138</v>
      </c>
      <c r="C39" s="3">
        <v>3130871317</v>
      </c>
      <c r="D39" s="3">
        <v>1</v>
      </c>
      <c r="E39" s="4" t="s">
        <v>121</v>
      </c>
      <c r="F39" s="19" t="s">
        <v>597</v>
      </c>
      <c r="G39" s="5" t="s">
        <v>16</v>
      </c>
      <c r="H39" s="6">
        <v>3395</v>
      </c>
    </row>
    <row r="40" spans="1:8" ht="20.100000000000001" customHeight="1" x14ac:dyDescent="0.25">
      <c r="A40" s="59"/>
      <c r="B40" s="2">
        <v>45138</v>
      </c>
      <c r="C40" s="3">
        <v>3130871317</v>
      </c>
      <c r="D40" s="3">
        <v>1</v>
      </c>
      <c r="E40" s="4" t="s">
        <v>121</v>
      </c>
      <c r="F40" s="19" t="s">
        <v>598</v>
      </c>
      <c r="G40" s="5" t="s">
        <v>16</v>
      </c>
      <c r="H40" s="6">
        <v>2910</v>
      </c>
    </row>
    <row r="41" spans="1:8" ht="20.100000000000001" customHeight="1" x14ac:dyDescent="0.25">
      <c r="A41" s="59"/>
      <c r="B41" s="2">
        <v>45169</v>
      </c>
      <c r="C41" s="3">
        <v>1479297244</v>
      </c>
      <c r="D41" s="3">
        <v>1</v>
      </c>
      <c r="E41" s="4" t="s">
        <v>121</v>
      </c>
      <c r="F41" s="19" t="s">
        <v>85</v>
      </c>
      <c r="G41" s="5" t="s">
        <v>16</v>
      </c>
      <c r="H41" s="6">
        <v>1461.59</v>
      </c>
    </row>
    <row r="42" spans="1:8" ht="20.100000000000001" customHeight="1" x14ac:dyDescent="0.25">
      <c r="A42" s="59"/>
      <c r="B42" s="2">
        <v>45169</v>
      </c>
      <c r="C42" s="3">
        <v>1479297244</v>
      </c>
      <c r="D42" s="3">
        <v>1</v>
      </c>
      <c r="E42" s="4" t="s">
        <v>121</v>
      </c>
      <c r="F42" s="19" t="s">
        <v>596</v>
      </c>
      <c r="G42" s="5" t="s">
        <v>16</v>
      </c>
      <c r="H42" s="6">
        <v>3055.5</v>
      </c>
    </row>
    <row r="43" spans="1:8" ht="20.100000000000001" customHeight="1" x14ac:dyDescent="0.25">
      <c r="A43" s="59"/>
      <c r="B43" s="2">
        <v>45169</v>
      </c>
      <c r="C43" s="3">
        <v>1479297244</v>
      </c>
      <c r="D43" s="3">
        <v>1</v>
      </c>
      <c r="E43" s="4" t="s">
        <v>121</v>
      </c>
      <c r="F43" s="19" t="s">
        <v>597</v>
      </c>
      <c r="G43" s="5" t="s">
        <v>16</v>
      </c>
      <c r="H43" s="6">
        <v>3395</v>
      </c>
    </row>
    <row r="44" spans="1:8" ht="20.100000000000001" customHeight="1" x14ac:dyDescent="0.25">
      <c r="A44" s="59"/>
      <c r="B44" s="2">
        <v>45169</v>
      </c>
      <c r="C44" s="3">
        <v>1479297244</v>
      </c>
      <c r="D44" s="3">
        <v>1</v>
      </c>
      <c r="E44" s="4" t="s">
        <v>121</v>
      </c>
      <c r="F44" s="19" t="s">
        <v>598</v>
      </c>
      <c r="G44" s="5" t="s">
        <v>16</v>
      </c>
      <c r="H44" s="6">
        <v>750</v>
      </c>
    </row>
    <row r="45" spans="1:8" ht="20.100000000000001" customHeight="1" x14ac:dyDescent="0.25">
      <c r="A45" s="59"/>
      <c r="B45" s="2">
        <v>45198</v>
      </c>
      <c r="C45" s="3">
        <v>43468710</v>
      </c>
      <c r="D45" s="3">
        <v>1</v>
      </c>
      <c r="E45" s="4" t="s">
        <v>121</v>
      </c>
      <c r="F45" s="19" t="s">
        <v>85</v>
      </c>
      <c r="G45" s="5" t="s">
        <v>16</v>
      </c>
      <c r="H45" s="6">
        <v>1461.59</v>
      </c>
    </row>
    <row r="46" spans="1:8" ht="20.100000000000001" customHeight="1" x14ac:dyDescent="0.25">
      <c r="A46" s="59"/>
      <c r="B46" s="2">
        <v>45198</v>
      </c>
      <c r="C46" s="3">
        <v>43468710</v>
      </c>
      <c r="D46" s="3">
        <v>1</v>
      </c>
      <c r="E46" s="4" t="s">
        <v>121</v>
      </c>
      <c r="F46" s="19" t="s">
        <v>596</v>
      </c>
      <c r="G46" s="5" t="s">
        <v>16</v>
      </c>
      <c r="H46" s="6">
        <v>3055.5</v>
      </c>
    </row>
    <row r="47" spans="1:8" ht="20.100000000000001" customHeight="1" x14ac:dyDescent="0.25">
      <c r="A47" s="59"/>
      <c r="B47" s="2">
        <v>45198</v>
      </c>
      <c r="C47" s="3">
        <v>43468710</v>
      </c>
      <c r="D47" s="3">
        <v>1</v>
      </c>
      <c r="E47" s="4" t="s">
        <v>121</v>
      </c>
      <c r="F47" s="19" t="s">
        <v>597</v>
      </c>
      <c r="G47" s="5" t="s">
        <v>16</v>
      </c>
      <c r="H47" s="6">
        <v>3055.5</v>
      </c>
    </row>
    <row r="48" spans="1:8" ht="20.100000000000001" customHeight="1" x14ac:dyDescent="0.25">
      <c r="A48" s="59"/>
      <c r="B48" s="2">
        <v>45231</v>
      </c>
      <c r="C48" s="3">
        <v>3978445162</v>
      </c>
      <c r="D48" s="3">
        <v>1</v>
      </c>
      <c r="E48" s="4" t="s">
        <v>121</v>
      </c>
      <c r="F48" s="19" t="s">
        <v>1369</v>
      </c>
      <c r="G48" s="5" t="s">
        <v>16</v>
      </c>
      <c r="H48" s="6">
        <v>1461.59</v>
      </c>
    </row>
    <row r="49" spans="1:8" ht="20.100000000000001" customHeight="1" x14ac:dyDescent="0.25">
      <c r="A49" s="59"/>
      <c r="B49" s="2">
        <v>45231</v>
      </c>
      <c r="C49" s="3">
        <v>3978445162</v>
      </c>
      <c r="D49" s="3">
        <v>1</v>
      </c>
      <c r="E49" s="4" t="s">
        <v>121</v>
      </c>
      <c r="F49" s="19" t="s">
        <v>596</v>
      </c>
      <c r="G49" s="5" t="s">
        <v>16</v>
      </c>
      <c r="H49" s="6">
        <v>3055.5</v>
      </c>
    </row>
    <row r="50" spans="1:8" ht="20.100000000000001" customHeight="1" x14ac:dyDescent="0.25">
      <c r="A50" s="59"/>
      <c r="B50" s="2">
        <v>45231</v>
      </c>
      <c r="C50" s="3">
        <v>3978445162</v>
      </c>
      <c r="D50" s="3">
        <v>1</v>
      </c>
      <c r="E50" s="4" t="s">
        <v>121</v>
      </c>
      <c r="F50" s="19" t="s">
        <v>597</v>
      </c>
      <c r="G50" s="5" t="s">
        <v>16</v>
      </c>
      <c r="H50" s="6">
        <v>3395</v>
      </c>
    </row>
    <row r="51" spans="1:8" ht="20.100000000000001" customHeight="1" x14ac:dyDescent="0.25">
      <c r="A51" s="59"/>
      <c r="B51" s="2">
        <v>45260</v>
      </c>
      <c r="C51" s="3">
        <v>605701416</v>
      </c>
      <c r="D51" s="3">
        <v>1</v>
      </c>
      <c r="E51" s="4" t="s">
        <v>121</v>
      </c>
      <c r="F51" s="19" t="s">
        <v>1369</v>
      </c>
      <c r="G51" s="5" t="s">
        <v>16</v>
      </c>
      <c r="H51" s="6">
        <v>1461.59</v>
      </c>
    </row>
    <row r="52" spans="1:8" ht="20.100000000000001" customHeight="1" x14ac:dyDescent="0.25">
      <c r="A52" s="59"/>
      <c r="B52" s="2">
        <v>45260</v>
      </c>
      <c r="C52" s="3">
        <v>605701416</v>
      </c>
      <c r="D52" s="3">
        <v>1</v>
      </c>
      <c r="E52" s="4" t="s">
        <v>121</v>
      </c>
      <c r="F52" s="19" t="s">
        <v>596</v>
      </c>
      <c r="G52" s="5" t="s">
        <v>16</v>
      </c>
      <c r="H52" s="6">
        <v>3055.5</v>
      </c>
    </row>
    <row r="53" spans="1:8" ht="20.100000000000001" customHeight="1" x14ac:dyDescent="0.25">
      <c r="A53" s="59"/>
      <c r="B53" s="2">
        <v>45260</v>
      </c>
      <c r="C53" s="3">
        <v>605701416</v>
      </c>
      <c r="D53" s="3">
        <v>1</v>
      </c>
      <c r="E53" s="4" t="s">
        <v>121</v>
      </c>
      <c r="F53" s="19" t="s">
        <v>597</v>
      </c>
      <c r="G53" s="5" t="s">
        <v>16</v>
      </c>
      <c r="H53" s="6">
        <v>3395</v>
      </c>
    </row>
    <row r="54" spans="1:8" ht="20.100000000000001" customHeight="1" x14ac:dyDescent="0.25">
      <c r="A54" s="59"/>
      <c r="B54" s="2">
        <v>45280</v>
      </c>
      <c r="C54" s="3">
        <v>1936477407</v>
      </c>
      <c r="D54" s="3">
        <v>1</v>
      </c>
      <c r="E54" s="4" t="s">
        <v>121</v>
      </c>
      <c r="F54" s="19" t="s">
        <v>1369</v>
      </c>
      <c r="G54" s="5" t="s">
        <v>16</v>
      </c>
      <c r="H54" s="6">
        <v>1461.59</v>
      </c>
    </row>
    <row r="55" spans="1:8" ht="20.100000000000001" customHeight="1" x14ac:dyDescent="0.25">
      <c r="A55" s="59"/>
      <c r="B55" s="2">
        <v>45280</v>
      </c>
      <c r="C55" s="3">
        <v>1936477407</v>
      </c>
      <c r="D55" s="3">
        <v>1</v>
      </c>
      <c r="E55" s="4" t="s">
        <v>121</v>
      </c>
      <c r="F55" s="19" t="s">
        <v>596</v>
      </c>
      <c r="G55" s="5" t="s">
        <v>16</v>
      </c>
      <c r="H55" s="6">
        <v>3055.5</v>
      </c>
    </row>
    <row r="56" spans="1:8" ht="20.100000000000001" customHeight="1" x14ac:dyDescent="0.25">
      <c r="A56" s="59"/>
      <c r="B56" s="2">
        <v>45280</v>
      </c>
      <c r="C56" s="3">
        <v>1936477407</v>
      </c>
      <c r="D56" s="3">
        <v>1</v>
      </c>
      <c r="E56" s="4" t="s">
        <v>121</v>
      </c>
      <c r="F56" s="19" t="s">
        <v>597</v>
      </c>
      <c r="G56" s="5" t="s">
        <v>16</v>
      </c>
      <c r="H56" s="6">
        <v>3395</v>
      </c>
    </row>
    <row r="57" spans="1:8" ht="20.100000000000001" customHeight="1" x14ac:dyDescent="0.25">
      <c r="A57" s="59"/>
      <c r="B57" s="2">
        <v>45280</v>
      </c>
      <c r="C57" s="3">
        <v>1936477407</v>
      </c>
      <c r="D57" s="3">
        <v>1</v>
      </c>
      <c r="E57" s="4" t="s">
        <v>121</v>
      </c>
      <c r="F57" s="19" t="s">
        <v>203</v>
      </c>
      <c r="G57" s="5" t="s">
        <v>16</v>
      </c>
      <c r="H57" s="6">
        <v>1750</v>
      </c>
    </row>
    <row r="58" spans="1:8" ht="20.100000000000001" customHeight="1" x14ac:dyDescent="0.25">
      <c r="A58" s="60"/>
      <c r="B58" s="13"/>
      <c r="C58" s="14"/>
      <c r="D58" s="14"/>
      <c r="E58" s="14" t="s">
        <v>5</v>
      </c>
      <c r="F58" s="15"/>
      <c r="G58" s="16"/>
      <c r="H58" s="17">
        <f>SUM(H3:H57)</f>
        <v>174065.57999999996</v>
      </c>
    </row>
    <row r="59" spans="1:8" ht="20.100000000000001" customHeight="1" x14ac:dyDescent="0.25">
      <c r="A59" s="7"/>
      <c r="B59" s="8"/>
      <c r="C59" s="8"/>
      <c r="D59" s="8"/>
      <c r="E59" s="8"/>
      <c r="F59" s="12"/>
      <c r="G59" s="8"/>
      <c r="H59" s="9"/>
    </row>
  </sheetData>
  <mergeCells count="8">
    <mergeCell ref="G1:G2"/>
    <mergeCell ref="H1:H2"/>
    <mergeCell ref="A1:A58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5"/>
  <sheetViews>
    <sheetView workbookViewId="0">
      <selection activeCell="F13" sqref="F13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58" t="s">
        <v>83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59"/>
      <c r="B2" s="66"/>
      <c r="C2" s="68"/>
      <c r="D2" s="68"/>
      <c r="E2" s="68"/>
      <c r="F2" s="68"/>
      <c r="G2" s="62"/>
      <c r="H2" s="64"/>
    </row>
    <row r="3" spans="1:8" ht="20.100000000000001" customHeight="1" x14ac:dyDescent="0.25">
      <c r="A3" s="59"/>
      <c r="B3" s="2">
        <v>45007</v>
      </c>
      <c r="C3" s="3">
        <v>2341880464</v>
      </c>
      <c r="D3" s="3">
        <v>1</v>
      </c>
      <c r="E3" s="4" t="s">
        <v>448</v>
      </c>
      <c r="F3" s="19" t="s">
        <v>536</v>
      </c>
      <c r="G3" s="5" t="s">
        <v>36</v>
      </c>
      <c r="H3" s="6">
        <v>95</v>
      </c>
    </row>
    <row r="4" spans="1:8" ht="20.100000000000001" customHeight="1" x14ac:dyDescent="0.25">
      <c r="A4" s="60"/>
      <c r="B4" s="13"/>
      <c r="C4" s="14"/>
      <c r="D4" s="14"/>
      <c r="E4" s="14" t="s">
        <v>5</v>
      </c>
      <c r="F4" s="15"/>
      <c r="G4" s="16"/>
      <c r="H4" s="40">
        <f>SUM(H3:H3)</f>
        <v>95</v>
      </c>
    </row>
    <row r="5" spans="1:8" ht="20.100000000000001" customHeight="1" x14ac:dyDescent="0.25">
      <c r="A5" s="7"/>
      <c r="B5" s="8"/>
      <c r="C5" s="8"/>
      <c r="D5" s="8"/>
      <c r="E5" s="8"/>
      <c r="F5" s="12"/>
      <c r="G5" s="8"/>
      <c r="H5" s="9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9"/>
  <sheetViews>
    <sheetView workbookViewId="0">
      <selection activeCell="H7" sqref="H7"/>
    </sheetView>
  </sheetViews>
  <sheetFormatPr baseColWidth="10" defaultColWidth="9.140625" defaultRowHeight="15" x14ac:dyDescent="0.25"/>
  <cols>
    <col min="1" max="1" width="20.855468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311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15" customHeight="1" x14ac:dyDescent="0.25">
      <c r="A3" s="79"/>
      <c r="B3" s="2">
        <v>44973</v>
      </c>
      <c r="C3" s="3">
        <v>1258243715</v>
      </c>
      <c r="D3" s="3">
        <v>1</v>
      </c>
      <c r="E3" s="4" t="s">
        <v>263</v>
      </c>
      <c r="F3" s="28" t="s">
        <v>311</v>
      </c>
      <c r="G3" s="5" t="s">
        <v>16</v>
      </c>
      <c r="H3" s="6">
        <v>313.60000000000002</v>
      </c>
    </row>
    <row r="4" spans="1:8" ht="15" customHeight="1" x14ac:dyDescent="0.25">
      <c r="A4" s="79"/>
      <c r="B4" s="2">
        <v>45012</v>
      </c>
      <c r="C4" s="3">
        <v>348786542</v>
      </c>
      <c r="D4" s="3">
        <v>1</v>
      </c>
      <c r="E4" s="4" t="s">
        <v>538</v>
      </c>
      <c r="F4" s="28" t="s">
        <v>311</v>
      </c>
      <c r="G4" s="5" t="s">
        <v>6</v>
      </c>
      <c r="H4" s="6">
        <v>200</v>
      </c>
    </row>
    <row r="5" spans="1:8" ht="15" customHeight="1" x14ac:dyDescent="0.25">
      <c r="A5" s="79"/>
      <c r="B5" s="2">
        <v>45093</v>
      </c>
      <c r="C5" s="3">
        <v>1352551502</v>
      </c>
      <c r="D5" s="3">
        <v>1</v>
      </c>
      <c r="E5" s="4" t="s">
        <v>704</v>
      </c>
      <c r="F5" s="28" t="s">
        <v>772</v>
      </c>
      <c r="G5" s="5" t="s">
        <v>7</v>
      </c>
      <c r="H5" s="6">
        <v>215</v>
      </c>
    </row>
    <row r="6" spans="1:8" ht="15" customHeight="1" x14ac:dyDescent="0.25">
      <c r="A6" s="79"/>
      <c r="B6" s="2">
        <v>45133</v>
      </c>
      <c r="C6" s="3">
        <v>1774862786</v>
      </c>
      <c r="D6" s="3">
        <v>1</v>
      </c>
      <c r="E6" s="4" t="s">
        <v>937</v>
      </c>
      <c r="F6" s="28" t="s">
        <v>311</v>
      </c>
      <c r="G6" s="5" t="s">
        <v>7</v>
      </c>
      <c r="H6" s="6">
        <v>3354.58</v>
      </c>
    </row>
    <row r="7" spans="1:8" ht="15" customHeight="1" x14ac:dyDescent="0.25">
      <c r="A7" s="79"/>
      <c r="B7" s="2">
        <v>45159</v>
      </c>
      <c r="C7" s="3">
        <v>1710833804</v>
      </c>
      <c r="D7" s="3">
        <v>1</v>
      </c>
      <c r="E7" s="4" t="s">
        <v>956</v>
      </c>
      <c r="F7" s="28" t="s">
        <v>311</v>
      </c>
      <c r="G7" s="5" t="s">
        <v>28</v>
      </c>
      <c r="H7" s="6">
        <v>245</v>
      </c>
    </row>
    <row r="8" spans="1:8" ht="20.100000000000001" customHeight="1" x14ac:dyDescent="0.25">
      <c r="A8" s="80"/>
      <c r="B8" s="13"/>
      <c r="C8" s="14"/>
      <c r="D8" s="14"/>
      <c r="E8" s="14" t="s">
        <v>5</v>
      </c>
      <c r="F8" s="15"/>
      <c r="G8" s="16"/>
      <c r="H8" s="40">
        <f>SUM(H3:H7)</f>
        <v>4328.18</v>
      </c>
    </row>
    <row r="9" spans="1:8" ht="20.100000000000001" customHeight="1" x14ac:dyDescent="0.25">
      <c r="A9" s="7"/>
      <c r="B9" s="8"/>
      <c r="C9" s="8"/>
      <c r="D9" s="8"/>
      <c r="E9" s="8"/>
      <c r="F9" s="12"/>
      <c r="G9" s="8"/>
      <c r="H9" s="9"/>
    </row>
  </sheetData>
  <autoFilter ref="A1:H8" xr:uid="{00000000-0009-0000-0000-00002A000000}"/>
  <mergeCells count="8">
    <mergeCell ref="G1:G2"/>
    <mergeCell ref="H1:H2"/>
    <mergeCell ref="A1:A8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6"/>
  <sheetViews>
    <sheetView workbookViewId="0">
      <selection activeCell="H3" sqref="H3"/>
    </sheetView>
  </sheetViews>
  <sheetFormatPr baseColWidth="10" defaultColWidth="9.140625" defaultRowHeight="15" x14ac:dyDescent="0.25"/>
  <cols>
    <col min="1" max="1" width="24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122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20.100000000000001" customHeight="1" x14ac:dyDescent="0.25">
      <c r="A3" s="79"/>
      <c r="B3" s="2">
        <v>44993</v>
      </c>
      <c r="C3" s="3">
        <v>884624540</v>
      </c>
      <c r="D3" s="3">
        <v>1</v>
      </c>
      <c r="E3" s="4" t="s">
        <v>522</v>
      </c>
      <c r="F3" s="19" t="s">
        <v>122</v>
      </c>
      <c r="G3" s="5" t="s">
        <v>6</v>
      </c>
      <c r="H3" s="6">
        <v>600</v>
      </c>
    </row>
    <row r="4" spans="1:8" ht="20.100000000000001" customHeight="1" x14ac:dyDescent="0.25">
      <c r="A4" s="79"/>
      <c r="B4" s="2">
        <v>45104</v>
      </c>
      <c r="C4" s="3">
        <v>2782872032</v>
      </c>
      <c r="D4" s="3">
        <v>1</v>
      </c>
      <c r="E4" s="4" t="s">
        <v>773</v>
      </c>
      <c r="F4" s="19" t="s">
        <v>774</v>
      </c>
      <c r="G4" s="5" t="s">
        <v>6</v>
      </c>
      <c r="H4" s="6">
        <v>600</v>
      </c>
    </row>
    <row r="5" spans="1:8" ht="20.100000000000001" customHeight="1" x14ac:dyDescent="0.25">
      <c r="A5" s="80"/>
      <c r="B5" s="13"/>
      <c r="C5" s="14"/>
      <c r="D5" s="14"/>
      <c r="E5" s="14" t="s">
        <v>5</v>
      </c>
      <c r="F5" s="15"/>
      <c r="G5" s="16"/>
      <c r="H5" s="17">
        <f>SUM(H3:H4)</f>
        <v>1200</v>
      </c>
    </row>
    <row r="6" spans="1:8" ht="20.100000000000001" customHeight="1" x14ac:dyDescent="0.25">
      <c r="A6" s="7"/>
      <c r="B6" s="8"/>
      <c r="C6" s="8"/>
      <c r="D6" s="8"/>
      <c r="E6" s="8"/>
      <c r="F6" s="12"/>
      <c r="G6" s="8"/>
      <c r="H6" s="9"/>
    </row>
  </sheetData>
  <mergeCells count="8">
    <mergeCell ref="G1:G2"/>
    <mergeCell ref="H1:H2"/>
    <mergeCell ref="A1:A5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5"/>
  <sheetViews>
    <sheetView workbookViewId="0">
      <selection activeCell="H4" sqref="H4"/>
    </sheetView>
  </sheetViews>
  <sheetFormatPr baseColWidth="10" defaultColWidth="9.140625" defaultRowHeight="15" x14ac:dyDescent="0.25"/>
  <cols>
    <col min="1" max="1" width="24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124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20.100000000000001" customHeight="1" x14ac:dyDescent="0.25">
      <c r="A3" s="79"/>
      <c r="B3" s="54" t="s">
        <v>1438</v>
      </c>
      <c r="C3" s="54" t="s">
        <v>1438</v>
      </c>
      <c r="D3" s="54" t="s">
        <v>1438</v>
      </c>
      <c r="E3" s="54" t="s">
        <v>1438</v>
      </c>
      <c r="F3" s="54" t="s">
        <v>1438</v>
      </c>
      <c r="G3" s="54" t="s">
        <v>1438</v>
      </c>
      <c r="H3" s="6">
        <v>0</v>
      </c>
    </row>
    <row r="4" spans="1:8" ht="20.100000000000001" customHeight="1" x14ac:dyDescent="0.25">
      <c r="A4" s="80"/>
      <c r="B4" s="13"/>
      <c r="C4" s="14"/>
      <c r="D4" s="14"/>
      <c r="E4" s="14" t="s">
        <v>5</v>
      </c>
      <c r="F4" s="15"/>
      <c r="G4" s="16"/>
      <c r="H4" s="17">
        <f>SUM(H3:H3)</f>
        <v>0</v>
      </c>
    </row>
    <row r="5" spans="1:8" ht="20.100000000000001" customHeight="1" x14ac:dyDescent="0.25">
      <c r="A5" s="7"/>
      <c r="B5" s="8"/>
      <c r="C5" s="8"/>
      <c r="D5" s="8"/>
      <c r="E5" s="8"/>
      <c r="F5" s="12"/>
      <c r="G5" s="8"/>
      <c r="H5" s="9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87"/>
  <sheetViews>
    <sheetView topLeftCell="A68" workbookViewId="0">
      <selection activeCell="G83" sqref="G83"/>
    </sheetView>
  </sheetViews>
  <sheetFormatPr baseColWidth="10" defaultColWidth="9.140625" defaultRowHeight="15" x14ac:dyDescent="0.25"/>
  <cols>
    <col min="1" max="1" width="24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128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20.100000000000001" customHeight="1" x14ac:dyDescent="0.25">
      <c r="A3" s="79"/>
      <c r="B3" s="2">
        <v>44930</v>
      </c>
      <c r="C3" s="3">
        <v>2375762778</v>
      </c>
      <c r="D3" s="3">
        <v>6</v>
      </c>
      <c r="E3" s="4" t="s">
        <v>205</v>
      </c>
      <c r="F3" s="19" t="s">
        <v>136</v>
      </c>
      <c r="G3" s="5" t="s">
        <v>7</v>
      </c>
      <c r="H3" s="6">
        <v>3000</v>
      </c>
    </row>
    <row r="4" spans="1:8" ht="20.100000000000001" customHeight="1" x14ac:dyDescent="0.25">
      <c r="A4" s="79"/>
      <c r="B4" s="2">
        <v>44935</v>
      </c>
      <c r="C4" s="3">
        <v>1604799877</v>
      </c>
      <c r="D4" s="3">
        <v>6</v>
      </c>
      <c r="E4" s="4" t="s">
        <v>206</v>
      </c>
      <c r="F4" s="19" t="s">
        <v>136</v>
      </c>
      <c r="G4" s="5" t="s">
        <v>11</v>
      </c>
      <c r="H4" s="6">
        <v>3000</v>
      </c>
    </row>
    <row r="5" spans="1:8" ht="20.100000000000001" customHeight="1" x14ac:dyDescent="0.25">
      <c r="A5" s="79"/>
      <c r="B5" s="2">
        <v>44935</v>
      </c>
      <c r="C5" s="3">
        <v>1148078848</v>
      </c>
      <c r="D5" s="3">
        <v>10</v>
      </c>
      <c r="E5" s="4" t="s">
        <v>207</v>
      </c>
      <c r="F5" s="19" t="s">
        <v>136</v>
      </c>
      <c r="G5" s="5" t="s">
        <v>7</v>
      </c>
      <c r="H5" s="6">
        <v>5000</v>
      </c>
    </row>
    <row r="6" spans="1:8" ht="20.100000000000001" customHeight="1" x14ac:dyDescent="0.25">
      <c r="A6" s="79"/>
      <c r="B6" s="2">
        <v>44937</v>
      </c>
      <c r="C6" s="3">
        <v>3177205311</v>
      </c>
      <c r="D6" s="3">
        <v>6</v>
      </c>
      <c r="E6" s="4" t="s">
        <v>90</v>
      </c>
      <c r="F6" s="19" t="s">
        <v>136</v>
      </c>
      <c r="G6" s="5" t="s">
        <v>6</v>
      </c>
      <c r="H6" s="6">
        <v>3000</v>
      </c>
    </row>
    <row r="7" spans="1:8" ht="20.100000000000001" customHeight="1" x14ac:dyDescent="0.25">
      <c r="A7" s="79"/>
      <c r="B7" s="2">
        <v>44937</v>
      </c>
      <c r="C7" s="3">
        <v>3954852998</v>
      </c>
      <c r="D7" s="3">
        <v>4</v>
      </c>
      <c r="E7" s="4" t="s">
        <v>208</v>
      </c>
      <c r="F7" s="19" t="s">
        <v>136</v>
      </c>
      <c r="G7" s="5" t="s">
        <v>7</v>
      </c>
      <c r="H7" s="6">
        <v>2000</v>
      </c>
    </row>
    <row r="8" spans="1:8" ht="20.100000000000001" customHeight="1" x14ac:dyDescent="0.25">
      <c r="A8" s="79"/>
      <c r="B8" s="2">
        <v>44938</v>
      </c>
      <c r="C8" s="3">
        <v>699679277</v>
      </c>
      <c r="D8" s="3">
        <v>10</v>
      </c>
      <c r="E8" s="4" t="s">
        <v>132</v>
      </c>
      <c r="F8" s="19" t="s">
        <v>136</v>
      </c>
      <c r="G8" s="5" t="s">
        <v>28</v>
      </c>
      <c r="H8" s="6">
        <v>5000</v>
      </c>
    </row>
    <row r="9" spans="1:8" ht="20.100000000000001" customHeight="1" x14ac:dyDescent="0.25">
      <c r="A9" s="79"/>
      <c r="B9" s="2">
        <v>44943</v>
      </c>
      <c r="C9" s="3">
        <v>561334754</v>
      </c>
      <c r="D9" s="3">
        <v>6</v>
      </c>
      <c r="E9" s="4" t="s">
        <v>135</v>
      </c>
      <c r="F9" s="19" t="s">
        <v>136</v>
      </c>
      <c r="G9" s="5" t="s">
        <v>7</v>
      </c>
      <c r="H9" s="6">
        <v>3000</v>
      </c>
    </row>
    <row r="10" spans="1:8" ht="15.75" x14ac:dyDescent="0.25">
      <c r="A10" s="79"/>
      <c r="B10" s="2">
        <v>44944</v>
      </c>
      <c r="C10" s="3">
        <v>4227025192</v>
      </c>
      <c r="D10" s="3">
        <v>4</v>
      </c>
      <c r="E10" s="4" t="s">
        <v>209</v>
      </c>
      <c r="F10" s="19" t="s">
        <v>136</v>
      </c>
      <c r="G10" s="5" t="s">
        <v>14</v>
      </c>
      <c r="H10" s="6">
        <v>2000</v>
      </c>
    </row>
    <row r="11" spans="1:8" ht="20.100000000000001" customHeight="1" x14ac:dyDescent="0.25">
      <c r="A11" s="79"/>
      <c r="B11" s="2">
        <v>44945</v>
      </c>
      <c r="C11" s="3">
        <v>3610790942</v>
      </c>
      <c r="D11" s="3">
        <v>5</v>
      </c>
      <c r="E11" s="4" t="s">
        <v>210</v>
      </c>
      <c r="F11" s="19" t="s">
        <v>136</v>
      </c>
      <c r="G11" s="5" t="s">
        <v>7</v>
      </c>
      <c r="H11" s="6">
        <v>2500</v>
      </c>
    </row>
    <row r="12" spans="1:8" ht="20.100000000000001" customHeight="1" x14ac:dyDescent="0.25">
      <c r="A12" s="79"/>
      <c r="B12" s="2">
        <v>44950</v>
      </c>
      <c r="C12" s="3">
        <v>3461956299</v>
      </c>
      <c r="D12" s="3">
        <v>6</v>
      </c>
      <c r="E12" s="4" t="s">
        <v>211</v>
      </c>
      <c r="F12" s="19" t="s">
        <v>136</v>
      </c>
      <c r="G12" s="5" t="s">
        <v>28</v>
      </c>
      <c r="H12" s="6">
        <v>3000</v>
      </c>
    </row>
    <row r="13" spans="1:8" ht="20.100000000000001" customHeight="1" x14ac:dyDescent="0.25">
      <c r="A13" s="79"/>
      <c r="B13" s="2">
        <v>44951</v>
      </c>
      <c r="C13" s="3">
        <v>2582724761</v>
      </c>
      <c r="D13" s="3">
        <v>10</v>
      </c>
      <c r="E13" s="4" t="s">
        <v>134</v>
      </c>
      <c r="F13" s="19" t="s">
        <v>136</v>
      </c>
      <c r="G13" s="5" t="s">
        <v>7</v>
      </c>
      <c r="H13" s="6">
        <v>5000</v>
      </c>
    </row>
    <row r="14" spans="1:8" ht="20.100000000000001" customHeight="1" x14ac:dyDescent="0.25">
      <c r="A14" s="79"/>
      <c r="B14" s="2">
        <v>44951</v>
      </c>
      <c r="C14" s="3">
        <v>251872218</v>
      </c>
      <c r="D14" s="3">
        <v>10</v>
      </c>
      <c r="E14" s="4" t="s">
        <v>212</v>
      </c>
      <c r="F14" s="19" t="s">
        <v>136</v>
      </c>
      <c r="G14" s="5" t="s">
        <v>11</v>
      </c>
      <c r="H14" s="6">
        <v>5000</v>
      </c>
    </row>
    <row r="15" spans="1:8" ht="20.100000000000001" customHeight="1" x14ac:dyDescent="0.25">
      <c r="A15" s="79"/>
      <c r="B15" s="2">
        <v>44967</v>
      </c>
      <c r="C15" s="3">
        <v>3894631634</v>
      </c>
      <c r="D15" s="3">
        <v>6</v>
      </c>
      <c r="E15" s="4" t="s">
        <v>296</v>
      </c>
      <c r="F15" s="19" t="s">
        <v>136</v>
      </c>
      <c r="G15" s="5" t="s">
        <v>6</v>
      </c>
      <c r="H15" s="6">
        <v>3000</v>
      </c>
    </row>
    <row r="16" spans="1:8" ht="20.100000000000001" customHeight="1" x14ac:dyDescent="0.25">
      <c r="A16" s="79"/>
      <c r="B16" s="2">
        <v>44970</v>
      </c>
      <c r="C16" s="3">
        <v>3385804122</v>
      </c>
      <c r="D16" s="3">
        <v>6</v>
      </c>
      <c r="E16" s="4" t="s">
        <v>312</v>
      </c>
      <c r="F16" s="19" t="s">
        <v>136</v>
      </c>
      <c r="G16" s="5" t="s">
        <v>6</v>
      </c>
      <c r="H16" s="6">
        <v>3000</v>
      </c>
    </row>
    <row r="17" spans="1:8" ht="20.100000000000001" customHeight="1" x14ac:dyDescent="0.25">
      <c r="A17" s="79"/>
      <c r="B17" s="2">
        <v>44974</v>
      </c>
      <c r="C17" s="3">
        <v>2411349054</v>
      </c>
      <c r="D17" s="3">
        <v>10</v>
      </c>
      <c r="E17" s="4" t="s">
        <v>313</v>
      </c>
      <c r="F17" s="19" t="s">
        <v>314</v>
      </c>
      <c r="G17" s="5" t="s">
        <v>11</v>
      </c>
      <c r="H17" s="6">
        <v>5000</v>
      </c>
    </row>
    <row r="18" spans="1:8" ht="20.100000000000001" customHeight="1" x14ac:dyDescent="0.25">
      <c r="A18" s="79"/>
      <c r="B18" s="2">
        <v>44979</v>
      </c>
      <c r="C18" s="3">
        <v>1274954583</v>
      </c>
      <c r="D18" s="3">
        <v>4</v>
      </c>
      <c r="E18" s="4" t="s">
        <v>315</v>
      </c>
      <c r="F18" s="19" t="s">
        <v>136</v>
      </c>
      <c r="G18" s="5" t="s">
        <v>7</v>
      </c>
      <c r="H18" s="6">
        <v>2000</v>
      </c>
    </row>
    <row r="19" spans="1:8" ht="20.100000000000001" customHeight="1" x14ac:dyDescent="0.25">
      <c r="A19" s="79"/>
      <c r="B19" s="2">
        <v>44979</v>
      </c>
      <c r="C19" s="3">
        <v>1274954583</v>
      </c>
      <c r="D19" s="3">
        <v>4</v>
      </c>
      <c r="E19" s="4" t="s">
        <v>316</v>
      </c>
      <c r="F19" s="19" t="s">
        <v>136</v>
      </c>
      <c r="G19" s="5" t="s">
        <v>7</v>
      </c>
      <c r="H19" s="6">
        <v>2000</v>
      </c>
    </row>
    <row r="20" spans="1:8" ht="20.100000000000001" customHeight="1" x14ac:dyDescent="0.25">
      <c r="A20" s="79"/>
      <c r="B20" s="2">
        <v>44985</v>
      </c>
      <c r="C20" s="3">
        <v>3259648037</v>
      </c>
      <c r="D20" s="3">
        <v>20</v>
      </c>
      <c r="E20" s="4" t="s">
        <v>317</v>
      </c>
      <c r="F20" s="19" t="s">
        <v>136</v>
      </c>
      <c r="G20" s="5" t="s">
        <v>28</v>
      </c>
      <c r="H20" s="6">
        <v>10000</v>
      </c>
    </row>
    <row r="21" spans="1:8" ht="20.100000000000001" customHeight="1" x14ac:dyDescent="0.25">
      <c r="A21" s="79"/>
      <c r="B21" s="2">
        <v>44987</v>
      </c>
      <c r="C21" s="3">
        <v>1605978457</v>
      </c>
      <c r="D21" s="3">
        <v>7</v>
      </c>
      <c r="E21" s="4" t="s">
        <v>432</v>
      </c>
      <c r="F21" s="19" t="s">
        <v>136</v>
      </c>
      <c r="G21" s="5" t="s">
        <v>6</v>
      </c>
      <c r="H21" s="6">
        <v>3500</v>
      </c>
    </row>
    <row r="22" spans="1:8" ht="20.100000000000001" customHeight="1" x14ac:dyDescent="0.25">
      <c r="A22" s="79"/>
      <c r="B22" s="2">
        <v>44991</v>
      </c>
      <c r="C22" s="3">
        <v>992300871</v>
      </c>
      <c r="D22" s="3">
        <v>10</v>
      </c>
      <c r="E22" s="4" t="s">
        <v>523</v>
      </c>
      <c r="F22" s="19" t="s">
        <v>136</v>
      </c>
      <c r="G22" s="5" t="s">
        <v>7</v>
      </c>
      <c r="H22" s="6">
        <v>5000</v>
      </c>
    </row>
    <row r="23" spans="1:8" ht="20.100000000000001" customHeight="1" x14ac:dyDescent="0.25">
      <c r="A23" s="79"/>
      <c r="B23" s="2">
        <v>44995</v>
      </c>
      <c r="C23" s="3">
        <v>1851870434</v>
      </c>
      <c r="D23" s="3">
        <v>5</v>
      </c>
      <c r="E23" s="4" t="s">
        <v>472</v>
      </c>
      <c r="F23" s="19" t="s">
        <v>136</v>
      </c>
      <c r="G23" s="5" t="s">
        <v>28</v>
      </c>
      <c r="H23" s="6">
        <v>2500</v>
      </c>
    </row>
    <row r="24" spans="1:8" ht="20.100000000000001" customHeight="1" x14ac:dyDescent="0.25">
      <c r="A24" s="79"/>
      <c r="B24" s="2">
        <v>44995</v>
      </c>
      <c r="C24" s="3">
        <v>2190951423</v>
      </c>
      <c r="D24" s="3">
        <v>2</v>
      </c>
      <c r="E24" s="4" t="s">
        <v>472</v>
      </c>
      <c r="F24" s="19" t="s">
        <v>136</v>
      </c>
      <c r="G24" s="5" t="s">
        <v>28</v>
      </c>
      <c r="H24" s="6">
        <v>1000</v>
      </c>
    </row>
    <row r="25" spans="1:8" ht="20.100000000000001" customHeight="1" x14ac:dyDescent="0.25">
      <c r="A25" s="79"/>
      <c r="B25" s="2">
        <v>44999</v>
      </c>
      <c r="C25" s="3">
        <v>3978051785</v>
      </c>
      <c r="D25" s="3">
        <v>8</v>
      </c>
      <c r="E25" s="4" t="s">
        <v>524</v>
      </c>
      <c r="F25" s="19" t="s">
        <v>136</v>
      </c>
      <c r="G25" s="5" t="s">
        <v>7</v>
      </c>
      <c r="H25" s="6">
        <v>4000</v>
      </c>
    </row>
    <row r="26" spans="1:8" ht="20.100000000000001" customHeight="1" x14ac:dyDescent="0.25">
      <c r="A26" s="79"/>
      <c r="B26" s="2">
        <v>45012</v>
      </c>
      <c r="C26" s="3">
        <v>1614957059</v>
      </c>
      <c r="D26" s="3">
        <v>10</v>
      </c>
      <c r="E26" s="4" t="s">
        <v>525</v>
      </c>
      <c r="F26" s="19" t="s">
        <v>136</v>
      </c>
      <c r="G26" s="5" t="s">
        <v>14</v>
      </c>
      <c r="H26" s="6">
        <v>5000</v>
      </c>
    </row>
    <row r="27" spans="1:8" ht="20.100000000000001" customHeight="1" x14ac:dyDescent="0.25">
      <c r="A27" s="79"/>
      <c r="B27" s="2">
        <v>45013</v>
      </c>
      <c r="C27" s="3">
        <v>3140504015</v>
      </c>
      <c r="D27" s="3">
        <v>10</v>
      </c>
      <c r="E27" s="4" t="s">
        <v>356</v>
      </c>
      <c r="F27" s="19" t="s">
        <v>136</v>
      </c>
      <c r="G27" s="5" t="s">
        <v>7</v>
      </c>
      <c r="H27" s="6">
        <v>5000</v>
      </c>
    </row>
    <row r="28" spans="1:8" ht="20.100000000000001" customHeight="1" x14ac:dyDescent="0.25">
      <c r="A28" s="79"/>
      <c r="B28" s="2">
        <v>45014</v>
      </c>
      <c r="C28" s="3">
        <v>3545645498</v>
      </c>
      <c r="D28" s="3">
        <v>9</v>
      </c>
      <c r="E28" s="4" t="s">
        <v>526</v>
      </c>
      <c r="F28" s="19" t="s">
        <v>136</v>
      </c>
      <c r="G28" s="5" t="s">
        <v>7</v>
      </c>
      <c r="H28" s="6">
        <v>4500</v>
      </c>
    </row>
    <row r="29" spans="1:8" ht="20.100000000000001" customHeight="1" x14ac:dyDescent="0.25">
      <c r="A29" s="79"/>
      <c r="B29" s="2">
        <v>45028</v>
      </c>
      <c r="C29" s="3">
        <v>790972858</v>
      </c>
      <c r="D29" s="3">
        <v>10</v>
      </c>
      <c r="E29" s="4" t="s">
        <v>600</v>
      </c>
      <c r="F29" s="19" t="s">
        <v>136</v>
      </c>
      <c r="G29" s="5" t="s">
        <v>7</v>
      </c>
      <c r="H29" s="6">
        <v>5000</v>
      </c>
    </row>
    <row r="30" spans="1:8" ht="20.100000000000001" customHeight="1" x14ac:dyDescent="0.25">
      <c r="A30" s="79"/>
      <c r="B30" s="2">
        <v>45030</v>
      </c>
      <c r="C30" s="3">
        <v>90590367</v>
      </c>
      <c r="D30" s="3">
        <v>2</v>
      </c>
      <c r="E30" s="4" t="s">
        <v>585</v>
      </c>
      <c r="F30" s="19" t="s">
        <v>136</v>
      </c>
      <c r="G30" s="5" t="s">
        <v>6</v>
      </c>
      <c r="H30" s="6">
        <v>1000</v>
      </c>
    </row>
    <row r="31" spans="1:8" ht="20.100000000000001" customHeight="1" x14ac:dyDescent="0.25">
      <c r="A31" s="79"/>
      <c r="B31" s="2">
        <v>45034</v>
      </c>
      <c r="C31" s="3">
        <v>390349068</v>
      </c>
      <c r="D31" s="3">
        <v>8</v>
      </c>
      <c r="E31" s="4" t="s">
        <v>555</v>
      </c>
      <c r="F31" s="19" t="s">
        <v>136</v>
      </c>
      <c r="G31" s="5" t="s">
        <v>14</v>
      </c>
      <c r="H31" s="6">
        <v>2000</v>
      </c>
    </row>
    <row r="32" spans="1:8" ht="20.100000000000001" customHeight="1" x14ac:dyDescent="0.25">
      <c r="A32" s="79"/>
      <c r="B32" s="2">
        <v>45035</v>
      </c>
      <c r="C32" s="3">
        <v>1339048971</v>
      </c>
      <c r="D32" s="3">
        <v>10</v>
      </c>
      <c r="E32" s="4" t="s">
        <v>387</v>
      </c>
      <c r="F32" s="19" t="s">
        <v>136</v>
      </c>
      <c r="G32" s="5" t="s">
        <v>7</v>
      </c>
      <c r="H32" s="6">
        <v>5000</v>
      </c>
    </row>
    <row r="33" spans="1:8" ht="20.100000000000001" customHeight="1" x14ac:dyDescent="0.25">
      <c r="A33" s="79"/>
      <c r="B33" s="2">
        <v>45037</v>
      </c>
      <c r="C33" s="3">
        <v>2626896055</v>
      </c>
      <c r="D33" s="3">
        <v>2</v>
      </c>
      <c r="E33" s="4" t="s">
        <v>585</v>
      </c>
      <c r="F33" s="19" t="s">
        <v>136</v>
      </c>
      <c r="G33" s="5" t="s">
        <v>6</v>
      </c>
      <c r="H33" s="6">
        <v>1000</v>
      </c>
    </row>
    <row r="34" spans="1:8" ht="20.100000000000001" customHeight="1" x14ac:dyDescent="0.25">
      <c r="A34" s="79"/>
      <c r="B34" s="2">
        <v>45041</v>
      </c>
      <c r="C34" s="3">
        <v>2089501579</v>
      </c>
      <c r="D34" s="3">
        <v>3</v>
      </c>
      <c r="E34" s="4" t="s">
        <v>363</v>
      </c>
      <c r="F34" s="19" t="s">
        <v>136</v>
      </c>
      <c r="G34" s="5" t="s">
        <v>6</v>
      </c>
      <c r="H34" s="6">
        <v>750</v>
      </c>
    </row>
    <row r="35" spans="1:8" ht="20.100000000000001" customHeight="1" x14ac:dyDescent="0.25">
      <c r="A35" s="79"/>
      <c r="B35" s="2">
        <v>45043</v>
      </c>
      <c r="C35" s="3">
        <v>1908163469</v>
      </c>
      <c r="D35" s="3">
        <v>6</v>
      </c>
      <c r="E35" s="4" t="s">
        <v>601</v>
      </c>
      <c r="F35" s="19" t="s">
        <v>136</v>
      </c>
      <c r="G35" s="5" t="s">
        <v>14</v>
      </c>
      <c r="H35" s="6">
        <v>3000</v>
      </c>
    </row>
    <row r="36" spans="1:8" ht="20.100000000000001" customHeight="1" x14ac:dyDescent="0.25">
      <c r="A36" s="79"/>
      <c r="B36" s="2">
        <v>45048</v>
      </c>
      <c r="C36" s="3">
        <v>2562475862</v>
      </c>
      <c r="D36" s="3">
        <v>5</v>
      </c>
      <c r="E36" s="4" t="s">
        <v>615</v>
      </c>
      <c r="F36" s="19" t="s">
        <v>136</v>
      </c>
      <c r="G36" s="5" t="s">
        <v>6</v>
      </c>
      <c r="H36" s="6">
        <v>2500</v>
      </c>
    </row>
    <row r="37" spans="1:8" ht="20.100000000000001" customHeight="1" x14ac:dyDescent="0.25">
      <c r="A37" s="79"/>
      <c r="B37" s="2">
        <v>45048</v>
      </c>
      <c r="C37" s="3">
        <v>226640767</v>
      </c>
      <c r="D37" s="3">
        <v>1</v>
      </c>
      <c r="E37" s="4" t="s">
        <v>585</v>
      </c>
      <c r="F37" s="19" t="s">
        <v>136</v>
      </c>
      <c r="G37" s="5" t="s">
        <v>28</v>
      </c>
      <c r="H37" s="6">
        <v>500</v>
      </c>
    </row>
    <row r="38" spans="1:8" ht="20.100000000000001" customHeight="1" x14ac:dyDescent="0.25">
      <c r="A38" s="79"/>
      <c r="B38" s="2">
        <v>45072</v>
      </c>
      <c r="C38" s="3">
        <v>707871122</v>
      </c>
      <c r="D38" s="3">
        <v>10</v>
      </c>
      <c r="E38" s="4" t="s">
        <v>692</v>
      </c>
      <c r="F38" s="19" t="s">
        <v>136</v>
      </c>
      <c r="G38" s="5" t="s">
        <v>7</v>
      </c>
      <c r="H38" s="6">
        <v>5000</v>
      </c>
    </row>
    <row r="39" spans="1:8" ht="20.100000000000001" customHeight="1" x14ac:dyDescent="0.25">
      <c r="A39" s="79"/>
      <c r="B39" s="2">
        <v>45084</v>
      </c>
      <c r="C39" s="3">
        <v>765086922</v>
      </c>
      <c r="D39" s="3">
        <v>1</v>
      </c>
      <c r="E39" s="4" t="s">
        <v>775</v>
      </c>
      <c r="F39" s="19" t="s">
        <v>136</v>
      </c>
      <c r="G39" s="5" t="s">
        <v>14</v>
      </c>
      <c r="H39" s="6">
        <v>500</v>
      </c>
    </row>
    <row r="40" spans="1:8" ht="20.100000000000001" customHeight="1" x14ac:dyDescent="0.25">
      <c r="A40" s="79"/>
      <c r="B40" s="2">
        <v>45086</v>
      </c>
      <c r="C40" s="3">
        <v>3147976048</v>
      </c>
      <c r="D40" s="3">
        <v>5</v>
      </c>
      <c r="E40" s="4" t="s">
        <v>776</v>
      </c>
      <c r="F40" s="19" t="s">
        <v>136</v>
      </c>
      <c r="G40" s="5" t="s">
        <v>6</v>
      </c>
      <c r="H40" s="6">
        <v>2500</v>
      </c>
    </row>
    <row r="41" spans="1:8" ht="20.100000000000001" customHeight="1" x14ac:dyDescent="0.25">
      <c r="A41" s="79"/>
      <c r="B41" s="2">
        <v>45089</v>
      </c>
      <c r="C41" s="3">
        <v>2898151824</v>
      </c>
      <c r="D41" s="3">
        <v>10</v>
      </c>
      <c r="E41" s="4" t="s">
        <v>777</v>
      </c>
      <c r="F41" s="19" t="s">
        <v>136</v>
      </c>
      <c r="G41" s="5" t="s">
        <v>7</v>
      </c>
      <c r="H41" s="6">
        <v>5000</v>
      </c>
    </row>
    <row r="42" spans="1:8" ht="20.100000000000001" customHeight="1" x14ac:dyDescent="0.25">
      <c r="A42" s="79"/>
      <c r="B42" s="2">
        <v>45091</v>
      </c>
      <c r="C42" s="3">
        <v>1198145567</v>
      </c>
      <c r="D42" s="3">
        <v>10</v>
      </c>
      <c r="E42" s="4" t="s">
        <v>778</v>
      </c>
      <c r="F42" s="19" t="s">
        <v>136</v>
      </c>
      <c r="G42" s="5" t="s">
        <v>7</v>
      </c>
      <c r="H42" s="6">
        <v>5000</v>
      </c>
    </row>
    <row r="43" spans="1:8" ht="20.100000000000001" customHeight="1" x14ac:dyDescent="0.25">
      <c r="A43" s="79"/>
      <c r="B43" s="2">
        <v>45099</v>
      </c>
      <c r="C43" s="3">
        <v>396904927</v>
      </c>
      <c r="D43" s="3">
        <v>5</v>
      </c>
      <c r="E43" s="4" t="s">
        <v>755</v>
      </c>
      <c r="F43" s="19" t="s">
        <v>136</v>
      </c>
      <c r="G43" s="5" t="s">
        <v>7</v>
      </c>
      <c r="H43" s="6">
        <v>1250</v>
      </c>
    </row>
    <row r="44" spans="1:8" ht="20.100000000000001" customHeight="1" x14ac:dyDescent="0.25">
      <c r="A44" s="79"/>
      <c r="B44" s="2">
        <v>45104</v>
      </c>
      <c r="C44" s="3">
        <v>2750957755</v>
      </c>
      <c r="D44" s="3">
        <v>10</v>
      </c>
      <c r="E44" s="4" t="s">
        <v>766</v>
      </c>
      <c r="F44" s="19" t="s">
        <v>136</v>
      </c>
      <c r="G44" s="5" t="s">
        <v>7</v>
      </c>
      <c r="H44" s="6">
        <v>5000</v>
      </c>
    </row>
    <row r="45" spans="1:8" ht="20.100000000000001" customHeight="1" x14ac:dyDescent="0.25">
      <c r="A45" s="79"/>
      <c r="B45" s="2">
        <v>45104</v>
      </c>
      <c r="C45" s="3">
        <v>1154108512</v>
      </c>
      <c r="D45" s="3">
        <v>2</v>
      </c>
      <c r="E45" s="4" t="s">
        <v>735</v>
      </c>
      <c r="F45" s="19" t="s">
        <v>136</v>
      </c>
      <c r="G45" s="5" t="s">
        <v>7</v>
      </c>
      <c r="H45" s="6">
        <v>1000</v>
      </c>
    </row>
    <row r="46" spans="1:8" ht="20.100000000000001" customHeight="1" x14ac:dyDescent="0.25">
      <c r="A46" s="79"/>
      <c r="B46" s="2">
        <v>45107</v>
      </c>
      <c r="C46" s="3">
        <v>2067743905</v>
      </c>
      <c r="D46" s="3">
        <v>6</v>
      </c>
      <c r="E46" s="4" t="s">
        <v>779</v>
      </c>
      <c r="F46" s="19" t="s">
        <v>136</v>
      </c>
      <c r="G46" s="5" t="s">
        <v>7</v>
      </c>
      <c r="H46" s="6">
        <v>3000</v>
      </c>
    </row>
    <row r="47" spans="1:8" ht="20.100000000000001" customHeight="1" x14ac:dyDescent="0.25">
      <c r="A47" s="79"/>
      <c r="B47" s="2">
        <v>45112</v>
      </c>
      <c r="C47" s="3">
        <v>171722827</v>
      </c>
      <c r="D47" s="3">
        <v>4</v>
      </c>
      <c r="E47" s="4" t="s">
        <v>231</v>
      </c>
      <c r="F47" s="19" t="s">
        <v>136</v>
      </c>
      <c r="G47" s="5" t="s">
        <v>28</v>
      </c>
      <c r="H47" s="6">
        <v>2000</v>
      </c>
    </row>
    <row r="48" spans="1:8" ht="20.100000000000001" customHeight="1" x14ac:dyDescent="0.25">
      <c r="A48" s="79"/>
      <c r="B48" s="2">
        <v>45121</v>
      </c>
      <c r="C48" s="3">
        <v>2504540931</v>
      </c>
      <c r="D48" s="3">
        <v>10</v>
      </c>
      <c r="E48" s="4" t="s">
        <v>843</v>
      </c>
      <c r="F48" s="19" t="s">
        <v>136</v>
      </c>
      <c r="G48" s="5" t="s">
        <v>7</v>
      </c>
      <c r="H48" s="6">
        <v>5000</v>
      </c>
    </row>
    <row r="49" spans="1:8" ht="20.100000000000001" customHeight="1" x14ac:dyDescent="0.25">
      <c r="A49" s="79"/>
      <c r="B49" s="2">
        <v>45121</v>
      </c>
      <c r="C49" s="3">
        <v>2973714267</v>
      </c>
      <c r="D49" s="3">
        <v>10</v>
      </c>
      <c r="E49" s="4" t="s">
        <v>840</v>
      </c>
      <c r="F49" s="19" t="s">
        <v>136</v>
      </c>
      <c r="G49" s="5" t="s">
        <v>7</v>
      </c>
      <c r="H49" s="6">
        <v>5000</v>
      </c>
    </row>
    <row r="50" spans="1:8" ht="20.100000000000001" customHeight="1" x14ac:dyDescent="0.25">
      <c r="A50" s="79"/>
      <c r="B50" s="2">
        <v>45125</v>
      </c>
      <c r="C50" s="3">
        <v>2258780985</v>
      </c>
      <c r="D50" s="3">
        <v>5</v>
      </c>
      <c r="E50" s="4" t="s">
        <v>938</v>
      </c>
      <c r="F50" s="19" t="s">
        <v>136</v>
      </c>
      <c r="G50" s="5" t="s">
        <v>7</v>
      </c>
      <c r="H50" s="6">
        <v>2500</v>
      </c>
    </row>
    <row r="51" spans="1:8" ht="20.100000000000001" customHeight="1" x14ac:dyDescent="0.25">
      <c r="A51" s="79"/>
      <c r="B51" s="2">
        <v>45126</v>
      </c>
      <c r="C51" s="3">
        <v>3153874657</v>
      </c>
      <c r="D51" s="3">
        <v>8</v>
      </c>
      <c r="E51" s="4" t="s">
        <v>755</v>
      </c>
      <c r="F51" s="19" t="s">
        <v>136</v>
      </c>
      <c r="G51" s="5" t="s">
        <v>7</v>
      </c>
      <c r="H51" s="6">
        <v>2000</v>
      </c>
    </row>
    <row r="52" spans="1:8" ht="20.100000000000001" customHeight="1" x14ac:dyDescent="0.25">
      <c r="A52" s="79"/>
      <c r="B52" s="2">
        <v>45135</v>
      </c>
      <c r="C52" s="3">
        <v>3260171190</v>
      </c>
      <c r="D52" s="3">
        <v>10</v>
      </c>
      <c r="E52" s="4" t="s">
        <v>939</v>
      </c>
      <c r="F52" s="19" t="s">
        <v>136</v>
      </c>
      <c r="G52" s="5" t="s">
        <v>14</v>
      </c>
      <c r="H52" s="6">
        <v>5000</v>
      </c>
    </row>
    <row r="53" spans="1:8" ht="20.100000000000001" customHeight="1" x14ac:dyDescent="0.25">
      <c r="A53" s="79"/>
      <c r="B53" s="2">
        <v>45138</v>
      </c>
      <c r="C53" s="3">
        <v>843465143</v>
      </c>
      <c r="D53" s="3">
        <v>10</v>
      </c>
      <c r="E53" s="4" t="s">
        <v>940</v>
      </c>
      <c r="F53" s="19" t="s">
        <v>136</v>
      </c>
      <c r="G53" s="5" t="s">
        <v>6</v>
      </c>
      <c r="H53" s="6">
        <v>5000</v>
      </c>
    </row>
    <row r="54" spans="1:8" ht="20.100000000000001" customHeight="1" x14ac:dyDescent="0.25">
      <c r="A54" s="79"/>
      <c r="B54" s="2">
        <v>45138</v>
      </c>
      <c r="C54" s="3">
        <v>1484211586</v>
      </c>
      <c r="D54" s="3">
        <v>1</v>
      </c>
      <c r="E54" s="4" t="s">
        <v>938</v>
      </c>
      <c r="F54" s="19" t="s">
        <v>136</v>
      </c>
      <c r="G54" s="5" t="s">
        <v>6</v>
      </c>
      <c r="H54" s="6">
        <v>500</v>
      </c>
    </row>
    <row r="55" spans="1:8" ht="20.100000000000001" customHeight="1" x14ac:dyDescent="0.25">
      <c r="A55" s="79"/>
      <c r="B55" s="2">
        <v>45139</v>
      </c>
      <c r="C55" s="3">
        <v>866864630</v>
      </c>
      <c r="D55" s="3">
        <v>10</v>
      </c>
      <c r="E55" s="4" t="s">
        <v>1009</v>
      </c>
      <c r="F55" s="19" t="s">
        <v>136</v>
      </c>
      <c r="G55" s="5" t="s">
        <v>6</v>
      </c>
      <c r="H55" s="6">
        <v>5000</v>
      </c>
    </row>
    <row r="56" spans="1:8" ht="20.100000000000001" customHeight="1" x14ac:dyDescent="0.25">
      <c r="A56" s="79"/>
      <c r="B56" s="2">
        <v>45140</v>
      </c>
      <c r="C56" s="3">
        <v>2289976585</v>
      </c>
      <c r="D56" s="3">
        <v>12</v>
      </c>
      <c r="E56" s="4" t="s">
        <v>1010</v>
      </c>
      <c r="F56" s="19" t="s">
        <v>136</v>
      </c>
      <c r="G56" s="5" t="s">
        <v>28</v>
      </c>
      <c r="H56" s="6">
        <v>6000</v>
      </c>
    </row>
    <row r="57" spans="1:8" ht="20.100000000000001" customHeight="1" x14ac:dyDescent="0.25">
      <c r="A57" s="79"/>
      <c r="B57" s="2">
        <v>45141</v>
      </c>
      <c r="C57" s="3">
        <v>448286525</v>
      </c>
      <c r="D57" s="3">
        <v>1</v>
      </c>
      <c r="E57" s="4" t="s">
        <v>938</v>
      </c>
      <c r="F57" s="19" t="s">
        <v>136</v>
      </c>
      <c r="G57" s="5" t="s">
        <v>7</v>
      </c>
      <c r="H57" s="6">
        <v>500</v>
      </c>
    </row>
    <row r="58" spans="1:8" ht="20.100000000000001" customHeight="1" x14ac:dyDescent="0.25">
      <c r="A58" s="79"/>
      <c r="B58" s="2">
        <v>45147</v>
      </c>
      <c r="C58" s="3">
        <v>3518909446</v>
      </c>
      <c r="D58" s="3">
        <v>10</v>
      </c>
      <c r="E58" s="4" t="s">
        <v>971</v>
      </c>
      <c r="F58" s="19" t="s">
        <v>136</v>
      </c>
      <c r="G58" s="5" t="s">
        <v>7</v>
      </c>
      <c r="H58" s="6">
        <v>5000</v>
      </c>
    </row>
    <row r="59" spans="1:8" ht="20.100000000000001" customHeight="1" x14ac:dyDescent="0.25">
      <c r="A59" s="79"/>
      <c r="B59" s="2">
        <v>45159</v>
      </c>
      <c r="C59" s="3">
        <v>2718846003</v>
      </c>
      <c r="D59" s="3">
        <v>1</v>
      </c>
      <c r="E59" s="4" t="s">
        <v>1010</v>
      </c>
      <c r="F59" s="19" t="s">
        <v>136</v>
      </c>
      <c r="G59" s="5" t="s">
        <v>14</v>
      </c>
      <c r="H59" s="6">
        <v>500</v>
      </c>
    </row>
    <row r="60" spans="1:8" ht="20.100000000000001" customHeight="1" x14ac:dyDescent="0.25">
      <c r="A60" s="79"/>
      <c r="B60" s="2">
        <v>45159</v>
      </c>
      <c r="C60" s="3">
        <v>2850112928</v>
      </c>
      <c r="D60" s="3">
        <v>6</v>
      </c>
      <c r="E60" s="4" t="s">
        <v>1011</v>
      </c>
      <c r="F60" s="19" t="s">
        <v>136</v>
      </c>
      <c r="G60" s="5" t="s">
        <v>6</v>
      </c>
      <c r="H60" s="6">
        <v>3360</v>
      </c>
    </row>
    <row r="61" spans="1:8" ht="20.100000000000001" customHeight="1" x14ac:dyDescent="0.25">
      <c r="A61" s="79"/>
      <c r="B61" s="2">
        <v>45160</v>
      </c>
      <c r="C61" s="3">
        <v>752307833</v>
      </c>
      <c r="D61" s="3">
        <v>10</v>
      </c>
      <c r="E61" s="4" t="s">
        <v>409</v>
      </c>
      <c r="F61" s="19" t="s">
        <v>136</v>
      </c>
      <c r="G61" s="5" t="s">
        <v>6</v>
      </c>
      <c r="H61" s="6">
        <v>5000</v>
      </c>
    </row>
    <row r="62" spans="1:8" ht="20.100000000000001" customHeight="1" x14ac:dyDescent="0.25">
      <c r="A62" s="79"/>
      <c r="B62" s="2">
        <v>45173</v>
      </c>
      <c r="C62" s="3">
        <v>3152298385</v>
      </c>
      <c r="D62" s="3">
        <v>3</v>
      </c>
      <c r="E62" s="4" t="s">
        <v>336</v>
      </c>
      <c r="F62" s="19" t="s">
        <v>136</v>
      </c>
      <c r="G62" s="5" t="s">
        <v>28</v>
      </c>
      <c r="H62" s="6">
        <v>1500</v>
      </c>
    </row>
    <row r="63" spans="1:8" ht="20.100000000000001" customHeight="1" x14ac:dyDescent="0.25">
      <c r="A63" s="79"/>
      <c r="B63" s="2">
        <v>45175</v>
      </c>
      <c r="C63" s="3">
        <v>2396737220</v>
      </c>
      <c r="D63" s="3">
        <v>10</v>
      </c>
      <c r="E63" s="4" t="s">
        <v>1106</v>
      </c>
      <c r="F63" s="19" t="s">
        <v>136</v>
      </c>
      <c r="G63" s="5" t="s">
        <v>6</v>
      </c>
      <c r="H63" s="6">
        <v>5000</v>
      </c>
    </row>
    <row r="64" spans="1:8" ht="20.100000000000001" customHeight="1" x14ac:dyDescent="0.25">
      <c r="A64" s="79"/>
      <c r="B64" s="2">
        <v>45180</v>
      </c>
      <c r="C64" s="3">
        <v>2719173558</v>
      </c>
      <c r="D64" s="3">
        <v>5</v>
      </c>
      <c r="E64" s="4" t="s">
        <v>1068</v>
      </c>
      <c r="F64" s="19" t="s">
        <v>136</v>
      </c>
      <c r="G64" s="5" t="s">
        <v>6</v>
      </c>
      <c r="H64" s="6">
        <v>2500</v>
      </c>
    </row>
    <row r="65" spans="1:8" ht="20.100000000000001" customHeight="1" x14ac:dyDescent="0.25">
      <c r="A65" s="79"/>
      <c r="B65" s="2">
        <v>45183</v>
      </c>
      <c r="C65" s="3">
        <v>2852081547</v>
      </c>
      <c r="D65" s="3">
        <v>7</v>
      </c>
      <c r="E65" s="4" t="s">
        <v>1107</v>
      </c>
      <c r="F65" s="19" t="s">
        <v>136</v>
      </c>
      <c r="G65" s="5" t="s">
        <v>7</v>
      </c>
      <c r="H65" s="6">
        <v>3500</v>
      </c>
    </row>
    <row r="66" spans="1:8" ht="20.100000000000001" customHeight="1" x14ac:dyDescent="0.25">
      <c r="A66" s="79"/>
      <c r="B66" s="2">
        <v>45183</v>
      </c>
      <c r="C66" s="3">
        <v>886522581</v>
      </c>
      <c r="D66" s="3">
        <v>3</v>
      </c>
      <c r="E66" s="4" t="s">
        <v>1104</v>
      </c>
      <c r="F66" s="19" t="s">
        <v>136</v>
      </c>
      <c r="G66" s="5" t="s">
        <v>7</v>
      </c>
      <c r="H66" s="6">
        <v>1500</v>
      </c>
    </row>
    <row r="67" spans="1:8" ht="20.100000000000001" customHeight="1" x14ac:dyDescent="0.25">
      <c r="A67" s="79"/>
      <c r="B67" s="2">
        <v>45189</v>
      </c>
      <c r="C67" s="3">
        <v>161696220</v>
      </c>
      <c r="D67" s="3">
        <v>6</v>
      </c>
      <c r="E67" s="4" t="s">
        <v>1069</v>
      </c>
      <c r="F67" s="19" t="s">
        <v>136</v>
      </c>
      <c r="G67" s="5" t="s">
        <v>7</v>
      </c>
      <c r="H67" s="6">
        <v>3000</v>
      </c>
    </row>
    <row r="68" spans="1:8" ht="20.100000000000001" customHeight="1" x14ac:dyDescent="0.25">
      <c r="A68" s="79"/>
      <c r="B68" s="2">
        <v>45190</v>
      </c>
      <c r="C68" s="3">
        <v>3407037034</v>
      </c>
      <c r="D68" s="3">
        <v>3</v>
      </c>
      <c r="E68" s="4" t="s">
        <v>1108</v>
      </c>
      <c r="F68" s="19" t="s">
        <v>136</v>
      </c>
      <c r="G68" s="5" t="s">
        <v>11</v>
      </c>
      <c r="H68" s="6">
        <v>1500</v>
      </c>
    </row>
    <row r="69" spans="1:8" ht="20.100000000000001" customHeight="1" x14ac:dyDescent="0.25">
      <c r="A69" s="79"/>
      <c r="B69" s="2">
        <v>45195</v>
      </c>
      <c r="C69" s="3">
        <v>630866447</v>
      </c>
      <c r="D69" s="3">
        <v>1</v>
      </c>
      <c r="E69" s="4" t="s">
        <v>1109</v>
      </c>
      <c r="F69" s="19" t="s">
        <v>136</v>
      </c>
      <c r="G69" s="5" t="s">
        <v>6</v>
      </c>
      <c r="H69" s="6">
        <v>500</v>
      </c>
    </row>
    <row r="70" spans="1:8" ht="20.100000000000001" customHeight="1" x14ac:dyDescent="0.25">
      <c r="A70" s="79"/>
      <c r="B70" s="2">
        <v>45197</v>
      </c>
      <c r="C70" s="3">
        <v>1107771900</v>
      </c>
      <c r="D70" s="3">
        <v>8</v>
      </c>
      <c r="E70" s="4" t="s">
        <v>1110</v>
      </c>
      <c r="F70" s="19" t="s">
        <v>136</v>
      </c>
      <c r="G70" s="5" t="s">
        <v>7</v>
      </c>
      <c r="H70" s="6">
        <v>4000</v>
      </c>
    </row>
    <row r="71" spans="1:8" ht="20.100000000000001" customHeight="1" x14ac:dyDescent="0.25">
      <c r="A71" s="79"/>
      <c r="B71" s="2">
        <v>45202</v>
      </c>
      <c r="C71" s="3">
        <v>439829016</v>
      </c>
      <c r="D71" s="3">
        <v>10</v>
      </c>
      <c r="E71" s="4" t="s">
        <v>1194</v>
      </c>
      <c r="F71" s="19" t="s">
        <v>1195</v>
      </c>
      <c r="G71" s="5" t="s">
        <v>11</v>
      </c>
      <c r="H71" s="6">
        <v>5000</v>
      </c>
    </row>
    <row r="72" spans="1:8" ht="20.100000000000001" customHeight="1" x14ac:dyDescent="0.25">
      <c r="A72" s="79"/>
      <c r="B72" s="2">
        <v>45212</v>
      </c>
      <c r="C72" s="3">
        <v>1888372462</v>
      </c>
      <c r="D72" s="3">
        <v>8</v>
      </c>
      <c r="E72" s="4" t="s">
        <v>1157</v>
      </c>
      <c r="F72" s="19" t="s">
        <v>1195</v>
      </c>
      <c r="G72" s="5" t="s">
        <v>14</v>
      </c>
      <c r="H72" s="6">
        <v>4000</v>
      </c>
    </row>
    <row r="73" spans="1:8" ht="20.100000000000001" customHeight="1" x14ac:dyDescent="0.25">
      <c r="A73" s="79"/>
      <c r="B73" s="2">
        <v>45215</v>
      </c>
      <c r="C73" s="3">
        <v>1511997465</v>
      </c>
      <c r="D73" s="3">
        <v>10</v>
      </c>
      <c r="E73" s="4" t="s">
        <v>1196</v>
      </c>
      <c r="F73" s="19" t="s">
        <v>1195</v>
      </c>
      <c r="G73" s="5" t="s">
        <v>7</v>
      </c>
      <c r="H73" s="6">
        <v>5000</v>
      </c>
    </row>
    <row r="74" spans="1:8" ht="20.100000000000001" customHeight="1" x14ac:dyDescent="0.25">
      <c r="A74" s="79"/>
      <c r="B74" s="2">
        <v>45216</v>
      </c>
      <c r="C74" s="3">
        <v>4082779293</v>
      </c>
      <c r="D74" s="3">
        <v>8</v>
      </c>
      <c r="E74" s="4" t="s">
        <v>1159</v>
      </c>
      <c r="F74" s="19" t="s">
        <v>1195</v>
      </c>
      <c r="G74" s="5" t="s">
        <v>6</v>
      </c>
      <c r="H74" s="6">
        <v>4000</v>
      </c>
    </row>
    <row r="75" spans="1:8" ht="20.100000000000001" customHeight="1" x14ac:dyDescent="0.25">
      <c r="A75" s="79"/>
      <c r="B75" s="2">
        <v>45222</v>
      </c>
      <c r="C75" s="3">
        <v>1834697703</v>
      </c>
      <c r="D75" s="3">
        <v>10</v>
      </c>
      <c r="E75" s="4" t="s">
        <v>1197</v>
      </c>
      <c r="F75" s="19" t="s">
        <v>1195</v>
      </c>
      <c r="G75" s="5" t="s">
        <v>7</v>
      </c>
      <c r="H75" s="6">
        <v>5000</v>
      </c>
    </row>
    <row r="76" spans="1:8" ht="20.100000000000001" customHeight="1" x14ac:dyDescent="0.25">
      <c r="A76" s="79"/>
      <c r="B76" s="2">
        <v>45229</v>
      </c>
      <c r="C76" s="3">
        <v>4104670270</v>
      </c>
      <c r="D76" s="3">
        <v>1</v>
      </c>
      <c r="E76" s="4" t="s">
        <v>1177</v>
      </c>
      <c r="F76" s="19" t="s">
        <v>1195</v>
      </c>
      <c r="G76" s="5" t="s">
        <v>14</v>
      </c>
      <c r="H76" s="6">
        <v>500</v>
      </c>
    </row>
    <row r="77" spans="1:8" ht="20.100000000000001" customHeight="1" x14ac:dyDescent="0.25">
      <c r="A77" s="79"/>
      <c r="B77" s="2">
        <v>45238</v>
      </c>
      <c r="C77" s="3">
        <v>1197821202</v>
      </c>
      <c r="D77" s="3">
        <v>3</v>
      </c>
      <c r="E77" s="4" t="s">
        <v>1229</v>
      </c>
      <c r="F77" s="19" t="s">
        <v>1230</v>
      </c>
      <c r="G77" s="5" t="s">
        <v>7</v>
      </c>
      <c r="H77" s="6">
        <v>1500</v>
      </c>
    </row>
    <row r="78" spans="1:8" ht="20.100000000000001" customHeight="1" x14ac:dyDescent="0.25">
      <c r="A78" s="79"/>
      <c r="B78" s="2">
        <v>45240</v>
      </c>
      <c r="C78" s="3">
        <v>2982757121</v>
      </c>
      <c r="D78" s="3">
        <v>3</v>
      </c>
      <c r="E78" s="4" t="s">
        <v>1221</v>
      </c>
      <c r="F78" s="19" t="s">
        <v>1231</v>
      </c>
      <c r="G78" s="5" t="s">
        <v>6</v>
      </c>
      <c r="H78" s="6">
        <v>1500</v>
      </c>
    </row>
    <row r="79" spans="1:8" ht="20.100000000000001" customHeight="1" x14ac:dyDescent="0.25">
      <c r="A79" s="79"/>
      <c r="B79" s="2">
        <v>45258</v>
      </c>
      <c r="C79" s="3">
        <v>786317349</v>
      </c>
      <c r="D79" s="3">
        <v>7</v>
      </c>
      <c r="E79" s="4" t="s">
        <v>1296</v>
      </c>
      <c r="F79" s="19" t="s">
        <v>1195</v>
      </c>
      <c r="G79" s="5" t="s">
        <v>7</v>
      </c>
      <c r="H79" s="6">
        <v>3500</v>
      </c>
    </row>
    <row r="80" spans="1:8" ht="20.100000000000001" customHeight="1" x14ac:dyDescent="0.25">
      <c r="A80" s="79"/>
      <c r="B80" s="2">
        <v>45264</v>
      </c>
      <c r="C80" s="3">
        <v>4007675967</v>
      </c>
      <c r="D80" s="3">
        <v>10</v>
      </c>
      <c r="E80" s="4" t="s">
        <v>1462</v>
      </c>
      <c r="F80" s="19" t="s">
        <v>136</v>
      </c>
      <c r="G80" s="5" t="s">
        <v>7</v>
      </c>
      <c r="H80" s="6">
        <v>5000</v>
      </c>
    </row>
    <row r="81" spans="1:8" ht="20.100000000000001" customHeight="1" x14ac:dyDescent="0.25">
      <c r="A81" s="79"/>
      <c r="B81" s="2">
        <v>45271</v>
      </c>
      <c r="C81" s="3">
        <v>1661747243</v>
      </c>
      <c r="D81" s="3">
        <v>6</v>
      </c>
      <c r="E81" s="4" t="s">
        <v>1411</v>
      </c>
      <c r="F81" s="19" t="s">
        <v>136</v>
      </c>
      <c r="G81" s="5" t="s">
        <v>7</v>
      </c>
      <c r="H81" s="6">
        <v>3000</v>
      </c>
    </row>
    <row r="82" spans="1:8" ht="20.100000000000001" customHeight="1" x14ac:dyDescent="0.25">
      <c r="A82" s="79"/>
      <c r="B82" s="2">
        <v>45275</v>
      </c>
      <c r="C82" s="3">
        <v>4136651285</v>
      </c>
      <c r="D82" s="3">
        <v>4</v>
      </c>
      <c r="E82" s="4" t="s">
        <v>1445</v>
      </c>
      <c r="F82" s="19" t="s">
        <v>136</v>
      </c>
      <c r="G82" s="5" t="s">
        <v>6</v>
      </c>
      <c r="H82" s="6">
        <v>2000</v>
      </c>
    </row>
    <row r="83" spans="1:8" ht="20.100000000000001" customHeight="1" x14ac:dyDescent="0.25">
      <c r="A83" s="79"/>
      <c r="B83" s="2">
        <v>45275</v>
      </c>
      <c r="C83" s="3">
        <v>3056159780</v>
      </c>
      <c r="D83" s="3">
        <v>2</v>
      </c>
      <c r="E83" s="4" t="s">
        <v>1463</v>
      </c>
      <c r="F83" s="19" t="s">
        <v>136</v>
      </c>
      <c r="G83" s="5" t="s">
        <v>7</v>
      </c>
      <c r="H83" s="6">
        <v>500</v>
      </c>
    </row>
    <row r="84" spans="1:8" ht="20.100000000000001" customHeight="1" x14ac:dyDescent="0.25">
      <c r="A84" s="79"/>
      <c r="B84" s="2">
        <v>45278</v>
      </c>
      <c r="C84" s="3">
        <v>3129298087</v>
      </c>
      <c r="D84" s="3">
        <v>1</v>
      </c>
      <c r="E84" s="4" t="s">
        <v>1445</v>
      </c>
      <c r="F84" s="19" t="s">
        <v>136</v>
      </c>
      <c r="G84" s="5" t="s">
        <v>6</v>
      </c>
      <c r="H84" s="6">
        <v>500</v>
      </c>
    </row>
    <row r="85" spans="1:8" ht="20.100000000000001" customHeight="1" x14ac:dyDescent="0.25">
      <c r="A85" s="79"/>
      <c r="B85" s="2">
        <v>45280</v>
      </c>
      <c r="C85" s="3">
        <v>3696904271</v>
      </c>
      <c r="D85" s="3">
        <v>1</v>
      </c>
      <c r="E85" s="4" t="s">
        <v>1445</v>
      </c>
      <c r="F85" s="19" t="s">
        <v>136</v>
      </c>
      <c r="G85" s="5" t="s">
        <v>6</v>
      </c>
      <c r="H85" s="6">
        <v>500</v>
      </c>
    </row>
    <row r="86" spans="1:8" ht="20.100000000000001" customHeight="1" x14ac:dyDescent="0.25">
      <c r="A86" s="80"/>
      <c r="B86" s="13"/>
      <c r="C86" s="14"/>
      <c r="D86" s="14"/>
      <c r="E86" s="14" t="s">
        <v>5</v>
      </c>
      <c r="F86" s="15"/>
      <c r="G86" s="16"/>
      <c r="H86" s="17">
        <f>SUM(H3:H85)</f>
        <v>262860</v>
      </c>
    </row>
    <row r="87" spans="1:8" ht="20.100000000000001" customHeight="1" x14ac:dyDescent="0.25">
      <c r="A87" s="7"/>
      <c r="B87" s="8"/>
      <c r="C87" s="8"/>
      <c r="D87" s="8"/>
      <c r="E87" s="8"/>
      <c r="F87" s="12"/>
      <c r="G87" s="8"/>
      <c r="H87" s="9"/>
    </row>
  </sheetData>
  <mergeCells count="8">
    <mergeCell ref="G1:G2"/>
    <mergeCell ref="H1:H2"/>
    <mergeCell ref="A1:A86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71"/>
  <sheetViews>
    <sheetView topLeftCell="A52" workbookViewId="0">
      <selection activeCell="B70" sqref="B70"/>
    </sheetView>
  </sheetViews>
  <sheetFormatPr baseColWidth="10" defaultColWidth="9.140625" defaultRowHeight="15" x14ac:dyDescent="0.25"/>
  <cols>
    <col min="1" max="1" width="24.140625" customWidth="1"/>
    <col min="2" max="2" width="12.7109375" bestFit="1" customWidth="1"/>
    <col min="3" max="3" width="17.42578125" customWidth="1"/>
    <col min="4" max="4" width="11" customWidth="1"/>
    <col min="5" max="5" width="35" bestFit="1" customWidth="1"/>
    <col min="6" max="6" width="52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140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20.100000000000001" customHeight="1" x14ac:dyDescent="0.25">
      <c r="A3" s="79"/>
      <c r="B3" s="2">
        <v>44943</v>
      </c>
      <c r="C3" s="3">
        <v>3513206765</v>
      </c>
      <c r="D3" s="3">
        <v>1</v>
      </c>
      <c r="E3" s="4" t="s">
        <v>213</v>
      </c>
      <c r="F3" s="19" t="s">
        <v>141</v>
      </c>
      <c r="G3" s="5" t="s">
        <v>6</v>
      </c>
      <c r="H3" s="6">
        <v>750</v>
      </c>
    </row>
    <row r="4" spans="1:8" ht="20.100000000000001" customHeight="1" x14ac:dyDescent="0.25">
      <c r="A4" s="79"/>
      <c r="B4" s="2">
        <v>44944</v>
      </c>
      <c r="C4" s="3">
        <v>3725609617</v>
      </c>
      <c r="D4" s="3">
        <v>1</v>
      </c>
      <c r="E4" s="4" t="s">
        <v>214</v>
      </c>
      <c r="F4" s="19" t="s">
        <v>141</v>
      </c>
      <c r="G4" s="5" t="s">
        <v>7</v>
      </c>
      <c r="H4" s="6">
        <v>750</v>
      </c>
    </row>
    <row r="5" spans="1:8" ht="20.100000000000001" customHeight="1" x14ac:dyDescent="0.25">
      <c r="A5" s="79"/>
      <c r="B5" s="2">
        <v>44951</v>
      </c>
      <c r="C5" s="3">
        <v>93996868</v>
      </c>
      <c r="D5" s="3">
        <v>1</v>
      </c>
      <c r="E5" s="4" t="s">
        <v>215</v>
      </c>
      <c r="F5" s="19" t="s">
        <v>141</v>
      </c>
      <c r="G5" s="5" t="s">
        <v>7</v>
      </c>
      <c r="H5" s="6">
        <v>750</v>
      </c>
    </row>
    <row r="6" spans="1:8" ht="20.100000000000001" customHeight="1" x14ac:dyDescent="0.25">
      <c r="A6" s="79"/>
      <c r="B6" s="2">
        <v>44956</v>
      </c>
      <c r="C6" s="3">
        <v>2398702386</v>
      </c>
      <c r="D6" s="3">
        <v>1</v>
      </c>
      <c r="E6" s="4" t="s">
        <v>195</v>
      </c>
      <c r="F6" s="19" t="s">
        <v>141</v>
      </c>
      <c r="G6" s="5" t="s">
        <v>6</v>
      </c>
      <c r="H6" s="6">
        <v>750</v>
      </c>
    </row>
    <row r="7" spans="1:8" ht="20.100000000000001" customHeight="1" x14ac:dyDescent="0.25">
      <c r="A7" s="79"/>
      <c r="B7" s="2">
        <v>44957</v>
      </c>
      <c r="C7" s="3">
        <v>3697464994</v>
      </c>
      <c r="D7" s="3">
        <v>1</v>
      </c>
      <c r="E7" s="4" t="s">
        <v>119</v>
      </c>
      <c r="F7" s="19" t="s">
        <v>141</v>
      </c>
      <c r="G7" s="5" t="s">
        <v>14</v>
      </c>
      <c r="H7" s="6">
        <v>750</v>
      </c>
    </row>
    <row r="8" spans="1:8" ht="20.100000000000001" customHeight="1" x14ac:dyDescent="0.25">
      <c r="A8" s="79"/>
      <c r="B8" s="2">
        <v>44958</v>
      </c>
      <c r="C8" s="3">
        <v>847267065</v>
      </c>
      <c r="D8" s="3">
        <v>1</v>
      </c>
      <c r="E8" s="4" t="s">
        <v>318</v>
      </c>
      <c r="F8" s="19" t="s">
        <v>141</v>
      </c>
      <c r="G8" s="5" t="s">
        <v>28</v>
      </c>
      <c r="H8" s="6">
        <v>750</v>
      </c>
    </row>
    <row r="9" spans="1:8" ht="20.100000000000001" customHeight="1" x14ac:dyDescent="0.25">
      <c r="A9" s="79"/>
      <c r="B9" s="2">
        <v>44965</v>
      </c>
      <c r="C9" s="3">
        <v>4145630009</v>
      </c>
      <c r="D9" s="3">
        <v>1</v>
      </c>
      <c r="E9" s="4" t="s">
        <v>309</v>
      </c>
      <c r="F9" s="19" t="s">
        <v>141</v>
      </c>
      <c r="G9" s="5" t="s">
        <v>6</v>
      </c>
      <c r="H9" s="6">
        <v>750</v>
      </c>
    </row>
    <row r="10" spans="1:8" ht="20.100000000000001" customHeight="1" x14ac:dyDescent="0.25">
      <c r="A10" s="79"/>
      <c r="B10" s="2">
        <v>44971</v>
      </c>
      <c r="C10" s="3">
        <v>3748743128</v>
      </c>
      <c r="D10" s="3">
        <v>1</v>
      </c>
      <c r="E10" s="4" t="s">
        <v>319</v>
      </c>
      <c r="F10" s="19" t="s">
        <v>141</v>
      </c>
      <c r="G10" s="5" t="s">
        <v>14</v>
      </c>
      <c r="H10" s="6">
        <v>750</v>
      </c>
    </row>
    <row r="11" spans="1:8" ht="20.100000000000001" customHeight="1" x14ac:dyDescent="0.25">
      <c r="A11" s="79"/>
      <c r="B11" s="2">
        <v>44971</v>
      </c>
      <c r="C11" s="3">
        <v>1812808808</v>
      </c>
      <c r="D11" s="3">
        <v>1</v>
      </c>
      <c r="E11" s="4" t="s">
        <v>320</v>
      </c>
      <c r="F11" s="19" t="s">
        <v>141</v>
      </c>
      <c r="G11" s="5" t="s">
        <v>14</v>
      </c>
      <c r="H11" s="6">
        <v>750</v>
      </c>
    </row>
    <row r="12" spans="1:8" ht="20.100000000000001" customHeight="1" x14ac:dyDescent="0.25">
      <c r="A12" s="79"/>
      <c r="B12" s="2">
        <v>44979</v>
      </c>
      <c r="C12" s="3">
        <v>2689156193</v>
      </c>
      <c r="D12" s="3">
        <v>1</v>
      </c>
      <c r="E12" s="4" t="s">
        <v>321</v>
      </c>
      <c r="F12" s="19" t="s">
        <v>141</v>
      </c>
      <c r="G12" s="5" t="s">
        <v>7</v>
      </c>
      <c r="H12" s="6">
        <v>750</v>
      </c>
    </row>
    <row r="13" spans="1:8" ht="20.100000000000001" customHeight="1" x14ac:dyDescent="0.25">
      <c r="A13" s="79"/>
      <c r="B13" s="2">
        <v>44980</v>
      </c>
      <c r="C13" s="3">
        <v>2869577749</v>
      </c>
      <c r="D13" s="3">
        <v>1</v>
      </c>
      <c r="E13" s="4" t="s">
        <v>131</v>
      </c>
      <c r="F13" s="19" t="s">
        <v>141</v>
      </c>
      <c r="G13" s="5" t="s">
        <v>7</v>
      </c>
      <c r="H13" s="6">
        <v>750</v>
      </c>
    </row>
    <row r="14" spans="1:8" ht="20.100000000000001" customHeight="1" x14ac:dyDescent="0.25">
      <c r="A14" s="79"/>
      <c r="B14" s="2">
        <v>44992</v>
      </c>
      <c r="C14" s="3">
        <v>860048496</v>
      </c>
      <c r="D14" s="3">
        <v>1</v>
      </c>
      <c r="E14" s="4" t="s">
        <v>399</v>
      </c>
      <c r="F14" s="19" t="s">
        <v>141</v>
      </c>
      <c r="G14" s="5" t="s">
        <v>7</v>
      </c>
      <c r="H14" s="6">
        <v>750</v>
      </c>
    </row>
    <row r="15" spans="1:8" ht="20.100000000000001" customHeight="1" x14ac:dyDescent="0.25">
      <c r="A15" s="79"/>
      <c r="B15" s="2">
        <v>44994</v>
      </c>
      <c r="C15" s="3">
        <v>1966557122</v>
      </c>
      <c r="D15" s="3">
        <v>1</v>
      </c>
      <c r="E15" s="4" t="s">
        <v>361</v>
      </c>
      <c r="F15" s="19" t="s">
        <v>141</v>
      </c>
      <c r="G15" s="5" t="s">
        <v>14</v>
      </c>
      <c r="H15" s="6">
        <v>750</v>
      </c>
    </row>
    <row r="16" spans="1:8" ht="20.100000000000001" customHeight="1" x14ac:dyDescent="0.25">
      <c r="A16" s="79"/>
      <c r="B16" s="2">
        <v>44994</v>
      </c>
      <c r="C16" s="3">
        <v>3877522155</v>
      </c>
      <c r="D16" s="3">
        <v>1</v>
      </c>
      <c r="E16" s="4" t="s">
        <v>527</v>
      </c>
      <c r="F16" s="19" t="s">
        <v>141</v>
      </c>
      <c r="G16" s="5" t="s">
        <v>16</v>
      </c>
      <c r="H16" s="6">
        <v>750</v>
      </c>
    </row>
    <row r="17" spans="1:8" ht="20.100000000000001" customHeight="1" x14ac:dyDescent="0.25">
      <c r="A17" s="79"/>
      <c r="B17" s="2">
        <v>44998</v>
      </c>
      <c r="C17" s="3">
        <v>2665891471</v>
      </c>
      <c r="D17" s="3">
        <v>1</v>
      </c>
      <c r="E17" s="4" t="s">
        <v>528</v>
      </c>
      <c r="F17" s="19" t="s">
        <v>141</v>
      </c>
      <c r="G17" s="5" t="s">
        <v>6</v>
      </c>
      <c r="H17" s="6">
        <v>750</v>
      </c>
    </row>
    <row r="18" spans="1:8" ht="20.100000000000001" customHeight="1" x14ac:dyDescent="0.25">
      <c r="A18" s="79"/>
      <c r="B18" s="2">
        <v>45006</v>
      </c>
      <c r="C18" s="3">
        <v>3727836046</v>
      </c>
      <c r="D18" s="3">
        <v>2</v>
      </c>
      <c r="E18" s="4" t="s">
        <v>93</v>
      </c>
      <c r="F18" s="19" t="s">
        <v>141</v>
      </c>
      <c r="G18" s="5" t="s">
        <v>7</v>
      </c>
      <c r="H18" s="6">
        <v>1500</v>
      </c>
    </row>
    <row r="19" spans="1:8" ht="20.100000000000001" customHeight="1" x14ac:dyDescent="0.25">
      <c r="A19" s="79"/>
      <c r="B19" s="2">
        <v>45030</v>
      </c>
      <c r="C19" s="3">
        <v>1692746461</v>
      </c>
      <c r="D19" s="3">
        <v>1</v>
      </c>
      <c r="E19" s="4" t="s">
        <v>51</v>
      </c>
      <c r="F19" s="19" t="s">
        <v>141</v>
      </c>
      <c r="G19" s="5" t="s">
        <v>6</v>
      </c>
      <c r="H19" s="6">
        <v>750</v>
      </c>
    </row>
    <row r="20" spans="1:8" ht="20.100000000000001" customHeight="1" x14ac:dyDescent="0.25">
      <c r="A20" s="79"/>
      <c r="B20" s="2">
        <v>45036</v>
      </c>
      <c r="C20" s="3">
        <v>426131836</v>
      </c>
      <c r="D20" s="3">
        <v>1</v>
      </c>
      <c r="E20" s="4" t="s">
        <v>43</v>
      </c>
      <c r="F20" s="19" t="s">
        <v>141</v>
      </c>
      <c r="G20" s="5" t="s">
        <v>6</v>
      </c>
      <c r="H20" s="6">
        <v>750</v>
      </c>
    </row>
    <row r="21" spans="1:8" ht="20.100000000000001" customHeight="1" x14ac:dyDescent="0.25">
      <c r="A21" s="79"/>
      <c r="B21" s="2">
        <v>45040</v>
      </c>
      <c r="C21" s="3">
        <v>1231307278</v>
      </c>
      <c r="D21" s="3">
        <v>1</v>
      </c>
      <c r="E21" s="4" t="s">
        <v>602</v>
      </c>
      <c r="F21" s="19" t="s">
        <v>141</v>
      </c>
      <c r="G21" s="5" t="s">
        <v>7</v>
      </c>
      <c r="H21" s="6">
        <v>750</v>
      </c>
    </row>
    <row r="22" spans="1:8" ht="20.100000000000001" customHeight="1" x14ac:dyDescent="0.25">
      <c r="A22" s="79"/>
      <c r="B22" s="2">
        <v>45041</v>
      </c>
      <c r="C22" s="3">
        <v>4187311973</v>
      </c>
      <c r="D22" s="3">
        <v>1</v>
      </c>
      <c r="E22" s="4" t="s">
        <v>400</v>
      </c>
      <c r="F22" s="19" t="s">
        <v>141</v>
      </c>
      <c r="G22" s="5" t="s">
        <v>6</v>
      </c>
      <c r="H22" s="6">
        <v>750</v>
      </c>
    </row>
    <row r="23" spans="1:8" ht="20.100000000000001" customHeight="1" x14ac:dyDescent="0.25">
      <c r="A23" s="79"/>
      <c r="B23" s="2">
        <v>45048</v>
      </c>
      <c r="C23" s="3">
        <v>1090667489</v>
      </c>
      <c r="D23" s="3">
        <v>1</v>
      </c>
      <c r="E23" s="4" t="s">
        <v>119</v>
      </c>
      <c r="F23" s="19" t="s">
        <v>141</v>
      </c>
      <c r="G23" s="5" t="s">
        <v>14</v>
      </c>
      <c r="H23" s="6">
        <v>750</v>
      </c>
    </row>
    <row r="24" spans="1:8" ht="20.100000000000001" customHeight="1" x14ac:dyDescent="0.25">
      <c r="A24" s="79"/>
      <c r="B24" s="2">
        <v>45048</v>
      </c>
      <c r="C24" s="3">
        <v>1090667489</v>
      </c>
      <c r="D24" s="3">
        <v>1</v>
      </c>
      <c r="E24" s="4" t="s">
        <v>693</v>
      </c>
      <c r="F24" s="19" t="s">
        <v>141</v>
      </c>
      <c r="G24" s="5" t="s">
        <v>14</v>
      </c>
      <c r="H24" s="6">
        <v>750</v>
      </c>
    </row>
    <row r="25" spans="1:8" ht="20.100000000000001" customHeight="1" x14ac:dyDescent="0.25">
      <c r="A25" s="79"/>
      <c r="B25" s="2">
        <v>45057</v>
      </c>
      <c r="C25" s="3">
        <v>17837777021</v>
      </c>
      <c r="D25" s="3">
        <v>1</v>
      </c>
      <c r="E25" s="4" t="s">
        <v>683</v>
      </c>
      <c r="F25" s="19" t="s">
        <v>141</v>
      </c>
      <c r="G25" s="5" t="s">
        <v>7</v>
      </c>
      <c r="H25" s="6">
        <v>750</v>
      </c>
    </row>
    <row r="26" spans="1:8" ht="20.100000000000001" customHeight="1" x14ac:dyDescent="0.25">
      <c r="A26" s="79"/>
      <c r="B26" s="2">
        <v>45058</v>
      </c>
      <c r="C26" s="3">
        <v>2135770927</v>
      </c>
      <c r="D26" s="3">
        <v>1</v>
      </c>
      <c r="E26" s="4" t="s">
        <v>684</v>
      </c>
      <c r="F26" s="19" t="s">
        <v>141</v>
      </c>
      <c r="G26" s="5" t="s">
        <v>7</v>
      </c>
      <c r="H26" s="6">
        <v>750</v>
      </c>
    </row>
    <row r="27" spans="1:8" ht="20.100000000000001" customHeight="1" x14ac:dyDescent="0.25">
      <c r="A27" s="79"/>
      <c r="B27" s="2">
        <v>45072</v>
      </c>
      <c r="C27" s="3">
        <v>3958260086</v>
      </c>
      <c r="D27" s="3">
        <v>1</v>
      </c>
      <c r="E27" s="4" t="s">
        <v>663</v>
      </c>
      <c r="F27" s="19" t="s">
        <v>141</v>
      </c>
      <c r="G27" s="5" t="s">
        <v>7</v>
      </c>
      <c r="H27" s="6">
        <v>750</v>
      </c>
    </row>
    <row r="28" spans="1:8" ht="20.100000000000001" customHeight="1" x14ac:dyDescent="0.25">
      <c r="A28" s="79"/>
      <c r="B28" s="2">
        <v>45075</v>
      </c>
      <c r="C28" s="3">
        <v>3493873333</v>
      </c>
      <c r="D28" s="3">
        <v>1</v>
      </c>
      <c r="E28" s="4" t="s">
        <v>653</v>
      </c>
      <c r="F28" s="19" t="s">
        <v>141</v>
      </c>
      <c r="G28" s="5" t="s">
        <v>7</v>
      </c>
      <c r="H28" s="6">
        <v>750</v>
      </c>
    </row>
    <row r="29" spans="1:8" ht="20.100000000000001" customHeight="1" x14ac:dyDescent="0.25">
      <c r="A29" s="79"/>
      <c r="B29" s="2">
        <v>45077</v>
      </c>
      <c r="C29" s="3">
        <v>9715919</v>
      </c>
      <c r="D29" s="3">
        <v>1</v>
      </c>
      <c r="E29" s="4" t="s">
        <v>687</v>
      </c>
      <c r="F29" s="19" t="s">
        <v>141</v>
      </c>
      <c r="G29" s="5" t="s">
        <v>7</v>
      </c>
      <c r="H29" s="6">
        <v>750</v>
      </c>
    </row>
    <row r="30" spans="1:8" ht="20.100000000000001" customHeight="1" x14ac:dyDescent="0.25">
      <c r="A30" s="79"/>
      <c r="B30" s="2">
        <v>45077</v>
      </c>
      <c r="C30" s="3">
        <v>2171095910</v>
      </c>
      <c r="D30" s="3">
        <v>1</v>
      </c>
      <c r="E30" s="4" t="s">
        <v>688</v>
      </c>
      <c r="F30" s="19" t="s">
        <v>141</v>
      </c>
      <c r="G30" s="5" t="s">
        <v>16</v>
      </c>
      <c r="H30" s="6">
        <v>750</v>
      </c>
    </row>
    <row r="31" spans="1:8" ht="20.100000000000001" customHeight="1" x14ac:dyDescent="0.25">
      <c r="A31" s="79"/>
      <c r="B31" s="2">
        <v>45077</v>
      </c>
      <c r="C31" s="3">
        <v>543049297</v>
      </c>
      <c r="D31" s="3">
        <v>1</v>
      </c>
      <c r="E31" s="4" t="s">
        <v>689</v>
      </c>
      <c r="F31" s="19" t="s">
        <v>141</v>
      </c>
      <c r="G31" s="5" t="s">
        <v>16</v>
      </c>
      <c r="H31" s="6">
        <v>750</v>
      </c>
    </row>
    <row r="32" spans="1:8" ht="20.100000000000001" customHeight="1" x14ac:dyDescent="0.25">
      <c r="A32" s="79"/>
      <c r="B32" s="2">
        <v>45077</v>
      </c>
      <c r="C32" s="3">
        <v>200822700</v>
      </c>
      <c r="D32" s="3">
        <v>1</v>
      </c>
      <c r="E32" s="4" t="s">
        <v>200</v>
      </c>
      <c r="F32" s="19" t="s">
        <v>141</v>
      </c>
      <c r="G32" s="5" t="s">
        <v>14</v>
      </c>
      <c r="H32" s="6">
        <v>750</v>
      </c>
    </row>
    <row r="33" spans="1:8" ht="20.100000000000001" customHeight="1" x14ac:dyDescent="0.25">
      <c r="A33" s="79"/>
      <c r="B33" s="2">
        <v>45092</v>
      </c>
      <c r="C33" s="3">
        <v>2729462159</v>
      </c>
      <c r="D33" s="3">
        <v>1</v>
      </c>
      <c r="E33" s="4" t="s">
        <v>727</v>
      </c>
      <c r="F33" s="19" t="s">
        <v>141</v>
      </c>
      <c r="G33" s="5" t="s">
        <v>7</v>
      </c>
      <c r="H33" s="6">
        <v>750</v>
      </c>
    </row>
    <row r="34" spans="1:8" ht="20.100000000000001" customHeight="1" x14ac:dyDescent="0.25">
      <c r="A34" s="79"/>
      <c r="B34" s="2">
        <v>45096</v>
      </c>
      <c r="C34" s="3">
        <v>2621720215</v>
      </c>
      <c r="D34" s="3">
        <v>1</v>
      </c>
      <c r="E34" s="4" t="s">
        <v>214</v>
      </c>
      <c r="F34" s="19" t="s">
        <v>141</v>
      </c>
      <c r="G34" s="5" t="s">
        <v>14</v>
      </c>
      <c r="H34" s="6">
        <v>750</v>
      </c>
    </row>
    <row r="35" spans="1:8" ht="20.100000000000001" customHeight="1" x14ac:dyDescent="0.25">
      <c r="A35" s="79"/>
      <c r="B35" s="2">
        <v>45097</v>
      </c>
      <c r="C35" s="3">
        <v>2524792995</v>
      </c>
      <c r="D35" s="3">
        <v>1</v>
      </c>
      <c r="E35" s="4" t="s">
        <v>705</v>
      </c>
      <c r="F35" s="19" t="s">
        <v>141</v>
      </c>
      <c r="G35" s="5" t="s">
        <v>14</v>
      </c>
      <c r="H35" s="6">
        <v>750</v>
      </c>
    </row>
    <row r="36" spans="1:8" ht="20.100000000000001" customHeight="1" x14ac:dyDescent="0.25">
      <c r="A36" s="79"/>
      <c r="B36" s="2">
        <v>45098</v>
      </c>
      <c r="C36" s="3">
        <v>4049227099</v>
      </c>
      <c r="D36" s="3">
        <v>1</v>
      </c>
      <c r="E36" s="4" t="s">
        <v>356</v>
      </c>
      <c r="F36" s="19" t="s">
        <v>141</v>
      </c>
      <c r="G36" s="5" t="s">
        <v>7</v>
      </c>
      <c r="H36" s="6">
        <v>750</v>
      </c>
    </row>
    <row r="37" spans="1:8" ht="20.100000000000001" customHeight="1" x14ac:dyDescent="0.25">
      <c r="A37" s="79"/>
      <c r="B37" s="2">
        <v>45098</v>
      </c>
      <c r="C37" s="3">
        <v>697388275</v>
      </c>
      <c r="D37" s="3">
        <v>1</v>
      </c>
      <c r="E37" s="4" t="s">
        <v>767</v>
      </c>
      <c r="F37" s="19" t="s">
        <v>141</v>
      </c>
      <c r="G37" s="5" t="s">
        <v>7</v>
      </c>
      <c r="H37" s="6">
        <v>750</v>
      </c>
    </row>
    <row r="38" spans="1:8" ht="20.100000000000001" customHeight="1" x14ac:dyDescent="0.25">
      <c r="A38" s="79"/>
      <c r="B38" s="2">
        <v>45099</v>
      </c>
      <c r="C38" s="3">
        <v>396904927</v>
      </c>
      <c r="D38" s="3">
        <v>1</v>
      </c>
      <c r="E38" s="4" t="s">
        <v>755</v>
      </c>
      <c r="F38" s="19" t="s">
        <v>141</v>
      </c>
      <c r="G38" s="5" t="s">
        <v>7</v>
      </c>
      <c r="H38" s="6">
        <v>750</v>
      </c>
    </row>
    <row r="39" spans="1:8" ht="20.100000000000001" customHeight="1" x14ac:dyDescent="0.25">
      <c r="A39" s="79"/>
      <c r="B39" s="2">
        <v>45104</v>
      </c>
      <c r="C39" s="3">
        <v>988760668</v>
      </c>
      <c r="D39" s="3">
        <v>1</v>
      </c>
      <c r="E39" s="4" t="s">
        <v>734</v>
      </c>
      <c r="F39" s="19" t="s">
        <v>141</v>
      </c>
      <c r="G39" s="5" t="s">
        <v>6</v>
      </c>
      <c r="H39" s="6">
        <v>873.6</v>
      </c>
    </row>
    <row r="40" spans="1:8" ht="20.100000000000001" customHeight="1" x14ac:dyDescent="0.25">
      <c r="A40" s="79"/>
      <c r="B40" s="2">
        <v>45106</v>
      </c>
      <c r="C40" s="3">
        <v>50679423</v>
      </c>
      <c r="D40" s="3">
        <v>1</v>
      </c>
      <c r="E40" s="4" t="s">
        <v>780</v>
      </c>
      <c r="F40" s="19" t="s">
        <v>141</v>
      </c>
      <c r="G40" s="5" t="s">
        <v>7</v>
      </c>
      <c r="H40" s="6">
        <v>750</v>
      </c>
    </row>
    <row r="41" spans="1:8" ht="20.100000000000001" customHeight="1" x14ac:dyDescent="0.25">
      <c r="A41" s="79"/>
      <c r="B41" s="2">
        <v>45113</v>
      </c>
      <c r="C41" s="3">
        <v>679692267</v>
      </c>
      <c r="D41" s="3">
        <v>1</v>
      </c>
      <c r="E41" s="4" t="s">
        <v>740</v>
      </c>
      <c r="F41" s="19" t="s">
        <v>141</v>
      </c>
      <c r="G41" s="5" t="s">
        <v>7</v>
      </c>
      <c r="H41" s="6">
        <v>750</v>
      </c>
    </row>
    <row r="42" spans="1:8" ht="20.100000000000001" customHeight="1" x14ac:dyDescent="0.25">
      <c r="A42" s="79"/>
      <c r="B42" s="2">
        <v>45114</v>
      </c>
      <c r="C42" s="3">
        <v>1190414614</v>
      </c>
      <c r="D42" s="3">
        <v>1</v>
      </c>
      <c r="E42" s="4" t="s">
        <v>847</v>
      </c>
      <c r="F42" s="19" t="s">
        <v>141</v>
      </c>
      <c r="G42" s="5" t="s">
        <v>7</v>
      </c>
      <c r="H42" s="6">
        <v>750</v>
      </c>
    </row>
    <row r="43" spans="1:8" ht="20.100000000000001" customHeight="1" x14ac:dyDescent="0.25">
      <c r="A43" s="79"/>
      <c r="B43" s="2">
        <v>45134</v>
      </c>
      <c r="C43" s="3">
        <v>2140292111</v>
      </c>
      <c r="D43" s="3">
        <v>1</v>
      </c>
      <c r="E43" s="4" t="s">
        <v>820</v>
      </c>
      <c r="F43" s="19" t="s">
        <v>141</v>
      </c>
      <c r="G43" s="5" t="s">
        <v>7</v>
      </c>
      <c r="H43" s="6">
        <v>750</v>
      </c>
    </row>
    <row r="44" spans="1:8" ht="20.100000000000001" customHeight="1" x14ac:dyDescent="0.25">
      <c r="A44" s="79"/>
      <c r="B44" s="2">
        <v>45139</v>
      </c>
      <c r="C44" s="3">
        <v>3469430033</v>
      </c>
      <c r="D44" s="3">
        <v>1</v>
      </c>
      <c r="E44" s="4" t="s">
        <v>361</v>
      </c>
      <c r="F44" s="19" t="s">
        <v>141</v>
      </c>
      <c r="G44" s="5" t="s">
        <v>6</v>
      </c>
      <c r="H44" s="6">
        <v>750</v>
      </c>
    </row>
    <row r="45" spans="1:8" ht="20.100000000000001" customHeight="1" x14ac:dyDescent="0.25">
      <c r="A45" s="79"/>
      <c r="B45" s="2">
        <v>45145</v>
      </c>
      <c r="C45" s="3" t="s">
        <v>13</v>
      </c>
      <c r="D45" s="3">
        <v>1</v>
      </c>
      <c r="E45" s="4" t="s">
        <v>89</v>
      </c>
      <c r="F45" s="19" t="s">
        <v>141</v>
      </c>
      <c r="G45" s="5" t="s">
        <v>14</v>
      </c>
      <c r="H45" s="6">
        <v>700</v>
      </c>
    </row>
    <row r="46" spans="1:8" ht="20.100000000000001" customHeight="1" x14ac:dyDescent="0.25">
      <c r="A46" s="79"/>
      <c r="B46" s="2">
        <v>45149</v>
      </c>
      <c r="C46" s="3">
        <v>3492171739</v>
      </c>
      <c r="D46" s="3">
        <v>1</v>
      </c>
      <c r="E46" s="4" t="s">
        <v>1012</v>
      </c>
      <c r="F46" s="19" t="s">
        <v>141</v>
      </c>
      <c r="G46" s="5" t="s">
        <v>7</v>
      </c>
      <c r="H46" s="6">
        <v>750</v>
      </c>
    </row>
    <row r="47" spans="1:8" ht="20.100000000000001" customHeight="1" x14ac:dyDescent="0.25">
      <c r="A47" s="79"/>
      <c r="B47" s="2">
        <v>45170</v>
      </c>
      <c r="C47" s="3">
        <v>2067680633</v>
      </c>
      <c r="D47" s="3">
        <v>1</v>
      </c>
      <c r="E47" s="4" t="s">
        <v>1098</v>
      </c>
      <c r="F47" s="19" t="s">
        <v>1111</v>
      </c>
      <c r="G47" s="5" t="s">
        <v>7</v>
      </c>
      <c r="H47" s="6">
        <v>215</v>
      </c>
    </row>
    <row r="48" spans="1:8" ht="20.100000000000001" customHeight="1" x14ac:dyDescent="0.25">
      <c r="A48" s="79"/>
      <c r="B48" s="2">
        <v>45180</v>
      </c>
      <c r="C48" s="3">
        <v>2241154763</v>
      </c>
      <c r="D48" s="3">
        <v>2</v>
      </c>
      <c r="E48" s="4" t="s">
        <v>1082</v>
      </c>
      <c r="F48" s="19" t="s">
        <v>1112</v>
      </c>
      <c r="G48" s="5" t="s">
        <v>6</v>
      </c>
      <c r="H48" s="6">
        <v>1500</v>
      </c>
    </row>
    <row r="49" spans="1:8" ht="20.100000000000001" customHeight="1" x14ac:dyDescent="0.25">
      <c r="A49" s="79"/>
      <c r="B49" s="2">
        <v>45181</v>
      </c>
      <c r="C49" s="3">
        <v>2581217481</v>
      </c>
      <c r="D49" s="3">
        <v>1</v>
      </c>
      <c r="E49" s="4" t="s">
        <v>1084</v>
      </c>
      <c r="F49" s="19" t="s">
        <v>1112</v>
      </c>
      <c r="G49" s="5" t="s">
        <v>7</v>
      </c>
      <c r="H49" s="6">
        <v>750</v>
      </c>
    </row>
    <row r="50" spans="1:8" ht="20.100000000000001" customHeight="1" x14ac:dyDescent="0.25">
      <c r="A50" s="79"/>
      <c r="B50" s="2">
        <v>45181</v>
      </c>
      <c r="C50" s="3">
        <v>2338406965</v>
      </c>
      <c r="D50" s="3">
        <v>1</v>
      </c>
      <c r="E50" s="4" t="s">
        <v>1113</v>
      </c>
      <c r="F50" s="19" t="s">
        <v>1112</v>
      </c>
      <c r="G50" s="5" t="s">
        <v>28</v>
      </c>
      <c r="H50" s="6">
        <v>750</v>
      </c>
    </row>
    <row r="51" spans="1:8" ht="20.100000000000001" customHeight="1" x14ac:dyDescent="0.25">
      <c r="A51" s="79"/>
      <c r="B51" s="2">
        <v>45181</v>
      </c>
      <c r="C51" s="3">
        <v>1240350765</v>
      </c>
      <c r="D51" s="3">
        <v>1</v>
      </c>
      <c r="E51" s="4" t="s">
        <v>51</v>
      </c>
      <c r="F51" s="19" t="s">
        <v>1112</v>
      </c>
      <c r="G51" s="5" t="s">
        <v>6</v>
      </c>
      <c r="H51" s="6">
        <v>750</v>
      </c>
    </row>
    <row r="52" spans="1:8" ht="20.100000000000001" customHeight="1" x14ac:dyDescent="0.25">
      <c r="A52" s="79"/>
      <c r="B52" s="2">
        <v>45182</v>
      </c>
      <c r="C52" s="3">
        <v>52972872</v>
      </c>
      <c r="D52" s="3">
        <v>1</v>
      </c>
      <c r="E52" s="4" t="s">
        <v>1099</v>
      </c>
      <c r="F52" s="19" t="s">
        <v>1112</v>
      </c>
      <c r="G52" s="5" t="s">
        <v>7</v>
      </c>
      <c r="H52" s="6">
        <v>750</v>
      </c>
    </row>
    <row r="53" spans="1:8" ht="20.100000000000001" customHeight="1" x14ac:dyDescent="0.25">
      <c r="A53" s="79"/>
      <c r="B53" s="2">
        <v>45183</v>
      </c>
      <c r="C53" s="3">
        <v>3225175505</v>
      </c>
      <c r="D53" s="3">
        <v>2</v>
      </c>
      <c r="E53" s="4" t="s">
        <v>1114</v>
      </c>
      <c r="F53" s="19" t="s">
        <v>1112</v>
      </c>
      <c r="G53" s="5" t="s">
        <v>6</v>
      </c>
      <c r="H53" s="6">
        <v>1500</v>
      </c>
    </row>
    <row r="54" spans="1:8" ht="20.100000000000001" customHeight="1" x14ac:dyDescent="0.25">
      <c r="A54" s="79"/>
      <c r="B54" s="2">
        <v>45196</v>
      </c>
      <c r="C54" s="3">
        <v>3038334620</v>
      </c>
      <c r="D54" s="3">
        <v>2</v>
      </c>
      <c r="E54" s="4" t="s">
        <v>1102</v>
      </c>
      <c r="F54" s="19" t="s">
        <v>1112</v>
      </c>
      <c r="G54" s="5" t="s">
        <v>11</v>
      </c>
      <c r="H54" s="6">
        <v>1500</v>
      </c>
    </row>
    <row r="55" spans="1:8" ht="20.100000000000001" customHeight="1" x14ac:dyDescent="0.25">
      <c r="A55" s="79"/>
      <c r="B55" s="2">
        <v>45197</v>
      </c>
      <c r="C55" s="3">
        <v>3880995100</v>
      </c>
      <c r="D55" s="3">
        <v>2</v>
      </c>
      <c r="E55" s="4" t="s">
        <v>1021</v>
      </c>
      <c r="F55" s="19" t="s">
        <v>1112</v>
      </c>
      <c r="G55" s="5" t="s">
        <v>6</v>
      </c>
      <c r="H55" s="6">
        <v>1500</v>
      </c>
    </row>
    <row r="56" spans="1:8" ht="20.100000000000001" customHeight="1" x14ac:dyDescent="0.25">
      <c r="A56" s="79"/>
      <c r="B56" s="2">
        <v>45198</v>
      </c>
      <c r="C56" s="3">
        <v>406865469</v>
      </c>
      <c r="D56" s="3">
        <v>2</v>
      </c>
      <c r="E56" s="4" t="s">
        <v>1115</v>
      </c>
      <c r="F56" s="19" t="s">
        <v>1112</v>
      </c>
      <c r="G56" s="5" t="s">
        <v>7</v>
      </c>
      <c r="H56" s="6">
        <v>1500</v>
      </c>
    </row>
    <row r="57" spans="1:8" ht="20.100000000000001" customHeight="1" x14ac:dyDescent="0.25">
      <c r="A57" s="79"/>
      <c r="B57" s="2">
        <v>45203</v>
      </c>
      <c r="C57" s="3">
        <v>1574325904</v>
      </c>
      <c r="D57" s="3">
        <v>2</v>
      </c>
      <c r="E57" s="4" t="s">
        <v>1182</v>
      </c>
      <c r="F57" s="19" t="s">
        <v>141</v>
      </c>
      <c r="G57" s="5" t="s">
        <v>36</v>
      </c>
      <c r="H57" s="6">
        <v>1500</v>
      </c>
    </row>
    <row r="58" spans="1:8" ht="20.100000000000001" customHeight="1" x14ac:dyDescent="0.25">
      <c r="A58" s="79"/>
      <c r="B58" s="2">
        <v>45204</v>
      </c>
      <c r="C58" s="3">
        <v>2651605547</v>
      </c>
      <c r="D58" s="3">
        <v>1</v>
      </c>
      <c r="E58" s="4" t="s">
        <v>1185</v>
      </c>
      <c r="F58" s="19" t="s">
        <v>141</v>
      </c>
      <c r="G58" s="5" t="s">
        <v>11</v>
      </c>
      <c r="H58" s="6">
        <v>750</v>
      </c>
    </row>
    <row r="59" spans="1:8" ht="20.100000000000001" customHeight="1" x14ac:dyDescent="0.25">
      <c r="A59" s="79"/>
      <c r="B59" s="2">
        <v>45205</v>
      </c>
      <c r="C59" s="3">
        <v>380717653</v>
      </c>
      <c r="D59" s="3">
        <v>1</v>
      </c>
      <c r="E59" s="4" t="s">
        <v>1198</v>
      </c>
      <c r="F59" s="19" t="s">
        <v>141</v>
      </c>
      <c r="G59" s="5" t="s">
        <v>14</v>
      </c>
      <c r="H59" s="6">
        <v>750</v>
      </c>
    </row>
    <row r="60" spans="1:8" ht="20.100000000000001" customHeight="1" x14ac:dyDescent="0.25">
      <c r="A60" s="79"/>
      <c r="B60" s="2">
        <v>45210</v>
      </c>
      <c r="C60" s="3">
        <v>221987362</v>
      </c>
      <c r="D60" s="3">
        <v>2</v>
      </c>
      <c r="E60" s="4" t="s">
        <v>1186</v>
      </c>
      <c r="F60" s="19" t="s">
        <v>141</v>
      </c>
      <c r="G60" s="5" t="s">
        <v>7</v>
      </c>
      <c r="H60" s="6">
        <v>1500</v>
      </c>
    </row>
    <row r="61" spans="1:8" ht="20.100000000000001" customHeight="1" x14ac:dyDescent="0.25">
      <c r="A61" s="79"/>
      <c r="B61" s="2">
        <v>45211</v>
      </c>
      <c r="C61" s="3">
        <v>1717191346</v>
      </c>
      <c r="D61" s="3">
        <v>1</v>
      </c>
      <c r="E61" s="4" t="s">
        <v>1199</v>
      </c>
      <c r="F61" s="19" t="s">
        <v>141</v>
      </c>
      <c r="G61" s="5" t="s">
        <v>14</v>
      </c>
      <c r="H61" s="6">
        <v>750</v>
      </c>
    </row>
    <row r="62" spans="1:8" ht="19.5" customHeight="1" x14ac:dyDescent="0.25">
      <c r="A62" s="79"/>
      <c r="B62" s="2">
        <v>45232</v>
      </c>
      <c r="C62" s="3">
        <v>3326036547</v>
      </c>
      <c r="D62" s="3">
        <v>1</v>
      </c>
      <c r="E62" s="4" t="s">
        <v>1232</v>
      </c>
      <c r="F62" s="19" t="s">
        <v>1233</v>
      </c>
      <c r="G62" s="5" t="s">
        <v>6</v>
      </c>
      <c r="H62" s="6">
        <v>750</v>
      </c>
    </row>
    <row r="63" spans="1:8" ht="19.5" customHeight="1" x14ac:dyDescent="0.25">
      <c r="A63" s="79"/>
      <c r="B63" s="2">
        <v>45233</v>
      </c>
      <c r="C63" s="3">
        <v>1034111074</v>
      </c>
      <c r="D63" s="3">
        <v>1</v>
      </c>
      <c r="E63" s="4" t="s">
        <v>176</v>
      </c>
      <c r="F63" s="19" t="s">
        <v>1233</v>
      </c>
      <c r="G63" s="5" t="s">
        <v>6</v>
      </c>
      <c r="H63" s="6">
        <v>750</v>
      </c>
    </row>
    <row r="64" spans="1:8" ht="19.5" customHeight="1" x14ac:dyDescent="0.25">
      <c r="A64" s="79"/>
      <c r="B64" s="2">
        <v>45239</v>
      </c>
      <c r="C64" s="3">
        <v>1497514584</v>
      </c>
      <c r="D64" s="3">
        <v>1</v>
      </c>
      <c r="E64" s="4" t="s">
        <v>1206</v>
      </c>
      <c r="F64" s="19" t="s">
        <v>1233</v>
      </c>
      <c r="G64" s="5" t="s">
        <v>7</v>
      </c>
      <c r="H64" s="6">
        <v>750</v>
      </c>
    </row>
    <row r="65" spans="1:8" ht="19.5" customHeight="1" x14ac:dyDescent="0.25">
      <c r="A65" s="79"/>
      <c r="B65" s="2">
        <v>45239</v>
      </c>
      <c r="C65" s="3">
        <v>3188214480</v>
      </c>
      <c r="D65" s="3">
        <v>1</v>
      </c>
      <c r="E65" s="4" t="s">
        <v>1227</v>
      </c>
      <c r="F65" s="19" t="s">
        <v>1233</v>
      </c>
      <c r="G65" s="5" t="s">
        <v>599</v>
      </c>
      <c r="H65" s="6">
        <v>750</v>
      </c>
    </row>
    <row r="66" spans="1:8" ht="19.5" customHeight="1" x14ac:dyDescent="0.25">
      <c r="A66" s="79"/>
      <c r="B66" s="2">
        <v>45244</v>
      </c>
      <c r="C66" s="3">
        <v>2141474313</v>
      </c>
      <c r="D66" s="3">
        <v>1</v>
      </c>
      <c r="E66" s="4" t="s">
        <v>1217</v>
      </c>
      <c r="F66" s="19" t="s">
        <v>1233</v>
      </c>
      <c r="G66" s="5" t="s">
        <v>7</v>
      </c>
      <c r="H66" s="6">
        <v>750</v>
      </c>
    </row>
    <row r="67" spans="1:8" ht="19.5" customHeight="1" x14ac:dyDescent="0.25">
      <c r="A67" s="79"/>
      <c r="B67" s="2">
        <v>45244</v>
      </c>
      <c r="C67" s="3">
        <v>266551514</v>
      </c>
      <c r="D67" s="3">
        <v>1</v>
      </c>
      <c r="E67" s="4" t="s">
        <v>1217</v>
      </c>
      <c r="F67" s="19" t="s">
        <v>1233</v>
      </c>
      <c r="G67" s="5" t="s">
        <v>6</v>
      </c>
      <c r="H67" s="6">
        <v>750</v>
      </c>
    </row>
    <row r="68" spans="1:8" ht="19.5" customHeight="1" x14ac:dyDescent="0.25">
      <c r="A68" s="79"/>
      <c r="B68" s="2">
        <v>45258</v>
      </c>
      <c r="C68" s="3">
        <v>379866564</v>
      </c>
      <c r="D68" s="3">
        <v>1</v>
      </c>
      <c r="E68" s="4" t="s">
        <v>1300</v>
      </c>
      <c r="F68" s="19" t="s">
        <v>1233</v>
      </c>
      <c r="G68" s="5" t="s">
        <v>7</v>
      </c>
      <c r="H68" s="6">
        <v>750</v>
      </c>
    </row>
    <row r="69" spans="1:8" ht="19.5" customHeight="1" x14ac:dyDescent="0.25">
      <c r="A69" s="79"/>
      <c r="B69" s="2">
        <v>45272</v>
      </c>
      <c r="C69" s="3">
        <v>3216001885</v>
      </c>
      <c r="D69" s="3">
        <v>3</v>
      </c>
      <c r="E69" s="4" t="s">
        <v>920</v>
      </c>
      <c r="F69" s="19" t="s">
        <v>141</v>
      </c>
      <c r="G69" s="5" t="s">
        <v>6</v>
      </c>
      <c r="H69" s="6">
        <v>2100</v>
      </c>
    </row>
    <row r="70" spans="1:8" ht="20.100000000000001" customHeight="1" x14ac:dyDescent="0.25">
      <c r="A70" s="80"/>
      <c r="B70" s="13"/>
      <c r="C70" s="14"/>
      <c r="D70" s="14"/>
      <c r="E70" s="14" t="s">
        <v>5</v>
      </c>
      <c r="F70" s="15"/>
      <c r="G70" s="16"/>
      <c r="H70" s="17">
        <f>SUM(H3:H69)</f>
        <v>57138.6</v>
      </c>
    </row>
    <row r="71" spans="1:8" ht="20.100000000000001" customHeight="1" x14ac:dyDescent="0.25">
      <c r="A71" s="7"/>
      <c r="B71" s="8"/>
      <c r="C71" s="8"/>
      <c r="D71" s="8"/>
      <c r="E71" s="8"/>
      <c r="F71" s="12"/>
      <c r="G71" s="8"/>
      <c r="H71" s="9"/>
    </row>
  </sheetData>
  <mergeCells count="8">
    <mergeCell ref="G1:G2"/>
    <mergeCell ref="H1:H2"/>
    <mergeCell ref="A1:A70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7"/>
  <sheetViews>
    <sheetView workbookViewId="0">
      <selection activeCell="C8" sqref="C8"/>
    </sheetView>
  </sheetViews>
  <sheetFormatPr baseColWidth="10" defaultColWidth="9.140625" defaultRowHeight="15" x14ac:dyDescent="0.25"/>
  <cols>
    <col min="1" max="1" width="24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216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20.100000000000001" customHeight="1" x14ac:dyDescent="0.25">
      <c r="A3" s="79"/>
      <c r="B3" s="2">
        <v>44952</v>
      </c>
      <c r="C3" s="3">
        <v>4032643175</v>
      </c>
      <c r="D3" s="3">
        <v>10</v>
      </c>
      <c r="E3" s="4" t="s">
        <v>147</v>
      </c>
      <c r="F3" s="19" t="s">
        <v>216</v>
      </c>
      <c r="G3" s="5" t="s">
        <v>7</v>
      </c>
      <c r="H3" s="6">
        <v>2000</v>
      </c>
    </row>
    <row r="4" spans="1:8" ht="20.100000000000001" customHeight="1" x14ac:dyDescent="0.25">
      <c r="A4" s="79"/>
      <c r="B4" s="2">
        <v>44952</v>
      </c>
      <c r="C4" s="3">
        <v>618483502</v>
      </c>
      <c r="D4" s="3">
        <v>10</v>
      </c>
      <c r="E4" s="4" t="s">
        <v>217</v>
      </c>
      <c r="F4" s="19" t="s">
        <v>216</v>
      </c>
      <c r="G4" s="5" t="s">
        <v>7</v>
      </c>
      <c r="H4" s="6">
        <v>2000</v>
      </c>
    </row>
    <row r="5" spans="1:8" ht="20.100000000000001" customHeight="1" x14ac:dyDescent="0.25">
      <c r="A5" s="79"/>
      <c r="B5" s="2">
        <v>44995</v>
      </c>
      <c r="C5" s="3">
        <v>1638287857</v>
      </c>
      <c r="D5" s="3">
        <v>10</v>
      </c>
      <c r="E5" s="4" t="s">
        <v>529</v>
      </c>
      <c r="F5" s="19" t="s">
        <v>216</v>
      </c>
      <c r="G5" s="5" t="s">
        <v>6</v>
      </c>
      <c r="H5" s="6">
        <v>2300</v>
      </c>
    </row>
    <row r="6" spans="1:8" ht="20.100000000000001" customHeight="1" x14ac:dyDescent="0.25">
      <c r="A6" s="80"/>
      <c r="B6" s="13"/>
      <c r="C6" s="14"/>
      <c r="D6" s="14"/>
      <c r="E6" s="14" t="s">
        <v>5</v>
      </c>
      <c r="F6" s="15"/>
      <c r="G6" s="16"/>
      <c r="H6" s="17">
        <f>SUM(H3:H5)</f>
        <v>6300</v>
      </c>
    </row>
    <row r="7" spans="1:8" ht="20.100000000000001" customHeight="1" x14ac:dyDescent="0.25">
      <c r="A7" s="7"/>
      <c r="B7" s="8"/>
      <c r="C7" s="8"/>
      <c r="D7" s="8"/>
      <c r="E7" s="8"/>
      <c r="F7" s="12"/>
      <c r="G7" s="8"/>
      <c r="H7" s="9"/>
    </row>
  </sheetData>
  <mergeCells count="8">
    <mergeCell ref="G1:G2"/>
    <mergeCell ref="H1:H2"/>
    <mergeCell ref="A1:A6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41"/>
  <sheetViews>
    <sheetView topLeftCell="A21" workbookViewId="0">
      <selection activeCell="F36" sqref="F36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81.71093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326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29.25" customHeight="1" x14ac:dyDescent="0.25">
      <c r="A3" s="79"/>
      <c r="B3" s="2">
        <v>44972</v>
      </c>
      <c r="C3" s="3">
        <v>686837718</v>
      </c>
      <c r="D3" s="3">
        <v>10</v>
      </c>
      <c r="E3" s="4" t="s">
        <v>327</v>
      </c>
      <c r="F3" s="19" t="s">
        <v>328</v>
      </c>
      <c r="G3" s="5" t="s">
        <v>7</v>
      </c>
      <c r="H3" s="6">
        <v>4000</v>
      </c>
    </row>
    <row r="4" spans="1:8" ht="20.100000000000001" customHeight="1" x14ac:dyDescent="0.25">
      <c r="A4" s="79"/>
      <c r="B4" s="2">
        <v>44987</v>
      </c>
      <c r="C4" s="3">
        <v>138825459</v>
      </c>
      <c r="D4" s="3">
        <v>10</v>
      </c>
      <c r="E4" s="4" t="s">
        <v>187</v>
      </c>
      <c r="F4" s="19" t="s">
        <v>530</v>
      </c>
      <c r="G4" s="5" t="s">
        <v>7</v>
      </c>
      <c r="H4" s="6">
        <v>4000</v>
      </c>
    </row>
    <row r="5" spans="1:8" ht="20.100000000000001" customHeight="1" x14ac:dyDescent="0.25">
      <c r="A5" s="79"/>
      <c r="B5" s="2">
        <v>44999</v>
      </c>
      <c r="C5" s="3">
        <v>2015381660</v>
      </c>
      <c r="D5" s="3">
        <v>4</v>
      </c>
      <c r="E5" s="4" t="s">
        <v>412</v>
      </c>
      <c r="F5" s="19" t="s">
        <v>531</v>
      </c>
      <c r="G5" s="5" t="s">
        <v>28</v>
      </c>
      <c r="H5" s="6">
        <v>2000</v>
      </c>
    </row>
    <row r="6" spans="1:8" ht="20.100000000000001" customHeight="1" x14ac:dyDescent="0.25">
      <c r="A6" s="79"/>
      <c r="B6" s="2">
        <v>44999</v>
      </c>
      <c r="C6" s="3">
        <v>2015381660</v>
      </c>
      <c r="D6" s="3">
        <v>6</v>
      </c>
      <c r="E6" s="4" t="s">
        <v>412</v>
      </c>
      <c r="F6" s="19" t="s">
        <v>532</v>
      </c>
      <c r="G6" s="5" t="s">
        <v>28</v>
      </c>
      <c r="H6" s="6">
        <v>2400</v>
      </c>
    </row>
    <row r="7" spans="1:8" ht="20.100000000000001" customHeight="1" x14ac:dyDescent="0.25">
      <c r="A7" s="79"/>
      <c r="B7" s="2">
        <v>45002</v>
      </c>
      <c r="C7" s="3">
        <v>508315760</v>
      </c>
      <c r="D7" s="3">
        <v>10</v>
      </c>
      <c r="E7" s="4" t="s">
        <v>390</v>
      </c>
      <c r="F7" s="19" t="s">
        <v>326</v>
      </c>
      <c r="G7" s="5" t="s">
        <v>7</v>
      </c>
      <c r="H7" s="6">
        <v>4000</v>
      </c>
    </row>
    <row r="8" spans="1:8" ht="20.100000000000001" customHeight="1" x14ac:dyDescent="0.25">
      <c r="A8" s="79"/>
      <c r="B8" s="2">
        <v>45006</v>
      </c>
      <c r="C8" s="3">
        <v>1726104040</v>
      </c>
      <c r="D8" s="3">
        <v>5</v>
      </c>
      <c r="E8" s="4" t="s">
        <v>533</v>
      </c>
      <c r="F8" s="19" t="s">
        <v>531</v>
      </c>
      <c r="G8" s="5" t="s">
        <v>14</v>
      </c>
      <c r="H8" s="6">
        <v>2000</v>
      </c>
    </row>
    <row r="9" spans="1:8" ht="20.100000000000001" customHeight="1" x14ac:dyDescent="0.25">
      <c r="A9" s="79"/>
      <c r="B9" s="2">
        <v>45013</v>
      </c>
      <c r="C9" s="3">
        <v>697386659</v>
      </c>
      <c r="D9" s="3">
        <v>10</v>
      </c>
      <c r="E9" s="4" t="s">
        <v>534</v>
      </c>
      <c r="F9" s="19" t="s">
        <v>535</v>
      </c>
      <c r="G9" s="5" t="s">
        <v>7</v>
      </c>
      <c r="H9" s="6">
        <v>4000</v>
      </c>
    </row>
    <row r="10" spans="1:8" ht="20.100000000000001" customHeight="1" x14ac:dyDescent="0.25">
      <c r="A10" s="79"/>
      <c r="B10" s="2">
        <v>45033</v>
      </c>
      <c r="C10" s="3">
        <v>3125299252</v>
      </c>
      <c r="D10" s="3">
        <v>6</v>
      </c>
      <c r="E10" s="4" t="s">
        <v>603</v>
      </c>
      <c r="F10" s="19" t="s">
        <v>604</v>
      </c>
      <c r="G10" s="5" t="s">
        <v>6</v>
      </c>
      <c r="H10" s="6">
        <v>3000</v>
      </c>
    </row>
    <row r="11" spans="1:8" ht="20.100000000000001" customHeight="1" x14ac:dyDescent="0.25">
      <c r="A11" s="79"/>
      <c r="B11" s="2">
        <v>45049</v>
      </c>
      <c r="C11" s="3">
        <v>1057702669</v>
      </c>
      <c r="D11" s="3">
        <v>6</v>
      </c>
      <c r="E11" s="4" t="s">
        <v>412</v>
      </c>
      <c r="F11" s="19" t="s">
        <v>604</v>
      </c>
      <c r="G11" s="5" t="s">
        <v>28</v>
      </c>
      <c r="H11" s="6">
        <v>2700</v>
      </c>
    </row>
    <row r="12" spans="1:8" ht="20.100000000000001" customHeight="1" x14ac:dyDescent="0.25">
      <c r="A12" s="79"/>
      <c r="B12" s="2">
        <v>45051</v>
      </c>
      <c r="C12" s="3">
        <v>2861254121</v>
      </c>
      <c r="D12" s="3">
        <v>5</v>
      </c>
      <c r="E12" s="4" t="s">
        <v>625</v>
      </c>
      <c r="F12" s="19" t="s">
        <v>694</v>
      </c>
      <c r="G12" s="5" t="s">
        <v>6</v>
      </c>
      <c r="H12" s="6">
        <v>1865</v>
      </c>
    </row>
    <row r="13" spans="1:8" ht="20.100000000000001" customHeight="1" x14ac:dyDescent="0.25">
      <c r="A13" s="79"/>
      <c r="B13" s="2">
        <v>45051</v>
      </c>
      <c r="C13" s="3">
        <v>2861254121</v>
      </c>
      <c r="D13" s="3">
        <v>1</v>
      </c>
      <c r="E13" s="4" t="s">
        <v>625</v>
      </c>
      <c r="F13" s="19" t="s">
        <v>694</v>
      </c>
      <c r="G13" s="5" t="s">
        <v>6</v>
      </c>
      <c r="H13" s="6">
        <v>375</v>
      </c>
    </row>
    <row r="14" spans="1:8" ht="20.100000000000001" customHeight="1" x14ac:dyDescent="0.25">
      <c r="A14" s="79"/>
      <c r="B14" s="2">
        <v>45061</v>
      </c>
      <c r="C14" s="3">
        <v>1533296782</v>
      </c>
      <c r="D14" s="3">
        <v>8</v>
      </c>
      <c r="E14" s="4" t="s">
        <v>631</v>
      </c>
      <c r="F14" s="19" t="s">
        <v>695</v>
      </c>
      <c r="G14" s="5" t="s">
        <v>16</v>
      </c>
      <c r="H14" s="6">
        <v>3000</v>
      </c>
    </row>
    <row r="15" spans="1:8" ht="20.100000000000001" customHeight="1" x14ac:dyDescent="0.25">
      <c r="A15" s="79"/>
      <c r="B15" s="2">
        <v>45062</v>
      </c>
      <c r="C15" s="3">
        <v>3122284817</v>
      </c>
      <c r="D15" s="3">
        <v>6</v>
      </c>
      <c r="E15" s="4" t="s">
        <v>696</v>
      </c>
      <c r="F15" s="19" t="s">
        <v>697</v>
      </c>
      <c r="G15" s="5" t="s">
        <v>6</v>
      </c>
      <c r="H15" s="6">
        <v>2700</v>
      </c>
    </row>
    <row r="16" spans="1:8" ht="20.100000000000001" customHeight="1" x14ac:dyDescent="0.25">
      <c r="A16" s="79"/>
      <c r="B16" s="2">
        <v>45082</v>
      </c>
      <c r="C16" s="3">
        <v>488328074</v>
      </c>
      <c r="D16" s="3">
        <v>10</v>
      </c>
      <c r="E16" s="4" t="s">
        <v>781</v>
      </c>
      <c r="F16" s="19" t="s">
        <v>326</v>
      </c>
      <c r="G16" s="5" t="s">
        <v>7</v>
      </c>
      <c r="H16" s="6">
        <v>5000</v>
      </c>
    </row>
    <row r="17" spans="1:9" ht="20.100000000000001" customHeight="1" x14ac:dyDescent="0.25">
      <c r="A17" s="79"/>
      <c r="B17" s="2">
        <v>45084</v>
      </c>
      <c r="C17" s="3">
        <v>2573160404</v>
      </c>
      <c r="D17" s="3">
        <v>8</v>
      </c>
      <c r="E17" s="4" t="s">
        <v>723</v>
      </c>
      <c r="F17" s="19" t="s">
        <v>782</v>
      </c>
      <c r="G17" s="5" t="s">
        <v>6</v>
      </c>
      <c r="H17" s="6">
        <v>5000</v>
      </c>
    </row>
    <row r="18" spans="1:9" ht="20.100000000000001" customHeight="1" x14ac:dyDescent="0.25">
      <c r="A18" s="79"/>
      <c r="B18" s="2">
        <v>45085</v>
      </c>
      <c r="C18" s="3">
        <v>2518240102</v>
      </c>
      <c r="D18" s="3">
        <v>8</v>
      </c>
      <c r="E18" s="4" t="s">
        <v>357</v>
      </c>
      <c r="F18" s="19" t="s">
        <v>783</v>
      </c>
      <c r="G18" s="5" t="s">
        <v>6</v>
      </c>
      <c r="H18" s="6">
        <v>4000</v>
      </c>
    </row>
    <row r="19" spans="1:9" ht="20.100000000000001" customHeight="1" x14ac:dyDescent="0.25">
      <c r="A19" s="79"/>
      <c r="B19" s="2">
        <v>45096</v>
      </c>
      <c r="C19" s="3">
        <v>73812380</v>
      </c>
      <c r="D19" s="3">
        <v>6</v>
      </c>
      <c r="E19" s="4" t="s">
        <v>631</v>
      </c>
      <c r="F19" s="19" t="s">
        <v>784</v>
      </c>
      <c r="G19" s="5" t="s">
        <v>14</v>
      </c>
      <c r="H19" s="6">
        <v>3000</v>
      </c>
    </row>
    <row r="20" spans="1:9" ht="20.100000000000001" customHeight="1" x14ac:dyDescent="0.25">
      <c r="A20" s="79"/>
      <c r="B20" s="2">
        <v>45099</v>
      </c>
      <c r="C20" s="3">
        <v>3233629397</v>
      </c>
      <c r="D20" s="3">
        <v>8</v>
      </c>
      <c r="E20" s="4" t="s">
        <v>412</v>
      </c>
      <c r="F20" s="19" t="s">
        <v>604</v>
      </c>
      <c r="G20" s="5" t="s">
        <v>28</v>
      </c>
      <c r="H20" s="6">
        <v>4000</v>
      </c>
    </row>
    <row r="21" spans="1:9" ht="20.100000000000001" customHeight="1" x14ac:dyDescent="0.25">
      <c r="A21" s="79"/>
      <c r="B21" s="2">
        <v>45104</v>
      </c>
      <c r="C21" s="3">
        <v>607667217</v>
      </c>
      <c r="D21" s="3">
        <v>8</v>
      </c>
      <c r="E21" s="4" t="s">
        <v>716</v>
      </c>
      <c r="F21" s="19" t="s">
        <v>785</v>
      </c>
      <c r="G21" s="5" t="s">
        <v>6</v>
      </c>
      <c r="H21" s="6">
        <v>5000</v>
      </c>
    </row>
    <row r="22" spans="1:9" ht="20.100000000000001" customHeight="1" x14ac:dyDescent="0.25">
      <c r="A22" s="79"/>
      <c r="B22" s="2">
        <v>45105</v>
      </c>
      <c r="C22" s="3">
        <v>2235383917</v>
      </c>
      <c r="D22" s="3">
        <v>10</v>
      </c>
      <c r="E22" s="4" t="s">
        <v>752</v>
      </c>
      <c r="F22" s="19" t="s">
        <v>604</v>
      </c>
      <c r="G22" s="5" t="s">
        <v>28</v>
      </c>
      <c r="H22" s="6">
        <v>5000</v>
      </c>
    </row>
    <row r="23" spans="1:9" ht="20.100000000000001" customHeight="1" x14ac:dyDescent="0.25">
      <c r="A23" s="79"/>
      <c r="B23" s="2">
        <v>45106</v>
      </c>
      <c r="C23" s="3">
        <v>1948008795</v>
      </c>
      <c r="D23" s="3">
        <v>6</v>
      </c>
      <c r="E23" s="4" t="s">
        <v>786</v>
      </c>
      <c r="F23" s="19" t="s">
        <v>787</v>
      </c>
      <c r="G23" s="5" t="s">
        <v>7</v>
      </c>
      <c r="H23" s="6">
        <v>3000</v>
      </c>
    </row>
    <row r="24" spans="1:9" ht="20.100000000000001" customHeight="1" x14ac:dyDescent="0.25">
      <c r="A24" s="79"/>
      <c r="B24" s="2">
        <v>45106</v>
      </c>
      <c r="C24" s="3">
        <v>523978702</v>
      </c>
      <c r="D24" s="3">
        <v>8</v>
      </c>
      <c r="E24" s="4" t="s">
        <v>718</v>
      </c>
      <c r="F24" s="19" t="s">
        <v>788</v>
      </c>
      <c r="G24" s="5" t="s">
        <v>7</v>
      </c>
      <c r="H24" s="6">
        <v>4000</v>
      </c>
    </row>
    <row r="25" spans="1:9" ht="20.100000000000001" customHeight="1" x14ac:dyDescent="0.25">
      <c r="A25" s="79"/>
      <c r="B25" s="2">
        <v>45126</v>
      </c>
      <c r="C25" s="3">
        <v>3241168669</v>
      </c>
      <c r="D25" s="3">
        <v>8</v>
      </c>
      <c r="E25" s="4" t="s">
        <v>809</v>
      </c>
      <c r="F25" s="19" t="s">
        <v>941</v>
      </c>
      <c r="G25" s="5" t="s">
        <v>7</v>
      </c>
      <c r="H25" s="6">
        <v>4000</v>
      </c>
    </row>
    <row r="26" spans="1:9" ht="20.100000000000001" customHeight="1" x14ac:dyDescent="0.25">
      <c r="A26" s="79"/>
      <c r="B26" s="2">
        <v>45132</v>
      </c>
      <c r="C26" s="3">
        <v>2081899796</v>
      </c>
      <c r="D26" s="3">
        <v>6</v>
      </c>
      <c r="E26" s="4" t="s">
        <v>942</v>
      </c>
      <c r="F26" s="19" t="s">
        <v>943</v>
      </c>
      <c r="G26" s="5" t="s">
        <v>16</v>
      </c>
      <c r="H26" s="6">
        <v>3000</v>
      </c>
    </row>
    <row r="27" spans="1:9" ht="20.100000000000001" customHeight="1" x14ac:dyDescent="0.25">
      <c r="A27" s="79"/>
      <c r="B27" s="2">
        <v>45155</v>
      </c>
      <c r="C27" s="3">
        <v>3042592831</v>
      </c>
      <c r="D27" s="3">
        <v>3</v>
      </c>
      <c r="E27" s="4" t="s">
        <v>390</v>
      </c>
      <c r="F27" s="19" t="s">
        <v>1013</v>
      </c>
      <c r="G27" s="5" t="s">
        <v>7</v>
      </c>
      <c r="H27" s="6">
        <v>1500</v>
      </c>
    </row>
    <row r="28" spans="1:9" ht="20.100000000000001" customHeight="1" x14ac:dyDescent="0.25">
      <c r="A28" s="79"/>
      <c r="B28" s="2">
        <v>45155</v>
      </c>
      <c r="C28" s="3">
        <v>3861465003</v>
      </c>
      <c r="D28" s="3">
        <v>2</v>
      </c>
      <c r="E28" s="4" t="s">
        <v>966</v>
      </c>
      <c r="F28" s="19" t="s">
        <v>1014</v>
      </c>
      <c r="G28" s="5" t="s">
        <v>6</v>
      </c>
      <c r="H28" s="6">
        <v>1000</v>
      </c>
    </row>
    <row r="29" spans="1:9" ht="20.100000000000001" customHeight="1" x14ac:dyDescent="0.25">
      <c r="A29" s="79"/>
      <c r="B29" s="2">
        <v>45176</v>
      </c>
      <c r="C29" s="3">
        <v>3253160928</v>
      </c>
      <c r="D29" s="3">
        <v>6</v>
      </c>
      <c r="E29" s="4" t="s">
        <v>1116</v>
      </c>
      <c r="F29" s="19" t="s">
        <v>1117</v>
      </c>
      <c r="G29" s="5" t="s">
        <v>7</v>
      </c>
      <c r="H29" s="6">
        <v>3000</v>
      </c>
    </row>
    <row r="30" spans="1:9" ht="20.100000000000001" customHeight="1" x14ac:dyDescent="0.25">
      <c r="A30" s="79"/>
      <c r="B30" s="2">
        <v>45177</v>
      </c>
      <c r="C30" s="3">
        <v>3185920747</v>
      </c>
      <c r="D30" s="3">
        <v>12</v>
      </c>
      <c r="E30" s="4" t="s">
        <v>1471</v>
      </c>
      <c r="F30" s="19" t="s">
        <v>784</v>
      </c>
      <c r="G30" s="5" t="s">
        <v>28</v>
      </c>
      <c r="H30" s="6">
        <v>6000</v>
      </c>
    </row>
    <row r="31" spans="1:9" ht="20.100000000000001" customHeight="1" x14ac:dyDescent="0.25">
      <c r="A31" s="79"/>
      <c r="B31" s="2">
        <v>45177</v>
      </c>
      <c r="C31" s="3">
        <v>2951368125</v>
      </c>
      <c r="D31" s="3">
        <v>6</v>
      </c>
      <c r="E31" s="4" t="s">
        <v>1019</v>
      </c>
      <c r="F31" s="19" t="s">
        <v>1118</v>
      </c>
      <c r="G31" s="5" t="s">
        <v>7</v>
      </c>
      <c r="H31" s="6">
        <v>2280</v>
      </c>
      <c r="I31" s="56"/>
    </row>
    <row r="32" spans="1:9" ht="20.100000000000001" customHeight="1" x14ac:dyDescent="0.25">
      <c r="A32" s="79"/>
      <c r="B32" s="2">
        <v>45198</v>
      </c>
      <c r="C32" s="3">
        <v>1225146767</v>
      </c>
      <c r="D32" s="3">
        <v>6</v>
      </c>
      <c r="E32" s="4" t="s">
        <v>1060</v>
      </c>
      <c r="F32" s="19" t="s">
        <v>1119</v>
      </c>
      <c r="G32" s="5" t="s">
        <v>7</v>
      </c>
      <c r="H32" s="6">
        <v>3000</v>
      </c>
    </row>
    <row r="33" spans="1:8" ht="20.100000000000001" customHeight="1" x14ac:dyDescent="0.25">
      <c r="A33" s="79"/>
      <c r="B33" s="2">
        <v>45205</v>
      </c>
      <c r="C33" s="3">
        <v>2987934997</v>
      </c>
      <c r="D33" s="3">
        <v>8</v>
      </c>
      <c r="E33" s="4" t="s">
        <v>1145</v>
      </c>
      <c r="F33" s="55" t="s">
        <v>1200</v>
      </c>
      <c r="G33" s="5" t="s">
        <v>11</v>
      </c>
      <c r="H33" s="6">
        <v>4000</v>
      </c>
    </row>
    <row r="34" spans="1:8" ht="20.100000000000001" customHeight="1" x14ac:dyDescent="0.25">
      <c r="A34" s="79"/>
      <c r="B34" s="2">
        <v>45216</v>
      </c>
      <c r="C34" s="3">
        <v>2332508308</v>
      </c>
      <c r="D34" s="3">
        <v>8</v>
      </c>
      <c r="E34" s="4" t="s">
        <v>1180</v>
      </c>
      <c r="F34" s="19" t="s">
        <v>1118</v>
      </c>
      <c r="G34" s="5" t="s">
        <v>6</v>
      </c>
      <c r="H34" s="6">
        <v>4000</v>
      </c>
    </row>
    <row r="35" spans="1:8" ht="20.100000000000001" customHeight="1" x14ac:dyDescent="0.25">
      <c r="A35" s="79"/>
      <c r="B35" s="2">
        <v>45251</v>
      </c>
      <c r="C35" s="3">
        <v>180178616</v>
      </c>
      <c r="D35" s="3">
        <v>6</v>
      </c>
      <c r="E35" s="4" t="s">
        <v>1275</v>
      </c>
      <c r="F35" s="19" t="s">
        <v>1364</v>
      </c>
      <c r="G35" s="5" t="s">
        <v>6</v>
      </c>
      <c r="H35" s="6">
        <v>2700</v>
      </c>
    </row>
    <row r="36" spans="1:8" ht="20.100000000000001" customHeight="1" x14ac:dyDescent="0.25">
      <c r="A36" s="79"/>
      <c r="B36" s="2">
        <v>45252</v>
      </c>
      <c r="C36" s="3">
        <v>1649692515</v>
      </c>
      <c r="D36" s="3">
        <v>5</v>
      </c>
      <c r="E36" s="4" t="s">
        <v>1247</v>
      </c>
      <c r="F36" s="19" t="s">
        <v>1364</v>
      </c>
      <c r="G36" s="5" t="s">
        <v>6</v>
      </c>
      <c r="H36" s="6">
        <v>2080</v>
      </c>
    </row>
    <row r="37" spans="1:8" ht="20.100000000000001" customHeight="1" x14ac:dyDescent="0.25">
      <c r="A37" s="79"/>
      <c r="B37" s="2">
        <v>45252</v>
      </c>
      <c r="C37" s="3">
        <v>1649692515</v>
      </c>
      <c r="D37" s="3">
        <v>1</v>
      </c>
      <c r="E37" s="4" t="s">
        <v>1247</v>
      </c>
      <c r="F37" s="19" t="s">
        <v>1364</v>
      </c>
      <c r="G37" s="5" t="s">
        <v>6</v>
      </c>
      <c r="H37" s="6">
        <v>420</v>
      </c>
    </row>
    <row r="38" spans="1:8" ht="20.100000000000001" customHeight="1" x14ac:dyDescent="0.25">
      <c r="A38" s="79"/>
      <c r="B38" s="2">
        <v>45266</v>
      </c>
      <c r="C38" s="3">
        <v>3724560113</v>
      </c>
      <c r="D38" s="3">
        <v>6</v>
      </c>
      <c r="E38" s="4" t="s">
        <v>942</v>
      </c>
      <c r="F38" s="19" t="s">
        <v>943</v>
      </c>
      <c r="G38" s="5" t="s">
        <v>11</v>
      </c>
      <c r="H38" s="6">
        <v>3000</v>
      </c>
    </row>
    <row r="39" spans="1:8" ht="20.100000000000001" customHeight="1" x14ac:dyDescent="0.25">
      <c r="A39" s="79"/>
      <c r="B39" s="2">
        <v>45278</v>
      </c>
      <c r="C39" s="3">
        <v>461981108</v>
      </c>
      <c r="D39" s="3">
        <v>8</v>
      </c>
      <c r="E39" s="4" t="s">
        <v>1430</v>
      </c>
      <c r="F39" s="19" t="s">
        <v>1464</v>
      </c>
      <c r="G39" s="5" t="s">
        <v>7</v>
      </c>
      <c r="H39" s="6">
        <v>2500</v>
      </c>
    </row>
    <row r="40" spans="1:8" ht="20.100000000000001" customHeight="1" x14ac:dyDescent="0.25">
      <c r="A40" s="80"/>
      <c r="B40" s="13"/>
      <c r="C40" s="14"/>
      <c r="D40" s="14"/>
      <c r="E40" s="14" t="s">
        <v>5</v>
      </c>
      <c r="F40" s="15"/>
      <c r="G40" s="16"/>
      <c r="H40" s="17">
        <f>SUM(H3:H39)</f>
        <v>116520</v>
      </c>
    </row>
    <row r="41" spans="1:8" ht="20.100000000000001" customHeight="1" x14ac:dyDescent="0.25">
      <c r="A41" s="7"/>
      <c r="B41" s="8"/>
      <c r="C41" s="8"/>
      <c r="D41" s="8"/>
      <c r="E41" s="8"/>
      <c r="F41" s="12"/>
      <c r="G41" s="8"/>
      <c r="H41" s="9"/>
    </row>
  </sheetData>
  <mergeCells count="8">
    <mergeCell ref="G1:G2"/>
    <mergeCell ref="H1:H2"/>
    <mergeCell ref="A1:A40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5"/>
  <sheetViews>
    <sheetView workbookViewId="0">
      <selection activeCell="F25" sqref="F25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80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8" t="s">
        <v>944</v>
      </c>
      <c r="B1" s="65" t="s">
        <v>0</v>
      </c>
      <c r="C1" s="67" t="s">
        <v>1</v>
      </c>
      <c r="D1" s="67" t="s">
        <v>2</v>
      </c>
      <c r="E1" s="67" t="s">
        <v>3</v>
      </c>
      <c r="F1" s="67" t="s">
        <v>8</v>
      </c>
      <c r="G1" s="61" t="s">
        <v>4</v>
      </c>
      <c r="H1" s="63" t="s">
        <v>5</v>
      </c>
    </row>
    <row r="2" spans="1:8" ht="15" customHeight="1" x14ac:dyDescent="0.25">
      <c r="A2" s="79"/>
      <c r="B2" s="66"/>
      <c r="C2" s="68"/>
      <c r="D2" s="68"/>
      <c r="E2" s="68"/>
      <c r="F2" s="68"/>
      <c r="G2" s="62"/>
      <c r="H2" s="64"/>
    </row>
    <row r="3" spans="1:8" ht="29.25" customHeight="1" x14ac:dyDescent="0.25">
      <c r="A3" s="79"/>
      <c r="B3" s="2">
        <v>45133</v>
      </c>
      <c r="C3" s="3">
        <v>4271853280</v>
      </c>
      <c r="D3" s="3">
        <v>1</v>
      </c>
      <c r="E3" s="4" t="s">
        <v>945</v>
      </c>
      <c r="F3" s="19" t="s">
        <v>946</v>
      </c>
      <c r="G3" s="5" t="s">
        <v>7</v>
      </c>
      <c r="H3" s="6">
        <v>350</v>
      </c>
    </row>
    <row r="4" spans="1:8" ht="20.100000000000001" customHeight="1" x14ac:dyDescent="0.25">
      <c r="A4" s="80"/>
      <c r="B4" s="13"/>
      <c r="C4" s="14"/>
      <c r="D4" s="14"/>
      <c r="E4" s="14" t="s">
        <v>5</v>
      </c>
      <c r="F4" s="15"/>
      <c r="G4" s="16"/>
      <c r="H4" s="17">
        <f>SUM(H3:H3)</f>
        <v>350</v>
      </c>
    </row>
    <row r="5" spans="1:8" ht="20.100000000000001" customHeight="1" x14ac:dyDescent="0.25">
      <c r="A5" s="7"/>
      <c r="B5" s="8"/>
      <c r="C5" s="8"/>
      <c r="D5" s="8"/>
      <c r="E5" s="8"/>
      <c r="F5" s="12"/>
      <c r="G5" s="8"/>
      <c r="H5" s="9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50</vt:i4>
      </vt:variant>
    </vt:vector>
  </HeadingPairs>
  <TitlesOfParts>
    <vt:vector size="50" baseType="lpstr">
      <vt:lpstr>PRESENTACIÓN DE RESULTADOS</vt:lpstr>
      <vt:lpstr>Producto</vt:lpstr>
      <vt:lpstr>Acido hialuronico</vt:lpstr>
      <vt:lpstr>Depilación</vt:lpstr>
      <vt:lpstr>Emsculpt</vt:lpstr>
      <vt:lpstr>Emtone</vt:lpstr>
      <vt:lpstr>Exilis</vt:lpstr>
      <vt:lpstr>Exfoliación</vt:lpstr>
      <vt:lpstr>Facial purificante</vt:lpstr>
      <vt:lpstr>Hifu</vt:lpstr>
      <vt:lpstr>Hydrafacial</vt:lpstr>
      <vt:lpstr>Laboratorios</vt:lpstr>
      <vt:lpstr>Masaje linfatico</vt:lpstr>
      <vt:lpstr>Mesoterapia</vt:lpstr>
      <vt:lpstr>Morpheus</vt:lpstr>
      <vt:lpstr>Pico-láser</vt:lpstr>
      <vt:lpstr>Powershape</vt:lpstr>
      <vt:lpstr>Profhilo</vt:lpstr>
      <vt:lpstr>PRP</vt:lpstr>
      <vt:lpstr>Radiofrecuencia</vt:lpstr>
      <vt:lpstr>Ultrasonido</vt:lpstr>
      <vt:lpstr>Velo de acido hialuronico</vt:lpstr>
      <vt:lpstr>Velox</vt:lpstr>
      <vt:lpstr>Verju</vt:lpstr>
      <vt:lpstr>Vitamina C intravenosa</vt:lpstr>
      <vt:lpstr>Ciclo coolsculpting</vt:lpstr>
      <vt:lpstr>Cliovana</vt:lpstr>
      <vt:lpstr>Dermapen</vt:lpstr>
      <vt:lpstr>Láser CO2</vt:lpstr>
      <vt:lpstr>Masaje relajante</vt:lpstr>
      <vt:lpstr>Oligoelementos</vt:lpstr>
      <vt:lpstr>Celulas madre</vt:lpstr>
      <vt:lpstr>Lipo-recover</vt:lpstr>
      <vt:lpstr>Peeling</vt:lpstr>
      <vt:lpstr>Spectra ginecologico</vt:lpstr>
      <vt:lpstr>Vanquish</vt:lpstr>
      <vt:lpstr>Xwave</vt:lpstr>
      <vt:lpstr>Eliminación de lunares</vt:lpstr>
      <vt:lpstr>Botox</vt:lpstr>
      <vt:lpstr>Encimas</vt:lpstr>
      <vt:lpstr>Grow</vt:lpstr>
      <vt:lpstr>Abonos a tratamientos</vt:lpstr>
      <vt:lpstr>Cambio de tratamiento</vt:lpstr>
      <vt:lpstr>Microdermoabrasión</vt:lpstr>
      <vt:lpstr>Terapia Luminica</vt:lpstr>
      <vt:lpstr>Oscilación</vt:lpstr>
      <vt:lpstr>Sueros</vt:lpstr>
      <vt:lpstr>Presoterapia</vt:lpstr>
      <vt:lpstr>Nioo</vt:lpstr>
      <vt:lpstr>Sedación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2024-07-16T22:28:56Z</dcterms:modified>
</cp:coreProperties>
</file>